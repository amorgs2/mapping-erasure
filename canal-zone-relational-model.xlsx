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alexandramorgan/Documents/GitHub/GIS_PanamaCanalZone/"/>
    </mc:Choice>
  </mc:AlternateContent>
  <xr:revisionPtr revIDLastSave="0" documentId="13_ncr:1_{0651F69C-C31A-B245-AD50-C8B39CFA8881}" xr6:coauthVersionLast="47" xr6:coauthVersionMax="47" xr10:uidLastSave="{00000000-0000-0000-0000-000000000000}"/>
  <bookViews>
    <workbookView xWindow="1240" yWindow="660" windowWidth="27780" windowHeight="17860" tabRatio="500" firstSheet="2" activeTab="13" xr2:uid="{00000000-000D-0000-FFFF-FFFF00000000}"/>
  </bookViews>
  <sheets>
    <sheet name="READ ME" sheetId="1" r:id="rId1"/>
    <sheet name="Coordinates" sheetId="2" r:id="rId2"/>
    <sheet name="places" sheetId="3" r:id="rId3"/>
    <sheet name="sources" sheetId="4" r:id="rId4"/>
    <sheet name="attestations" sheetId="5" r:id="rId5"/>
    <sheet name="Selection Matrix" sheetId="6" r:id="rId6"/>
    <sheet name="Map Modes + Rendering" sheetId="7" r:id="rId7"/>
    <sheet name="Uncertainty Profile" sheetId="8" r:id="rId8"/>
    <sheet name="Typology" sheetId="9" r:id="rId9"/>
    <sheet name="Corpus" sheetId="10" r:id="rId10"/>
    <sheet name="Coverage" sheetId="11" r:id="rId11"/>
    <sheet name="relations" sheetId="12" r:id="rId12"/>
    <sheet name="Lists" sheetId="13" r:id="rId13"/>
    <sheet name="Feature Checklist" sheetId="14" r:id="rId14"/>
    <sheet name="Absence Profile" sheetId="15" r:id="rId1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15" l="1"/>
  <c r="D30" i="15"/>
  <c r="C30" i="15" s="1"/>
  <c r="E30" i="15" s="1"/>
  <c r="B30" i="15"/>
  <c r="A30" i="15"/>
  <c r="F29" i="15"/>
  <c r="D29" i="15"/>
  <c r="C29" i="15"/>
  <c r="E29" i="15" s="1"/>
  <c r="B29" i="15"/>
  <c r="A29" i="15"/>
  <c r="F28" i="15"/>
  <c r="D28" i="15"/>
  <c r="C28" i="15" s="1"/>
  <c r="E28" i="15" s="1"/>
  <c r="B28" i="15"/>
  <c r="A28" i="15"/>
  <c r="F27" i="15"/>
  <c r="E27" i="15"/>
  <c r="D27" i="15"/>
  <c r="C27" i="15" s="1"/>
  <c r="B27" i="15"/>
  <c r="A27" i="15"/>
  <c r="F26" i="15"/>
  <c r="E26" i="15"/>
  <c r="D26" i="15"/>
  <c r="C26" i="15"/>
  <c r="B26" i="15"/>
  <c r="A26" i="15"/>
  <c r="F25" i="15"/>
  <c r="D25" i="15"/>
  <c r="C25" i="15" s="1"/>
  <c r="E25" i="15" s="1"/>
  <c r="B25" i="15"/>
  <c r="A25" i="15"/>
  <c r="F24" i="15"/>
  <c r="E24" i="15"/>
  <c r="D24" i="15"/>
  <c r="C24" i="15"/>
  <c r="B24" i="15"/>
  <c r="A24" i="15"/>
  <c r="F23" i="15"/>
  <c r="D23" i="15"/>
  <c r="C23" i="15" s="1"/>
  <c r="E23" i="15" s="1"/>
  <c r="B23" i="15"/>
  <c r="A23" i="15"/>
  <c r="F22" i="15"/>
  <c r="D22" i="15"/>
  <c r="C22" i="15" s="1"/>
  <c r="E22" i="15" s="1"/>
  <c r="B22" i="15"/>
  <c r="A22" i="15"/>
  <c r="F21" i="15"/>
  <c r="D21" i="15"/>
  <c r="C21" i="15"/>
  <c r="E21" i="15" s="1"/>
  <c r="B21" i="15"/>
  <c r="A21" i="15"/>
  <c r="F20" i="15"/>
  <c r="D20" i="15"/>
  <c r="C20" i="15" s="1"/>
  <c r="E20" i="15" s="1"/>
  <c r="B20" i="15"/>
  <c r="A20" i="15"/>
  <c r="F19" i="15"/>
  <c r="E19" i="15"/>
  <c r="D19" i="15"/>
  <c r="C19" i="15"/>
  <c r="B19" i="15"/>
  <c r="A19" i="15"/>
  <c r="F18" i="15"/>
  <c r="D18" i="15"/>
  <c r="C18" i="15" s="1"/>
  <c r="E18" i="15" s="1"/>
  <c r="B18" i="15"/>
  <c r="A18" i="15"/>
  <c r="F17" i="15"/>
  <c r="D17" i="15"/>
  <c r="C17" i="15" s="1"/>
  <c r="E17" i="15" s="1"/>
  <c r="B17" i="15"/>
  <c r="A17" i="15"/>
  <c r="F16" i="15"/>
  <c r="D16" i="15"/>
  <c r="C16" i="15"/>
  <c r="E16" i="15" s="1"/>
  <c r="B16" i="15"/>
  <c r="A16" i="15"/>
  <c r="F15" i="15"/>
  <c r="D15" i="15"/>
  <c r="C15" i="15" s="1"/>
  <c r="E15" i="15" s="1"/>
  <c r="B15" i="15"/>
  <c r="A15" i="15"/>
  <c r="F14" i="15"/>
  <c r="E14" i="15"/>
  <c r="D14" i="15"/>
  <c r="C14" i="15"/>
  <c r="B14" i="15"/>
  <c r="A14" i="15"/>
  <c r="F13" i="15"/>
  <c r="D13" i="15"/>
  <c r="C13" i="15" s="1"/>
  <c r="E13" i="15" s="1"/>
  <c r="B13" i="15"/>
  <c r="A13" i="15"/>
  <c r="F12" i="15"/>
  <c r="D12" i="15"/>
  <c r="C12" i="15" s="1"/>
  <c r="E12" i="15" s="1"/>
  <c r="B12" i="15"/>
  <c r="A12" i="15"/>
  <c r="F11" i="15"/>
  <c r="D11" i="15"/>
  <c r="C11" i="15"/>
  <c r="E11" i="15" s="1"/>
  <c r="B11" i="15"/>
  <c r="A11" i="15"/>
  <c r="F10" i="15"/>
  <c r="D10" i="15"/>
  <c r="C10" i="15" s="1"/>
  <c r="E10" i="15" s="1"/>
  <c r="B10" i="15"/>
  <c r="A10" i="15"/>
  <c r="F9" i="15"/>
  <c r="E9" i="15"/>
  <c r="D9" i="15"/>
  <c r="C9" i="15"/>
  <c r="B9" i="15"/>
  <c r="A9" i="15"/>
  <c r="F8" i="15"/>
  <c r="D8" i="15"/>
  <c r="C8" i="15" s="1"/>
  <c r="E8" i="15" s="1"/>
  <c r="B8" i="15"/>
  <c r="A8" i="15"/>
  <c r="F7" i="15"/>
  <c r="D7" i="15"/>
  <c r="C7" i="15" s="1"/>
  <c r="E7" i="15" s="1"/>
  <c r="B7" i="15"/>
  <c r="A7" i="15"/>
  <c r="F6" i="15"/>
  <c r="D6" i="15"/>
  <c r="C6" i="15"/>
  <c r="E6" i="15" s="1"/>
  <c r="B6" i="15"/>
  <c r="A6" i="15"/>
  <c r="F5" i="15"/>
  <c r="D5" i="15"/>
  <c r="C5" i="15" s="1"/>
  <c r="E5" i="15" s="1"/>
  <c r="B5" i="15"/>
  <c r="A5" i="15"/>
  <c r="F4" i="15"/>
  <c r="E4" i="15"/>
  <c r="D4" i="15"/>
  <c r="C4" i="15"/>
  <c r="B4" i="15"/>
  <c r="A4" i="15"/>
  <c r="K19" i="8"/>
  <c r="J19" i="8"/>
  <c r="F19" i="8"/>
  <c r="E19" i="8"/>
  <c r="D19" i="8"/>
  <c r="C19" i="8"/>
  <c r="B19" i="8"/>
  <c r="A19" i="8"/>
  <c r="K18" i="8"/>
  <c r="J18" i="8"/>
  <c r="F18" i="8"/>
  <c r="E18" i="8"/>
  <c r="D18" i="8"/>
  <c r="C18" i="8"/>
  <c r="B18" i="8"/>
  <c r="A18" i="8"/>
  <c r="K17" i="8"/>
  <c r="J17" i="8"/>
  <c r="F17" i="8"/>
  <c r="E17" i="8"/>
  <c r="D17" i="8"/>
  <c r="C17" i="8"/>
  <c r="B17" i="8"/>
  <c r="A17" i="8"/>
  <c r="K16" i="8"/>
  <c r="J16" i="8"/>
  <c r="F16" i="8"/>
  <c r="E16" i="8"/>
  <c r="D16" i="8"/>
  <c r="C16" i="8"/>
  <c r="B16" i="8"/>
  <c r="A16" i="8"/>
  <c r="K15" i="8"/>
  <c r="J15" i="8"/>
  <c r="F15" i="8"/>
  <c r="E15" i="8"/>
  <c r="D15" i="8"/>
  <c r="C15" i="8"/>
  <c r="B15" i="8"/>
  <c r="A15" i="8"/>
  <c r="K14" i="8"/>
  <c r="J14" i="8"/>
  <c r="F14" i="8"/>
  <c r="E14" i="8"/>
  <c r="D14" i="8"/>
  <c r="C14" i="8"/>
  <c r="B14" i="8"/>
  <c r="A14" i="8"/>
  <c r="K13" i="8"/>
  <c r="J13" i="8"/>
  <c r="F13" i="8"/>
  <c r="E13" i="8"/>
  <c r="D13" i="8"/>
  <c r="C13" i="8"/>
  <c r="B13" i="8"/>
  <c r="A13" i="8"/>
  <c r="K12" i="8"/>
  <c r="J12" i="8"/>
  <c r="F12" i="8"/>
  <c r="E12" i="8"/>
  <c r="D12" i="8"/>
  <c r="C12" i="8"/>
  <c r="B12" i="8"/>
  <c r="A12" i="8"/>
  <c r="K11" i="8"/>
  <c r="J11" i="8"/>
  <c r="F11" i="8"/>
  <c r="E11" i="8"/>
  <c r="D11" i="8"/>
  <c r="C11" i="8"/>
  <c r="B11" i="8"/>
  <c r="A11" i="8"/>
  <c r="K10" i="8"/>
  <c r="J10" i="8"/>
  <c r="F10" i="8"/>
  <c r="E10" i="8"/>
  <c r="D10" i="8"/>
  <c r="C10" i="8"/>
  <c r="B10" i="8"/>
  <c r="A10" i="8"/>
  <c r="K9" i="8"/>
  <c r="J9" i="8"/>
  <c r="F9" i="8"/>
  <c r="E9" i="8"/>
  <c r="D9" i="8"/>
  <c r="C9" i="8"/>
  <c r="B9" i="8"/>
  <c r="A9" i="8"/>
  <c r="K8" i="8"/>
  <c r="J8" i="8"/>
  <c r="F8" i="8"/>
  <c r="E8" i="8"/>
  <c r="D8" i="8"/>
  <c r="C8" i="8"/>
  <c r="B8" i="8"/>
  <c r="A8" i="8"/>
  <c r="K7" i="8"/>
  <c r="J7" i="8"/>
  <c r="F7" i="8"/>
  <c r="E7" i="8"/>
  <c r="D7" i="8"/>
  <c r="C7" i="8"/>
  <c r="B7" i="8"/>
  <c r="A7" i="8"/>
  <c r="K6" i="8"/>
  <c r="J6" i="8"/>
  <c r="F6" i="8"/>
  <c r="E6" i="8"/>
  <c r="D6" i="8"/>
  <c r="C6" i="8"/>
  <c r="B6" i="8"/>
  <c r="A6" i="8"/>
  <c r="K5" i="8"/>
  <c r="J5" i="8"/>
  <c r="F5" i="8"/>
  <c r="E5" i="8"/>
  <c r="D5" i="8"/>
  <c r="C5" i="8"/>
  <c r="B5" i="8"/>
  <c r="A5" i="8"/>
  <c r="K4" i="8"/>
  <c r="J4" i="8"/>
  <c r="F4" i="8"/>
  <c r="E4" i="8"/>
  <c r="D4" i="8"/>
  <c r="C4" i="8"/>
  <c r="B4" i="8"/>
  <c r="A4" i="8"/>
  <c r="F7" i="6"/>
  <c r="E7" i="6"/>
  <c r="D7" i="6"/>
  <c r="C7" i="6"/>
  <c r="B7" i="6"/>
  <c r="S3029" i="5"/>
  <c r="Q3029" i="5"/>
  <c r="S3028" i="5"/>
  <c r="Q3028" i="5"/>
  <c r="S3027" i="5"/>
  <c r="Q3027" i="5"/>
  <c r="S3026" i="5"/>
  <c r="Q3026" i="5"/>
  <c r="S3025" i="5"/>
  <c r="Q3025" i="5"/>
  <c r="S3024" i="5"/>
  <c r="Q3024" i="5"/>
  <c r="S3023" i="5"/>
  <c r="Q3023" i="5"/>
  <c r="S3022" i="5"/>
  <c r="Q3022" i="5"/>
  <c r="S3021" i="5"/>
  <c r="Q3021" i="5"/>
  <c r="S3020" i="5"/>
  <c r="Q3020" i="5"/>
  <c r="S3019" i="5"/>
  <c r="Q3019" i="5"/>
  <c r="S3018" i="5"/>
  <c r="Q3018" i="5"/>
  <c r="S3017" i="5"/>
  <c r="Q3017" i="5"/>
  <c r="S3016" i="5"/>
  <c r="Q3016" i="5"/>
  <c r="S3015" i="5"/>
  <c r="Q3015" i="5"/>
  <c r="S3014" i="5"/>
  <c r="Q3014" i="5"/>
  <c r="S3013" i="5"/>
  <c r="Q3013" i="5"/>
  <c r="S3012" i="5"/>
  <c r="Q3012" i="5"/>
  <c r="S3011" i="5"/>
  <c r="Q3011" i="5"/>
  <c r="S3010" i="5"/>
  <c r="Q3010" i="5"/>
  <c r="S3009" i="5"/>
  <c r="Q3009" i="5"/>
  <c r="S3008" i="5"/>
  <c r="Q3008" i="5"/>
  <c r="S3007" i="5"/>
  <c r="Q3007" i="5"/>
  <c r="S3006" i="5"/>
  <c r="Q3006" i="5"/>
  <c r="S3005" i="5"/>
  <c r="Q3005" i="5"/>
  <c r="S3004" i="5"/>
  <c r="Q3004" i="5"/>
  <c r="S3003" i="5"/>
  <c r="Q3003" i="5"/>
  <c r="S3002" i="5"/>
  <c r="Q3002" i="5"/>
  <c r="S3001" i="5"/>
  <c r="Q3001" i="5"/>
  <c r="S3000" i="5"/>
  <c r="Q3000" i="5"/>
  <c r="S2999" i="5"/>
  <c r="Q2999" i="5"/>
  <c r="S2998" i="5"/>
  <c r="Q2998" i="5"/>
  <c r="S2997" i="5"/>
  <c r="Q2997" i="5"/>
  <c r="S2996" i="5"/>
  <c r="Q2996" i="5"/>
  <c r="S2995" i="5"/>
  <c r="Q2995" i="5"/>
  <c r="S2994" i="5"/>
  <c r="Q2994" i="5"/>
  <c r="S2993" i="5"/>
  <c r="Q2993" i="5"/>
  <c r="S2992" i="5"/>
  <c r="Q2992" i="5"/>
  <c r="S2991" i="5"/>
  <c r="Q2991" i="5"/>
  <c r="S2990" i="5"/>
  <c r="Q2990" i="5"/>
  <c r="S2989" i="5"/>
  <c r="Q2989" i="5"/>
  <c r="S2988" i="5"/>
  <c r="Q2988" i="5"/>
  <c r="S2987" i="5"/>
  <c r="Q2987" i="5"/>
  <c r="S2986" i="5"/>
  <c r="Q2986" i="5"/>
  <c r="S2985" i="5"/>
  <c r="Q2985" i="5"/>
  <c r="S2984" i="5"/>
  <c r="Q2984" i="5"/>
  <c r="S2983" i="5"/>
  <c r="Q2983" i="5"/>
  <c r="S2982" i="5"/>
  <c r="Q2982" i="5"/>
  <c r="S2981" i="5"/>
  <c r="Q2981" i="5"/>
  <c r="S2980" i="5"/>
  <c r="Q2980" i="5"/>
  <c r="S2979" i="5"/>
  <c r="Q2979" i="5"/>
  <c r="S2978" i="5"/>
  <c r="Q2978" i="5"/>
  <c r="S2977" i="5"/>
  <c r="Q2977" i="5"/>
  <c r="S2976" i="5"/>
  <c r="Q2976" i="5"/>
  <c r="S2975" i="5"/>
  <c r="Q2975" i="5"/>
  <c r="S2974" i="5"/>
  <c r="Q2974" i="5"/>
  <c r="S2973" i="5"/>
  <c r="Q2973" i="5"/>
  <c r="S2972" i="5"/>
  <c r="Q2972" i="5"/>
  <c r="S2971" i="5"/>
  <c r="Q2971" i="5"/>
  <c r="S2970" i="5"/>
  <c r="Q2970" i="5"/>
  <c r="S2969" i="5"/>
  <c r="Q2969" i="5"/>
  <c r="S2968" i="5"/>
  <c r="Q2968" i="5"/>
  <c r="S2967" i="5"/>
  <c r="Q2967" i="5"/>
  <c r="S2966" i="5"/>
  <c r="Q2966" i="5"/>
  <c r="S2965" i="5"/>
  <c r="Q2965" i="5"/>
  <c r="S2964" i="5"/>
  <c r="Q2964" i="5"/>
  <c r="S2963" i="5"/>
  <c r="Q2963" i="5"/>
  <c r="S2962" i="5"/>
  <c r="Q2962" i="5"/>
  <c r="S2961" i="5"/>
  <c r="Q2961" i="5"/>
  <c r="S2960" i="5"/>
  <c r="Q2960" i="5"/>
  <c r="S2959" i="5"/>
  <c r="Q2959" i="5"/>
  <c r="S2958" i="5"/>
  <c r="Q2958" i="5"/>
  <c r="S2957" i="5"/>
  <c r="Q2957" i="5"/>
  <c r="S2956" i="5"/>
  <c r="Q2956" i="5"/>
  <c r="S2955" i="5"/>
  <c r="Q2955" i="5"/>
  <c r="S2954" i="5"/>
  <c r="Q2954" i="5"/>
  <c r="S2953" i="5"/>
  <c r="Q2953" i="5"/>
  <c r="S2952" i="5"/>
  <c r="Q2952" i="5"/>
  <c r="S2951" i="5"/>
  <c r="Q2951" i="5"/>
  <c r="S2950" i="5"/>
  <c r="Q2950" i="5"/>
  <c r="S2949" i="5"/>
  <c r="Q2949" i="5"/>
  <c r="S2948" i="5"/>
  <c r="Q2948" i="5"/>
  <c r="S2947" i="5"/>
  <c r="Q2947" i="5"/>
  <c r="S2946" i="5"/>
  <c r="Q2946" i="5"/>
  <c r="S2945" i="5"/>
  <c r="Q2945" i="5"/>
  <c r="S2944" i="5"/>
  <c r="Q2944" i="5"/>
  <c r="S2943" i="5"/>
  <c r="Q2943" i="5"/>
  <c r="S2942" i="5"/>
  <c r="Q2942" i="5"/>
  <c r="S2941" i="5"/>
  <c r="Q2941" i="5"/>
  <c r="S2940" i="5"/>
  <c r="Q2940" i="5"/>
  <c r="S2939" i="5"/>
  <c r="Q2939" i="5"/>
  <c r="S2938" i="5"/>
  <c r="Q2938" i="5"/>
  <c r="S2937" i="5"/>
  <c r="Q2937" i="5"/>
  <c r="S2936" i="5"/>
  <c r="Q2936" i="5"/>
  <c r="S2935" i="5"/>
  <c r="Q2935" i="5"/>
  <c r="S2934" i="5"/>
  <c r="Q2934" i="5"/>
  <c r="S2933" i="5"/>
  <c r="Q2933" i="5"/>
  <c r="S2932" i="5"/>
  <c r="Q2932" i="5"/>
  <c r="S2931" i="5"/>
  <c r="Q2931" i="5"/>
  <c r="S2930" i="5"/>
  <c r="Q2930" i="5"/>
  <c r="S2929" i="5"/>
  <c r="Q2929" i="5"/>
  <c r="S2928" i="5"/>
  <c r="Q2928" i="5"/>
  <c r="S2927" i="5"/>
  <c r="Q2927" i="5"/>
  <c r="S2926" i="5"/>
  <c r="Q2926" i="5"/>
  <c r="S2925" i="5"/>
  <c r="Q2925" i="5"/>
  <c r="S2924" i="5"/>
  <c r="Q2924" i="5"/>
  <c r="S2923" i="5"/>
  <c r="Q2923" i="5"/>
  <c r="S2922" i="5"/>
  <c r="Q2922" i="5"/>
  <c r="S2921" i="5"/>
  <c r="Q2921" i="5"/>
  <c r="S2920" i="5"/>
  <c r="Q2920" i="5"/>
  <c r="S2919" i="5"/>
  <c r="Q2919" i="5"/>
  <c r="S2918" i="5"/>
  <c r="Q2918" i="5"/>
  <c r="S2917" i="5"/>
  <c r="Q2917" i="5"/>
  <c r="S2916" i="5"/>
  <c r="Q2916" i="5"/>
  <c r="S2915" i="5"/>
  <c r="Q2915" i="5"/>
  <c r="S2914" i="5"/>
  <c r="Q2914" i="5"/>
  <c r="S2913" i="5"/>
  <c r="Q2913" i="5"/>
  <c r="S2912" i="5"/>
  <c r="Q2912" i="5"/>
  <c r="S2911" i="5"/>
  <c r="Q2911" i="5"/>
  <c r="S2910" i="5"/>
  <c r="Q2910" i="5"/>
  <c r="S2909" i="5"/>
  <c r="Q2909" i="5"/>
  <c r="S2908" i="5"/>
  <c r="Q2908" i="5"/>
  <c r="S2907" i="5"/>
  <c r="Q2907" i="5"/>
  <c r="S2906" i="5"/>
  <c r="Q2906" i="5"/>
  <c r="S2905" i="5"/>
  <c r="Q2905" i="5"/>
  <c r="S2904" i="5"/>
  <c r="Q2904" i="5"/>
  <c r="S2903" i="5"/>
  <c r="Q2903" i="5"/>
  <c r="S2902" i="5"/>
  <c r="Q2902" i="5"/>
  <c r="S2901" i="5"/>
  <c r="Q2901" i="5"/>
  <c r="S2900" i="5"/>
  <c r="Q2900" i="5"/>
  <c r="S2899" i="5"/>
  <c r="Q2899" i="5"/>
  <c r="S2898" i="5"/>
  <c r="Q2898" i="5"/>
  <c r="S2897" i="5"/>
  <c r="Q2897" i="5"/>
  <c r="S2896" i="5"/>
  <c r="Q2896" i="5"/>
  <c r="S2895" i="5"/>
  <c r="Q2895" i="5"/>
  <c r="S2894" i="5"/>
  <c r="Q2894" i="5"/>
  <c r="S2893" i="5"/>
  <c r="Q2893" i="5"/>
  <c r="S2892" i="5"/>
  <c r="Q2892" i="5"/>
  <c r="S2891" i="5"/>
  <c r="Q2891" i="5"/>
  <c r="S2890" i="5"/>
  <c r="Q2890" i="5"/>
  <c r="S2889" i="5"/>
  <c r="Q2889" i="5"/>
  <c r="S2888" i="5"/>
  <c r="Q2888" i="5"/>
  <c r="S2887" i="5"/>
  <c r="Q2887" i="5"/>
  <c r="S2886" i="5"/>
  <c r="Q2886" i="5"/>
  <c r="S2885" i="5"/>
  <c r="Q2885" i="5"/>
  <c r="S2884" i="5"/>
  <c r="Q2884" i="5"/>
  <c r="S2883" i="5"/>
  <c r="Q2883" i="5"/>
  <c r="S2882" i="5"/>
  <c r="Q2882" i="5"/>
  <c r="S2881" i="5"/>
  <c r="Q2881" i="5"/>
  <c r="S2880" i="5"/>
  <c r="Q2880" i="5"/>
  <c r="S2879" i="5"/>
  <c r="Q2879" i="5"/>
  <c r="S2878" i="5"/>
  <c r="Q2878" i="5"/>
  <c r="S2877" i="5"/>
  <c r="Q2877" i="5"/>
  <c r="S2876" i="5"/>
  <c r="Q2876" i="5"/>
  <c r="S2875" i="5"/>
  <c r="Q2875" i="5"/>
  <c r="S2874" i="5"/>
  <c r="Q2874" i="5"/>
  <c r="S2873" i="5"/>
  <c r="Q2873" i="5"/>
  <c r="S2872" i="5"/>
  <c r="Q2872" i="5"/>
  <c r="S2871" i="5"/>
  <c r="Q2871" i="5"/>
  <c r="S2870" i="5"/>
  <c r="Q2870" i="5"/>
  <c r="S2869" i="5"/>
  <c r="Q2869" i="5"/>
  <c r="S2868" i="5"/>
  <c r="Q2868" i="5"/>
  <c r="S2867" i="5"/>
  <c r="Q2867" i="5"/>
  <c r="S2866" i="5"/>
  <c r="Q2866" i="5"/>
  <c r="S2865" i="5"/>
  <c r="Q2865" i="5"/>
  <c r="S2864" i="5"/>
  <c r="Q2864" i="5"/>
  <c r="S2863" i="5"/>
  <c r="Q2863" i="5"/>
  <c r="S2862" i="5"/>
  <c r="Q2862" i="5"/>
  <c r="S2861" i="5"/>
  <c r="Q2861" i="5"/>
  <c r="S2860" i="5"/>
  <c r="Q2860" i="5"/>
  <c r="S2859" i="5"/>
  <c r="Q2859" i="5"/>
  <c r="S2858" i="5"/>
  <c r="Q2858" i="5"/>
  <c r="S2857" i="5"/>
  <c r="Q2857" i="5"/>
  <c r="S2856" i="5"/>
  <c r="Q2856" i="5"/>
  <c r="S2855" i="5"/>
  <c r="Q2855" i="5"/>
  <c r="S2854" i="5"/>
  <c r="Q2854" i="5"/>
  <c r="S2853" i="5"/>
  <c r="Q2853" i="5"/>
  <c r="S2852" i="5"/>
  <c r="Q2852" i="5"/>
  <c r="S2851" i="5"/>
  <c r="Q2851" i="5"/>
  <c r="S2850" i="5"/>
  <c r="Q2850" i="5"/>
  <c r="S2849" i="5"/>
  <c r="Q2849" i="5"/>
  <c r="S2848" i="5"/>
  <c r="Q2848" i="5"/>
  <c r="S2847" i="5"/>
  <c r="Q2847" i="5"/>
  <c r="S2846" i="5"/>
  <c r="Q2846" i="5"/>
  <c r="S2845" i="5"/>
  <c r="Q2845" i="5"/>
  <c r="S2844" i="5"/>
  <c r="Q2844" i="5"/>
  <c r="S2843" i="5"/>
  <c r="Q2843" i="5"/>
  <c r="S2842" i="5"/>
  <c r="Q2842" i="5"/>
  <c r="S2841" i="5"/>
  <c r="Q2841" i="5"/>
  <c r="S2840" i="5"/>
  <c r="Q2840" i="5"/>
  <c r="S2839" i="5"/>
  <c r="Q2839" i="5"/>
  <c r="S2838" i="5"/>
  <c r="Q2838" i="5"/>
  <c r="S2837" i="5"/>
  <c r="Q2837" i="5"/>
  <c r="S2836" i="5"/>
  <c r="Q2836" i="5"/>
  <c r="S2835" i="5"/>
  <c r="Q2835" i="5"/>
  <c r="S2834" i="5"/>
  <c r="Q2834" i="5"/>
  <c r="S2833" i="5"/>
  <c r="Q2833" i="5"/>
  <c r="S2832" i="5"/>
  <c r="Q2832" i="5"/>
  <c r="S2831" i="5"/>
  <c r="Q2831" i="5"/>
  <c r="S2830" i="5"/>
  <c r="Q2830" i="5"/>
  <c r="S2829" i="5"/>
  <c r="Q2829" i="5"/>
  <c r="S2828" i="5"/>
  <c r="Q2828" i="5"/>
  <c r="S2827" i="5"/>
  <c r="Q2827" i="5"/>
  <c r="S2826" i="5"/>
  <c r="Q2826" i="5"/>
  <c r="S2825" i="5"/>
  <c r="Q2825" i="5"/>
  <c r="S2824" i="5"/>
  <c r="Q2824" i="5"/>
  <c r="S2823" i="5"/>
  <c r="Q2823" i="5"/>
  <c r="S2822" i="5"/>
  <c r="Q2822" i="5"/>
  <c r="S2821" i="5"/>
  <c r="Q2821" i="5"/>
  <c r="S2820" i="5"/>
  <c r="Q2820" i="5"/>
  <c r="S2819" i="5"/>
  <c r="Q2819" i="5"/>
  <c r="S2818" i="5"/>
  <c r="Q2818" i="5"/>
  <c r="S2817" i="5"/>
  <c r="Q2817" i="5"/>
  <c r="S2816" i="5"/>
  <c r="Q2816" i="5"/>
  <c r="S2815" i="5"/>
  <c r="Q2815" i="5"/>
  <c r="S2814" i="5"/>
  <c r="Q2814" i="5"/>
  <c r="S2813" i="5"/>
  <c r="Q2813" i="5"/>
  <c r="S2812" i="5"/>
  <c r="Q2812" i="5"/>
  <c r="S2811" i="5"/>
  <c r="Q2811" i="5"/>
  <c r="S2810" i="5"/>
  <c r="Q2810" i="5"/>
  <c r="S2809" i="5"/>
  <c r="Q2809" i="5"/>
  <c r="S2808" i="5"/>
  <c r="Q2808" i="5"/>
  <c r="S2807" i="5"/>
  <c r="Q2807" i="5"/>
  <c r="S2806" i="5"/>
  <c r="Q2806" i="5"/>
  <c r="S2805" i="5"/>
  <c r="Q2805" i="5"/>
  <c r="S2804" i="5"/>
  <c r="Q2804" i="5"/>
  <c r="S2803" i="5"/>
  <c r="Q2803" i="5"/>
  <c r="S2802" i="5"/>
  <c r="Q2802" i="5"/>
  <c r="S2801" i="5"/>
  <c r="Q2801" i="5"/>
  <c r="S2800" i="5"/>
  <c r="Q2800" i="5"/>
  <c r="S2799" i="5"/>
  <c r="Q2799" i="5"/>
  <c r="S2798" i="5"/>
  <c r="Q2798" i="5"/>
  <c r="S2797" i="5"/>
  <c r="Q2797" i="5"/>
  <c r="S2796" i="5"/>
  <c r="Q2796" i="5"/>
  <c r="S2795" i="5"/>
  <c r="Q2795" i="5"/>
  <c r="S2794" i="5"/>
  <c r="Q2794" i="5"/>
  <c r="S2793" i="5"/>
  <c r="Q2793" i="5"/>
  <c r="S2792" i="5"/>
  <c r="Q2792" i="5"/>
  <c r="S2791" i="5"/>
  <c r="Q2791" i="5"/>
  <c r="S2790" i="5"/>
  <c r="Q2790" i="5"/>
  <c r="S2789" i="5"/>
  <c r="Q2789" i="5"/>
  <c r="S2788" i="5"/>
  <c r="Q2788" i="5"/>
  <c r="S2787" i="5"/>
  <c r="Q2787" i="5"/>
  <c r="S2786" i="5"/>
  <c r="Q2786" i="5"/>
  <c r="S2785" i="5"/>
  <c r="Q2785" i="5"/>
  <c r="S2784" i="5"/>
  <c r="Q2784" i="5"/>
  <c r="S2783" i="5"/>
  <c r="Q2783" i="5"/>
  <c r="S2782" i="5"/>
  <c r="Q2782" i="5"/>
  <c r="S2781" i="5"/>
  <c r="Q2781" i="5"/>
  <c r="S2780" i="5"/>
  <c r="Q2780" i="5"/>
  <c r="S2779" i="5"/>
  <c r="Q2779" i="5"/>
  <c r="S2778" i="5"/>
  <c r="Q2778" i="5"/>
  <c r="S2777" i="5"/>
  <c r="Q2777" i="5"/>
  <c r="S2776" i="5"/>
  <c r="Q2776" i="5"/>
  <c r="S2775" i="5"/>
  <c r="Q2775" i="5"/>
  <c r="S2774" i="5"/>
  <c r="Q2774" i="5"/>
  <c r="S2773" i="5"/>
  <c r="Q2773" i="5"/>
  <c r="S2772" i="5"/>
  <c r="Q2772" i="5"/>
  <c r="S2771" i="5"/>
  <c r="Q2771" i="5"/>
  <c r="S2770" i="5"/>
  <c r="Q2770" i="5"/>
  <c r="S2769" i="5"/>
  <c r="Q2769" i="5"/>
  <c r="S2768" i="5"/>
  <c r="Q2768" i="5"/>
  <c r="S2767" i="5"/>
  <c r="Q2767" i="5"/>
  <c r="S2766" i="5"/>
  <c r="Q2766" i="5"/>
  <c r="S2765" i="5"/>
  <c r="Q2765" i="5"/>
  <c r="S2764" i="5"/>
  <c r="Q2764" i="5"/>
  <c r="S2763" i="5"/>
  <c r="Q2763" i="5"/>
  <c r="S2762" i="5"/>
  <c r="Q2762" i="5"/>
  <c r="S2761" i="5"/>
  <c r="Q2761" i="5"/>
  <c r="S2760" i="5"/>
  <c r="Q2760" i="5"/>
  <c r="S2759" i="5"/>
  <c r="Q2759" i="5"/>
  <c r="S2758" i="5"/>
  <c r="Q2758" i="5"/>
  <c r="S2757" i="5"/>
  <c r="Q2757" i="5"/>
  <c r="S2756" i="5"/>
  <c r="Q2756" i="5"/>
  <c r="S2755" i="5"/>
  <c r="Q2755" i="5"/>
  <c r="S2754" i="5"/>
  <c r="Q2754" i="5"/>
  <c r="S2753" i="5"/>
  <c r="Q2753" i="5"/>
  <c r="S2752" i="5"/>
  <c r="Q2752" i="5"/>
  <c r="S2751" i="5"/>
  <c r="Q2751" i="5"/>
  <c r="S2750" i="5"/>
  <c r="Q2750" i="5"/>
  <c r="S2749" i="5"/>
  <c r="Q2749" i="5"/>
  <c r="S2748" i="5"/>
  <c r="Q2748" i="5"/>
  <c r="S2747" i="5"/>
  <c r="Q2747" i="5"/>
  <c r="S2746" i="5"/>
  <c r="Q2746" i="5"/>
  <c r="S2745" i="5"/>
  <c r="Q2745" i="5"/>
  <c r="S2744" i="5"/>
  <c r="Q2744" i="5"/>
  <c r="S2743" i="5"/>
  <c r="Q2743" i="5"/>
  <c r="S2742" i="5"/>
  <c r="Q2742" i="5"/>
  <c r="S2741" i="5"/>
  <c r="Q2741" i="5"/>
  <c r="S2740" i="5"/>
  <c r="Q2740" i="5"/>
  <c r="S2739" i="5"/>
  <c r="Q2739" i="5"/>
  <c r="S2738" i="5"/>
  <c r="Q2738" i="5"/>
  <c r="S2737" i="5"/>
  <c r="Q2737" i="5"/>
  <c r="S2736" i="5"/>
  <c r="Q2736" i="5"/>
  <c r="S2735" i="5"/>
  <c r="Q2735" i="5"/>
  <c r="S2734" i="5"/>
  <c r="Q2734" i="5"/>
  <c r="S2733" i="5"/>
  <c r="Q2733" i="5"/>
  <c r="S2732" i="5"/>
  <c r="Q2732" i="5"/>
  <c r="S2731" i="5"/>
  <c r="Q2731" i="5"/>
  <c r="S2730" i="5"/>
  <c r="Q2730" i="5"/>
  <c r="S2729" i="5"/>
  <c r="Q2729" i="5"/>
  <c r="S2728" i="5"/>
  <c r="Q2728" i="5"/>
  <c r="S2727" i="5"/>
  <c r="Q2727" i="5"/>
  <c r="S2726" i="5"/>
  <c r="Q2726" i="5"/>
  <c r="S2725" i="5"/>
  <c r="Q2725" i="5"/>
  <c r="S2724" i="5"/>
  <c r="Q2724" i="5"/>
  <c r="S2723" i="5"/>
  <c r="Q2723" i="5"/>
  <c r="S2722" i="5"/>
  <c r="Q2722" i="5"/>
  <c r="S2721" i="5"/>
  <c r="Q2721" i="5"/>
  <c r="S2720" i="5"/>
  <c r="Q2720" i="5"/>
  <c r="S2719" i="5"/>
  <c r="Q2719" i="5"/>
  <c r="S2718" i="5"/>
  <c r="Q2718" i="5"/>
  <c r="S2717" i="5"/>
  <c r="Q2717" i="5"/>
  <c r="S2716" i="5"/>
  <c r="Q2716" i="5"/>
  <c r="S2715" i="5"/>
  <c r="Q2715" i="5"/>
  <c r="S2714" i="5"/>
  <c r="Q2714" i="5"/>
  <c r="S2713" i="5"/>
  <c r="Q2713" i="5"/>
  <c r="S2712" i="5"/>
  <c r="Q2712" i="5"/>
  <c r="S2711" i="5"/>
  <c r="Q2711" i="5"/>
  <c r="S2710" i="5"/>
  <c r="Q2710" i="5"/>
  <c r="S2709" i="5"/>
  <c r="Q2709" i="5"/>
  <c r="S2708" i="5"/>
  <c r="Q2708" i="5"/>
  <c r="S2707" i="5"/>
  <c r="Q2707" i="5"/>
  <c r="S2706" i="5"/>
  <c r="Q2706" i="5"/>
  <c r="S2705" i="5"/>
  <c r="Q2705" i="5"/>
  <c r="S2704" i="5"/>
  <c r="Q2704" i="5"/>
  <c r="S2703" i="5"/>
  <c r="Q2703" i="5"/>
  <c r="S2702" i="5"/>
  <c r="Q2702" i="5"/>
  <c r="S2701" i="5"/>
  <c r="Q2701" i="5"/>
  <c r="S2700" i="5"/>
  <c r="Q2700" i="5"/>
  <c r="S2699" i="5"/>
  <c r="Q2699" i="5"/>
  <c r="S2698" i="5"/>
  <c r="Q2698" i="5"/>
  <c r="S2697" i="5"/>
  <c r="Q2697" i="5"/>
  <c r="S2696" i="5"/>
  <c r="Q2696" i="5"/>
  <c r="S2695" i="5"/>
  <c r="Q2695" i="5"/>
  <c r="S2694" i="5"/>
  <c r="Q2694" i="5"/>
  <c r="S2693" i="5"/>
  <c r="Q2693" i="5"/>
  <c r="S2692" i="5"/>
  <c r="Q2692" i="5"/>
  <c r="S2691" i="5"/>
  <c r="Q2691" i="5"/>
  <c r="S2690" i="5"/>
  <c r="Q2690" i="5"/>
  <c r="S2689" i="5"/>
  <c r="Q2689" i="5"/>
  <c r="S2688" i="5"/>
  <c r="Q2688" i="5"/>
  <c r="S2687" i="5"/>
  <c r="Q2687" i="5"/>
  <c r="S2686" i="5"/>
  <c r="Q2686" i="5"/>
  <c r="S2685" i="5"/>
  <c r="Q2685" i="5"/>
  <c r="S2684" i="5"/>
  <c r="Q2684" i="5"/>
  <c r="S2683" i="5"/>
  <c r="Q2683" i="5"/>
  <c r="S2682" i="5"/>
  <c r="Q2682" i="5"/>
  <c r="S2681" i="5"/>
  <c r="Q2681" i="5"/>
  <c r="S2680" i="5"/>
  <c r="Q2680" i="5"/>
  <c r="S2679" i="5"/>
  <c r="Q2679" i="5"/>
  <c r="S2678" i="5"/>
  <c r="Q2678" i="5"/>
  <c r="S2677" i="5"/>
  <c r="Q2677" i="5"/>
  <c r="S2676" i="5"/>
  <c r="Q2676" i="5"/>
  <c r="S2675" i="5"/>
  <c r="Q2675" i="5"/>
  <c r="S2674" i="5"/>
  <c r="Q2674" i="5"/>
  <c r="S2673" i="5"/>
  <c r="Q2673" i="5"/>
  <c r="S2672" i="5"/>
  <c r="Q2672" i="5"/>
  <c r="S2671" i="5"/>
  <c r="Q2671" i="5"/>
  <c r="S2670" i="5"/>
  <c r="Q2670" i="5"/>
  <c r="S2669" i="5"/>
  <c r="Q2669" i="5"/>
  <c r="S2668" i="5"/>
  <c r="Q2668" i="5"/>
  <c r="S2667" i="5"/>
  <c r="Q2667" i="5"/>
  <c r="S2666" i="5"/>
  <c r="Q2666" i="5"/>
  <c r="S2665" i="5"/>
  <c r="Q2665" i="5"/>
  <c r="S2664" i="5"/>
  <c r="Q2664" i="5"/>
  <c r="S2663" i="5"/>
  <c r="Q2663" i="5"/>
  <c r="S2662" i="5"/>
  <c r="Q2662" i="5"/>
  <c r="S2661" i="5"/>
  <c r="Q2661" i="5"/>
  <c r="S2660" i="5"/>
  <c r="Q2660" i="5"/>
  <c r="S2659" i="5"/>
  <c r="Q2659" i="5"/>
  <c r="S2658" i="5"/>
  <c r="Q2658" i="5"/>
  <c r="S2657" i="5"/>
  <c r="Q2657" i="5"/>
  <c r="S2656" i="5"/>
  <c r="Q2656" i="5"/>
  <c r="S2655" i="5"/>
  <c r="Q2655" i="5"/>
  <c r="S2654" i="5"/>
  <c r="Q2654" i="5"/>
  <c r="S2653" i="5"/>
  <c r="Q2653" i="5"/>
  <c r="S2652" i="5"/>
  <c r="Q2652" i="5"/>
  <c r="S2651" i="5"/>
  <c r="Q2651" i="5"/>
  <c r="S2650" i="5"/>
  <c r="Q2650" i="5"/>
  <c r="S2649" i="5"/>
  <c r="Q2649" i="5"/>
  <c r="S2648" i="5"/>
  <c r="Q2648" i="5"/>
  <c r="S2647" i="5"/>
  <c r="Q2647" i="5"/>
  <c r="S2646" i="5"/>
  <c r="Q2646" i="5"/>
  <c r="S2645" i="5"/>
  <c r="Q2645" i="5"/>
  <c r="S2644" i="5"/>
  <c r="Q2644" i="5"/>
  <c r="S2643" i="5"/>
  <c r="Q2643" i="5"/>
  <c r="S2642" i="5"/>
  <c r="Q2642" i="5"/>
  <c r="S2641" i="5"/>
  <c r="Q2641" i="5"/>
  <c r="S2640" i="5"/>
  <c r="Q2640" i="5"/>
  <c r="S2639" i="5"/>
  <c r="Q2639" i="5"/>
  <c r="S2638" i="5"/>
  <c r="Q2638" i="5"/>
  <c r="S2637" i="5"/>
  <c r="Q2637" i="5"/>
  <c r="S2636" i="5"/>
  <c r="Q2636" i="5"/>
  <c r="S2635" i="5"/>
  <c r="Q2635" i="5"/>
  <c r="S2634" i="5"/>
  <c r="Q2634" i="5"/>
  <c r="S2633" i="5"/>
  <c r="Q2633" i="5"/>
  <c r="S2632" i="5"/>
  <c r="Q2632" i="5"/>
  <c r="S2631" i="5"/>
  <c r="Q2631" i="5"/>
  <c r="S2630" i="5"/>
  <c r="Q2630" i="5"/>
  <c r="S2629" i="5"/>
  <c r="Q2629" i="5"/>
  <c r="S2628" i="5"/>
  <c r="Q2628" i="5"/>
  <c r="S2627" i="5"/>
  <c r="Q2627" i="5"/>
  <c r="S2626" i="5"/>
  <c r="Q2626" i="5"/>
  <c r="S2625" i="5"/>
  <c r="Q2625" i="5"/>
  <c r="S2624" i="5"/>
  <c r="Q2624" i="5"/>
  <c r="S2623" i="5"/>
  <c r="Q2623" i="5"/>
  <c r="S2622" i="5"/>
  <c r="Q2622" i="5"/>
  <c r="S2621" i="5"/>
  <c r="Q2621" i="5"/>
  <c r="S2620" i="5"/>
  <c r="Q2620" i="5"/>
  <c r="S2619" i="5"/>
  <c r="Q2619" i="5"/>
  <c r="S2618" i="5"/>
  <c r="Q2618" i="5"/>
  <c r="S2617" i="5"/>
  <c r="Q2617" i="5"/>
  <c r="S2616" i="5"/>
  <c r="Q2616" i="5"/>
  <c r="S2615" i="5"/>
  <c r="Q2615" i="5"/>
  <c r="S2614" i="5"/>
  <c r="Q2614" i="5"/>
  <c r="S2613" i="5"/>
  <c r="Q2613" i="5"/>
  <c r="S2612" i="5"/>
  <c r="Q2612" i="5"/>
  <c r="S2611" i="5"/>
  <c r="Q2611" i="5"/>
  <c r="S2610" i="5"/>
  <c r="Q2610" i="5"/>
  <c r="S2609" i="5"/>
  <c r="Q2609" i="5"/>
  <c r="S2608" i="5"/>
  <c r="Q2608" i="5"/>
  <c r="S2607" i="5"/>
  <c r="Q2607" i="5"/>
  <c r="S2606" i="5"/>
  <c r="Q2606" i="5"/>
  <c r="S2605" i="5"/>
  <c r="Q2605" i="5"/>
  <c r="S2604" i="5"/>
  <c r="Q2604" i="5"/>
  <c r="S2603" i="5"/>
  <c r="Q2603" i="5"/>
  <c r="S2602" i="5"/>
  <c r="Q2602" i="5"/>
  <c r="S2601" i="5"/>
  <c r="Q2601" i="5"/>
  <c r="S2600" i="5"/>
  <c r="Q2600" i="5"/>
  <c r="S2599" i="5"/>
  <c r="Q2599" i="5"/>
  <c r="S2598" i="5"/>
  <c r="Q2598" i="5"/>
  <c r="S2597" i="5"/>
  <c r="Q2597" i="5"/>
  <c r="S2596" i="5"/>
  <c r="Q2596" i="5"/>
  <c r="S2595" i="5"/>
  <c r="Q2595" i="5"/>
  <c r="S2594" i="5"/>
  <c r="Q2594" i="5"/>
  <c r="S2593" i="5"/>
  <c r="Q2593" i="5"/>
  <c r="S2592" i="5"/>
  <c r="Q2592" i="5"/>
  <c r="S2591" i="5"/>
  <c r="Q2591" i="5"/>
  <c r="S2590" i="5"/>
  <c r="Q2590" i="5"/>
  <c r="S2589" i="5"/>
  <c r="Q2589" i="5"/>
  <c r="S2588" i="5"/>
  <c r="Q2588" i="5"/>
  <c r="S2587" i="5"/>
  <c r="Q2587" i="5"/>
  <c r="S2586" i="5"/>
  <c r="Q2586" i="5"/>
  <c r="S2585" i="5"/>
  <c r="Q2585" i="5"/>
  <c r="S2584" i="5"/>
  <c r="Q2584" i="5"/>
  <c r="S2583" i="5"/>
  <c r="Q2583" i="5"/>
  <c r="S2582" i="5"/>
  <c r="Q2582" i="5"/>
  <c r="S2581" i="5"/>
  <c r="Q2581" i="5"/>
  <c r="S2580" i="5"/>
  <c r="Q2580" i="5"/>
  <c r="S2579" i="5"/>
  <c r="Q2579" i="5"/>
  <c r="S2578" i="5"/>
  <c r="Q2578" i="5"/>
  <c r="S2577" i="5"/>
  <c r="Q2577" i="5"/>
  <c r="S2576" i="5"/>
  <c r="Q2576" i="5"/>
  <c r="S2575" i="5"/>
  <c r="Q2575" i="5"/>
  <c r="S2574" i="5"/>
  <c r="Q2574" i="5"/>
  <c r="S2573" i="5"/>
  <c r="Q2573" i="5"/>
  <c r="S2572" i="5"/>
  <c r="Q2572" i="5"/>
  <c r="S2571" i="5"/>
  <c r="Q2571" i="5"/>
  <c r="S2570" i="5"/>
  <c r="Q2570" i="5"/>
  <c r="S2569" i="5"/>
  <c r="Q2569" i="5"/>
  <c r="S2568" i="5"/>
  <c r="Q2568" i="5"/>
  <c r="S2567" i="5"/>
  <c r="Q2567" i="5"/>
  <c r="S2566" i="5"/>
  <c r="Q2566" i="5"/>
  <c r="S2565" i="5"/>
  <c r="Q2565" i="5"/>
  <c r="S2564" i="5"/>
  <c r="Q2564" i="5"/>
  <c r="S2563" i="5"/>
  <c r="Q2563" i="5"/>
  <c r="S2562" i="5"/>
  <c r="Q2562" i="5"/>
  <c r="S2561" i="5"/>
  <c r="Q2561" i="5"/>
  <c r="S2560" i="5"/>
  <c r="Q2560" i="5"/>
  <c r="S2559" i="5"/>
  <c r="Q2559" i="5"/>
  <c r="S2558" i="5"/>
  <c r="Q2558" i="5"/>
  <c r="S2557" i="5"/>
  <c r="Q2557" i="5"/>
  <c r="S2556" i="5"/>
  <c r="Q2556" i="5"/>
  <c r="S2555" i="5"/>
  <c r="Q2555" i="5"/>
  <c r="S2554" i="5"/>
  <c r="Q2554" i="5"/>
  <c r="S2553" i="5"/>
  <c r="Q2553" i="5"/>
  <c r="S2552" i="5"/>
  <c r="Q2552" i="5"/>
  <c r="S2551" i="5"/>
  <c r="Q2551" i="5"/>
  <c r="S2550" i="5"/>
  <c r="Q2550" i="5"/>
  <c r="S2549" i="5"/>
  <c r="Q2549" i="5"/>
  <c r="S2548" i="5"/>
  <c r="Q2548" i="5"/>
  <c r="S2547" i="5"/>
  <c r="Q2547" i="5"/>
  <c r="S2546" i="5"/>
  <c r="Q2546" i="5"/>
  <c r="S2545" i="5"/>
  <c r="Q2545" i="5"/>
  <c r="S2544" i="5"/>
  <c r="Q2544" i="5"/>
  <c r="S2543" i="5"/>
  <c r="Q2543" i="5"/>
  <c r="S2542" i="5"/>
  <c r="Q2542" i="5"/>
  <c r="S2541" i="5"/>
  <c r="Q2541" i="5"/>
  <c r="S2540" i="5"/>
  <c r="Q2540" i="5"/>
  <c r="S2539" i="5"/>
  <c r="Q2539" i="5"/>
  <c r="S2538" i="5"/>
  <c r="Q2538" i="5"/>
  <c r="S2537" i="5"/>
  <c r="Q2537" i="5"/>
  <c r="S2536" i="5"/>
  <c r="Q2536" i="5"/>
  <c r="S2535" i="5"/>
  <c r="Q2535" i="5"/>
  <c r="S2534" i="5"/>
  <c r="Q2534" i="5"/>
  <c r="S2533" i="5"/>
  <c r="Q2533" i="5"/>
  <c r="S2532" i="5"/>
  <c r="Q2532" i="5"/>
  <c r="S2531" i="5"/>
  <c r="Q2531" i="5"/>
  <c r="S2530" i="5"/>
  <c r="Q2530" i="5"/>
  <c r="S2529" i="5"/>
  <c r="Q2529" i="5"/>
  <c r="S2528" i="5"/>
  <c r="Q2528" i="5"/>
  <c r="S2527" i="5"/>
  <c r="Q2527" i="5"/>
  <c r="S2526" i="5"/>
  <c r="Q2526" i="5"/>
  <c r="S2525" i="5"/>
  <c r="Q2525" i="5"/>
  <c r="S2524" i="5"/>
  <c r="Q2524" i="5"/>
  <c r="S2523" i="5"/>
  <c r="Q2523" i="5"/>
  <c r="S2522" i="5"/>
  <c r="Q2522" i="5"/>
  <c r="S2521" i="5"/>
  <c r="Q2521" i="5"/>
  <c r="S2520" i="5"/>
  <c r="Q2520" i="5"/>
  <c r="S2519" i="5"/>
  <c r="Q2519" i="5"/>
  <c r="S2518" i="5"/>
  <c r="Q2518" i="5"/>
  <c r="S2517" i="5"/>
  <c r="Q2517" i="5"/>
  <c r="S2516" i="5"/>
  <c r="Q2516" i="5"/>
  <c r="S2515" i="5"/>
  <c r="Q2515" i="5"/>
  <c r="S2514" i="5"/>
  <c r="Q2514" i="5"/>
  <c r="S2513" i="5"/>
  <c r="Q2513" i="5"/>
  <c r="S2512" i="5"/>
  <c r="Q2512" i="5"/>
  <c r="S2511" i="5"/>
  <c r="Q2511" i="5"/>
  <c r="S2510" i="5"/>
  <c r="Q2510" i="5"/>
  <c r="S2509" i="5"/>
  <c r="Q2509" i="5"/>
  <c r="S2508" i="5"/>
  <c r="Q2508" i="5"/>
  <c r="S2507" i="5"/>
  <c r="Q2507" i="5"/>
  <c r="S2506" i="5"/>
  <c r="Q2506" i="5"/>
  <c r="S2505" i="5"/>
  <c r="Q2505" i="5"/>
  <c r="S2504" i="5"/>
  <c r="Q2504" i="5"/>
  <c r="S2503" i="5"/>
  <c r="Q2503" i="5"/>
  <c r="S2502" i="5"/>
  <c r="Q2502" i="5"/>
  <c r="S2501" i="5"/>
  <c r="Q2501" i="5"/>
  <c r="S2500" i="5"/>
  <c r="Q2500" i="5"/>
  <c r="S2499" i="5"/>
  <c r="Q2499" i="5"/>
  <c r="S2498" i="5"/>
  <c r="Q2498" i="5"/>
  <c r="S2497" i="5"/>
  <c r="Q2497" i="5"/>
  <c r="S2496" i="5"/>
  <c r="Q2496" i="5"/>
  <c r="S2495" i="5"/>
  <c r="Q2495" i="5"/>
  <c r="S2494" i="5"/>
  <c r="Q2494" i="5"/>
  <c r="S2493" i="5"/>
  <c r="Q2493" i="5"/>
  <c r="S2492" i="5"/>
  <c r="Q2492" i="5"/>
  <c r="S2491" i="5"/>
  <c r="Q2491" i="5"/>
  <c r="S2490" i="5"/>
  <c r="Q2490" i="5"/>
  <c r="S2489" i="5"/>
  <c r="Q2489" i="5"/>
  <c r="S2488" i="5"/>
  <c r="Q2488" i="5"/>
  <c r="S2487" i="5"/>
  <c r="Q2487" i="5"/>
  <c r="S2486" i="5"/>
  <c r="Q2486" i="5"/>
  <c r="S2485" i="5"/>
  <c r="Q2485" i="5"/>
  <c r="S2484" i="5"/>
  <c r="Q2484" i="5"/>
  <c r="S2483" i="5"/>
  <c r="Q2483" i="5"/>
  <c r="S2482" i="5"/>
  <c r="Q2482" i="5"/>
  <c r="S2481" i="5"/>
  <c r="Q2481" i="5"/>
  <c r="S2480" i="5"/>
  <c r="Q2480" i="5"/>
  <c r="S2479" i="5"/>
  <c r="Q2479" i="5"/>
  <c r="S2478" i="5"/>
  <c r="Q2478" i="5"/>
  <c r="S2477" i="5"/>
  <c r="Q2477" i="5"/>
  <c r="S2476" i="5"/>
  <c r="Q2476" i="5"/>
  <c r="S2475" i="5"/>
  <c r="Q2475" i="5"/>
  <c r="S2474" i="5"/>
  <c r="Q2474" i="5"/>
  <c r="S2473" i="5"/>
  <c r="Q2473" i="5"/>
  <c r="S2472" i="5"/>
  <c r="Q2472" i="5"/>
  <c r="S2471" i="5"/>
  <c r="Q2471" i="5"/>
  <c r="S2470" i="5"/>
  <c r="Q2470" i="5"/>
  <c r="S2469" i="5"/>
  <c r="Q2469" i="5"/>
  <c r="S2468" i="5"/>
  <c r="Q2468" i="5"/>
  <c r="S2467" i="5"/>
  <c r="Q2467" i="5"/>
  <c r="S2466" i="5"/>
  <c r="Q2466" i="5"/>
  <c r="S2465" i="5"/>
  <c r="Q2465" i="5"/>
  <c r="S2464" i="5"/>
  <c r="Q2464" i="5"/>
  <c r="S2463" i="5"/>
  <c r="Q2463" i="5"/>
  <c r="S2462" i="5"/>
  <c r="Q2462" i="5"/>
  <c r="S2461" i="5"/>
  <c r="Q2461" i="5"/>
  <c r="S2460" i="5"/>
  <c r="Q2460" i="5"/>
  <c r="S2459" i="5"/>
  <c r="Q2459" i="5"/>
  <c r="S2458" i="5"/>
  <c r="Q2458" i="5"/>
  <c r="S2457" i="5"/>
  <c r="Q2457" i="5"/>
  <c r="S2456" i="5"/>
  <c r="Q2456" i="5"/>
  <c r="S2455" i="5"/>
  <c r="Q2455" i="5"/>
  <c r="S2454" i="5"/>
  <c r="Q2454" i="5"/>
  <c r="S2453" i="5"/>
  <c r="Q2453" i="5"/>
  <c r="S2452" i="5"/>
  <c r="Q2452" i="5"/>
  <c r="S2451" i="5"/>
  <c r="Q2451" i="5"/>
  <c r="S2450" i="5"/>
  <c r="Q2450" i="5"/>
  <c r="S2449" i="5"/>
  <c r="Q2449" i="5"/>
  <c r="S2448" i="5"/>
  <c r="Q2448" i="5"/>
  <c r="S2447" i="5"/>
  <c r="Q2447" i="5"/>
  <c r="S2446" i="5"/>
  <c r="Q2446" i="5"/>
  <c r="S2445" i="5"/>
  <c r="Q2445" i="5"/>
  <c r="S2444" i="5"/>
  <c r="Q2444" i="5"/>
  <c r="S2443" i="5"/>
  <c r="Q2443" i="5"/>
  <c r="S2442" i="5"/>
  <c r="Q2442" i="5"/>
  <c r="S2441" i="5"/>
  <c r="Q2441" i="5"/>
  <c r="S2440" i="5"/>
  <c r="Q2440" i="5"/>
  <c r="S2439" i="5"/>
  <c r="Q2439" i="5"/>
  <c r="S2438" i="5"/>
  <c r="Q2438" i="5"/>
  <c r="S2437" i="5"/>
  <c r="Q2437" i="5"/>
  <c r="S2436" i="5"/>
  <c r="Q2436" i="5"/>
  <c r="S2435" i="5"/>
  <c r="Q2435" i="5"/>
  <c r="S2434" i="5"/>
  <c r="Q2434" i="5"/>
  <c r="S2433" i="5"/>
  <c r="Q2433" i="5"/>
  <c r="S2432" i="5"/>
  <c r="Q2432" i="5"/>
  <c r="S2431" i="5"/>
  <c r="Q2431" i="5"/>
  <c r="S2430" i="5"/>
  <c r="Q2430" i="5"/>
  <c r="S2429" i="5"/>
  <c r="Q2429" i="5"/>
  <c r="S2428" i="5"/>
  <c r="Q2428" i="5"/>
  <c r="S2427" i="5"/>
  <c r="Q2427" i="5"/>
  <c r="S2426" i="5"/>
  <c r="Q2426" i="5"/>
  <c r="S2425" i="5"/>
  <c r="Q2425" i="5"/>
  <c r="S2424" i="5"/>
  <c r="Q2424" i="5"/>
  <c r="S2423" i="5"/>
  <c r="Q2423" i="5"/>
  <c r="S2422" i="5"/>
  <c r="Q2422" i="5"/>
  <c r="S2421" i="5"/>
  <c r="Q2421" i="5"/>
  <c r="S2420" i="5"/>
  <c r="Q2420" i="5"/>
  <c r="S2419" i="5"/>
  <c r="Q2419" i="5"/>
  <c r="S2418" i="5"/>
  <c r="Q2418" i="5"/>
  <c r="S2417" i="5"/>
  <c r="Q2417" i="5"/>
  <c r="S2416" i="5"/>
  <c r="Q2416" i="5"/>
  <c r="S2415" i="5"/>
  <c r="Q2415" i="5"/>
  <c r="S2414" i="5"/>
  <c r="Q2414" i="5"/>
  <c r="S2413" i="5"/>
  <c r="Q2413" i="5"/>
  <c r="S2412" i="5"/>
  <c r="Q2412" i="5"/>
  <c r="S2411" i="5"/>
  <c r="Q2411" i="5"/>
  <c r="S2410" i="5"/>
  <c r="Q2410" i="5"/>
  <c r="S2409" i="5"/>
  <c r="Q2409" i="5"/>
  <c r="S2408" i="5"/>
  <c r="Q2408" i="5"/>
  <c r="S2407" i="5"/>
  <c r="Q2407" i="5"/>
  <c r="S2406" i="5"/>
  <c r="Q2406" i="5"/>
  <c r="S2405" i="5"/>
  <c r="Q2405" i="5"/>
  <c r="S2404" i="5"/>
  <c r="Q2404" i="5"/>
  <c r="S2403" i="5"/>
  <c r="Q2403" i="5"/>
  <c r="S2402" i="5"/>
  <c r="Q2402" i="5"/>
  <c r="S2401" i="5"/>
  <c r="Q2401" i="5"/>
  <c r="S2400" i="5"/>
  <c r="Q2400" i="5"/>
  <c r="S2399" i="5"/>
  <c r="Q2399" i="5"/>
  <c r="S2398" i="5"/>
  <c r="Q2398" i="5"/>
  <c r="S2397" i="5"/>
  <c r="Q2397" i="5"/>
  <c r="S2396" i="5"/>
  <c r="Q2396" i="5"/>
  <c r="S2395" i="5"/>
  <c r="Q2395" i="5"/>
  <c r="S2394" i="5"/>
  <c r="Q2394" i="5"/>
  <c r="S2393" i="5"/>
  <c r="Q2393" i="5"/>
  <c r="S2392" i="5"/>
  <c r="Q2392" i="5"/>
  <c r="S2391" i="5"/>
  <c r="Q2391" i="5"/>
  <c r="S2390" i="5"/>
  <c r="Q2390" i="5"/>
  <c r="S2389" i="5"/>
  <c r="Q2389" i="5"/>
  <c r="S2388" i="5"/>
  <c r="Q2388" i="5"/>
  <c r="S2387" i="5"/>
  <c r="Q2387" i="5"/>
  <c r="S2386" i="5"/>
  <c r="Q2386" i="5"/>
  <c r="S2385" i="5"/>
  <c r="Q2385" i="5"/>
  <c r="S2384" i="5"/>
  <c r="Q2384" i="5"/>
  <c r="S2383" i="5"/>
  <c r="Q2383" i="5"/>
  <c r="S2382" i="5"/>
  <c r="Q2382" i="5"/>
  <c r="S2381" i="5"/>
  <c r="Q2381" i="5"/>
  <c r="S2380" i="5"/>
  <c r="Q2380" i="5"/>
  <c r="S2379" i="5"/>
  <c r="Q2379" i="5"/>
  <c r="S2378" i="5"/>
  <c r="Q2378" i="5"/>
  <c r="S2377" i="5"/>
  <c r="Q2377" i="5"/>
  <c r="S2376" i="5"/>
  <c r="Q2376" i="5"/>
  <c r="S2375" i="5"/>
  <c r="Q2375" i="5"/>
  <c r="S2374" i="5"/>
  <c r="Q2374" i="5"/>
  <c r="S2373" i="5"/>
  <c r="Q2373" i="5"/>
  <c r="S2372" i="5"/>
  <c r="Q2372" i="5"/>
  <c r="S2371" i="5"/>
  <c r="Q2371" i="5"/>
  <c r="S2370" i="5"/>
  <c r="Q2370" i="5"/>
  <c r="S2369" i="5"/>
  <c r="Q2369" i="5"/>
  <c r="S2368" i="5"/>
  <c r="Q2368" i="5"/>
  <c r="S2367" i="5"/>
  <c r="Q2367" i="5"/>
  <c r="S2366" i="5"/>
  <c r="Q2366" i="5"/>
  <c r="S2365" i="5"/>
  <c r="Q2365" i="5"/>
  <c r="S2364" i="5"/>
  <c r="Q2364" i="5"/>
  <c r="S2363" i="5"/>
  <c r="Q2363" i="5"/>
  <c r="S2362" i="5"/>
  <c r="Q2362" i="5"/>
  <c r="S2361" i="5"/>
  <c r="Q2361" i="5"/>
  <c r="S2360" i="5"/>
  <c r="Q2360" i="5"/>
  <c r="S2359" i="5"/>
  <c r="Q2359" i="5"/>
  <c r="S2358" i="5"/>
  <c r="Q2358" i="5"/>
  <c r="S2357" i="5"/>
  <c r="Q2357" i="5"/>
  <c r="S2356" i="5"/>
  <c r="Q2356" i="5"/>
  <c r="S2355" i="5"/>
  <c r="Q2355" i="5"/>
  <c r="S2354" i="5"/>
  <c r="Q2354" i="5"/>
  <c r="S2353" i="5"/>
  <c r="Q2353" i="5"/>
  <c r="S2352" i="5"/>
  <c r="Q2352" i="5"/>
  <c r="S2351" i="5"/>
  <c r="Q2351" i="5"/>
  <c r="S2350" i="5"/>
  <c r="Q2350" i="5"/>
  <c r="S2349" i="5"/>
  <c r="Q2349" i="5"/>
  <c r="S2348" i="5"/>
  <c r="Q2348" i="5"/>
  <c r="S2347" i="5"/>
  <c r="Q2347" i="5"/>
  <c r="S2346" i="5"/>
  <c r="Q2346" i="5"/>
  <c r="S2345" i="5"/>
  <c r="Q2345" i="5"/>
  <c r="S2344" i="5"/>
  <c r="Q2344" i="5"/>
  <c r="S2343" i="5"/>
  <c r="Q2343" i="5"/>
  <c r="S2342" i="5"/>
  <c r="Q2342" i="5"/>
  <c r="S2341" i="5"/>
  <c r="Q2341" i="5"/>
  <c r="S2340" i="5"/>
  <c r="Q2340" i="5"/>
  <c r="S2339" i="5"/>
  <c r="Q2339" i="5"/>
  <c r="S2338" i="5"/>
  <c r="Q2338" i="5"/>
  <c r="S2337" i="5"/>
  <c r="Q2337" i="5"/>
  <c r="S2336" i="5"/>
  <c r="Q2336" i="5"/>
  <c r="S2335" i="5"/>
  <c r="Q2335" i="5"/>
  <c r="S2334" i="5"/>
  <c r="Q2334" i="5"/>
  <c r="S2333" i="5"/>
  <c r="Q2333" i="5"/>
  <c r="S2332" i="5"/>
  <c r="Q2332" i="5"/>
  <c r="S2331" i="5"/>
  <c r="Q2331" i="5"/>
  <c r="S2330" i="5"/>
  <c r="Q2330" i="5"/>
  <c r="S2329" i="5"/>
  <c r="Q2329" i="5"/>
  <c r="S2328" i="5"/>
  <c r="Q2328" i="5"/>
  <c r="S2327" i="5"/>
  <c r="Q2327" i="5"/>
  <c r="S2326" i="5"/>
  <c r="Q2326" i="5"/>
  <c r="S2325" i="5"/>
  <c r="Q2325" i="5"/>
  <c r="S2324" i="5"/>
  <c r="Q2324" i="5"/>
  <c r="S2323" i="5"/>
  <c r="Q2323" i="5"/>
  <c r="S2322" i="5"/>
  <c r="Q2322" i="5"/>
  <c r="S2321" i="5"/>
  <c r="Q2321" i="5"/>
  <c r="S2320" i="5"/>
  <c r="Q2320" i="5"/>
  <c r="S2319" i="5"/>
  <c r="Q2319" i="5"/>
  <c r="S2318" i="5"/>
  <c r="Q2318" i="5"/>
  <c r="S2317" i="5"/>
  <c r="Q2317" i="5"/>
  <c r="S2316" i="5"/>
  <c r="Q2316" i="5"/>
  <c r="S2315" i="5"/>
  <c r="Q2315" i="5"/>
  <c r="S2314" i="5"/>
  <c r="Q2314" i="5"/>
  <c r="S2313" i="5"/>
  <c r="Q2313" i="5"/>
  <c r="S2312" i="5"/>
  <c r="Q2312" i="5"/>
  <c r="S2311" i="5"/>
  <c r="Q2311" i="5"/>
  <c r="S2310" i="5"/>
  <c r="Q2310" i="5"/>
  <c r="S2309" i="5"/>
  <c r="Q2309" i="5"/>
  <c r="S2308" i="5"/>
  <c r="Q2308" i="5"/>
  <c r="S2307" i="5"/>
  <c r="Q2307" i="5"/>
  <c r="S2306" i="5"/>
  <c r="Q2306" i="5"/>
  <c r="S2305" i="5"/>
  <c r="Q2305" i="5"/>
  <c r="S2304" i="5"/>
  <c r="Q2304" i="5"/>
  <c r="S2303" i="5"/>
  <c r="Q2303" i="5"/>
  <c r="S2302" i="5"/>
  <c r="Q2302" i="5"/>
  <c r="S2301" i="5"/>
  <c r="Q2301" i="5"/>
  <c r="S2300" i="5"/>
  <c r="Q2300" i="5"/>
  <c r="S2299" i="5"/>
  <c r="Q2299" i="5"/>
  <c r="S2298" i="5"/>
  <c r="Q2298" i="5"/>
  <c r="S2297" i="5"/>
  <c r="Q2297" i="5"/>
  <c r="S2296" i="5"/>
  <c r="Q2296" i="5"/>
  <c r="S2295" i="5"/>
  <c r="Q2295" i="5"/>
  <c r="S2294" i="5"/>
  <c r="Q2294" i="5"/>
  <c r="S2293" i="5"/>
  <c r="Q2293" i="5"/>
  <c r="S2292" i="5"/>
  <c r="Q2292" i="5"/>
  <c r="S2291" i="5"/>
  <c r="Q2291" i="5"/>
  <c r="S2290" i="5"/>
  <c r="Q2290" i="5"/>
  <c r="S2289" i="5"/>
  <c r="Q2289" i="5"/>
  <c r="S2288" i="5"/>
  <c r="Q2288" i="5"/>
  <c r="S2287" i="5"/>
  <c r="Q2287" i="5"/>
  <c r="S2286" i="5"/>
  <c r="Q2286" i="5"/>
  <c r="S2285" i="5"/>
  <c r="Q2285" i="5"/>
  <c r="S2284" i="5"/>
  <c r="Q2284" i="5"/>
  <c r="S2283" i="5"/>
  <c r="Q2283" i="5"/>
  <c r="S2282" i="5"/>
  <c r="Q2282" i="5"/>
  <c r="S2281" i="5"/>
  <c r="Q2281" i="5"/>
  <c r="S2280" i="5"/>
  <c r="Q2280" i="5"/>
  <c r="S2279" i="5"/>
  <c r="Q2279" i="5"/>
  <c r="S2278" i="5"/>
  <c r="Q2278" i="5"/>
  <c r="S2277" i="5"/>
  <c r="Q2277" i="5"/>
  <c r="S2276" i="5"/>
  <c r="Q2276" i="5"/>
  <c r="S2275" i="5"/>
  <c r="Q2275" i="5"/>
  <c r="S2274" i="5"/>
  <c r="Q2274" i="5"/>
  <c r="S2273" i="5"/>
  <c r="Q2273" i="5"/>
  <c r="S2272" i="5"/>
  <c r="Q2272" i="5"/>
  <c r="S2271" i="5"/>
  <c r="Q2271" i="5"/>
  <c r="S2270" i="5"/>
  <c r="Q2270" i="5"/>
  <c r="S2269" i="5"/>
  <c r="Q2269" i="5"/>
  <c r="S2268" i="5"/>
  <c r="Q2268" i="5"/>
  <c r="S2267" i="5"/>
  <c r="Q2267" i="5"/>
  <c r="S2266" i="5"/>
  <c r="Q2266" i="5"/>
  <c r="S2265" i="5"/>
  <c r="Q2265" i="5"/>
  <c r="S2264" i="5"/>
  <c r="Q2264" i="5"/>
  <c r="S2263" i="5"/>
  <c r="Q2263" i="5"/>
  <c r="S2262" i="5"/>
  <c r="Q2262" i="5"/>
  <c r="S2261" i="5"/>
  <c r="Q2261" i="5"/>
  <c r="S2260" i="5"/>
  <c r="Q2260" i="5"/>
  <c r="S2259" i="5"/>
  <c r="Q2259" i="5"/>
  <c r="S2258" i="5"/>
  <c r="Q2258" i="5"/>
  <c r="S2257" i="5"/>
  <c r="Q2257" i="5"/>
  <c r="S2256" i="5"/>
  <c r="Q2256" i="5"/>
  <c r="S2255" i="5"/>
  <c r="Q2255" i="5"/>
  <c r="S2254" i="5"/>
  <c r="Q2254" i="5"/>
  <c r="S2253" i="5"/>
  <c r="Q2253" i="5"/>
  <c r="S2252" i="5"/>
  <c r="Q2252" i="5"/>
  <c r="S2251" i="5"/>
  <c r="Q2251" i="5"/>
  <c r="S2250" i="5"/>
  <c r="Q2250" i="5"/>
  <c r="S2249" i="5"/>
  <c r="Q2249" i="5"/>
  <c r="S2248" i="5"/>
  <c r="Q2248" i="5"/>
  <c r="S2247" i="5"/>
  <c r="Q2247" i="5"/>
  <c r="S2246" i="5"/>
  <c r="Q2246" i="5"/>
  <c r="S2245" i="5"/>
  <c r="Q2245" i="5"/>
  <c r="S2244" i="5"/>
  <c r="Q2244" i="5"/>
  <c r="S2243" i="5"/>
  <c r="Q2243" i="5"/>
  <c r="S2242" i="5"/>
  <c r="Q2242" i="5"/>
  <c r="S2241" i="5"/>
  <c r="Q2241" i="5"/>
  <c r="S2240" i="5"/>
  <c r="Q2240" i="5"/>
  <c r="S2239" i="5"/>
  <c r="Q2239" i="5"/>
  <c r="S2238" i="5"/>
  <c r="Q2238" i="5"/>
  <c r="S2237" i="5"/>
  <c r="Q2237" i="5"/>
  <c r="S2236" i="5"/>
  <c r="Q2236" i="5"/>
  <c r="S2235" i="5"/>
  <c r="Q2235" i="5"/>
  <c r="S2234" i="5"/>
  <c r="Q2234" i="5"/>
  <c r="S2233" i="5"/>
  <c r="Q2233" i="5"/>
  <c r="S2232" i="5"/>
  <c r="Q2232" i="5"/>
  <c r="S2231" i="5"/>
  <c r="Q2231" i="5"/>
  <c r="S2230" i="5"/>
  <c r="Q2230" i="5"/>
  <c r="S2229" i="5"/>
  <c r="Q2229" i="5"/>
  <c r="S2228" i="5"/>
  <c r="Q2228" i="5"/>
  <c r="S2227" i="5"/>
  <c r="Q2227" i="5"/>
  <c r="S2226" i="5"/>
  <c r="Q2226" i="5"/>
  <c r="S2225" i="5"/>
  <c r="Q2225" i="5"/>
  <c r="S2224" i="5"/>
  <c r="Q2224" i="5"/>
  <c r="S2223" i="5"/>
  <c r="Q2223" i="5"/>
  <c r="S2222" i="5"/>
  <c r="Q2222" i="5"/>
  <c r="S2221" i="5"/>
  <c r="Q2221" i="5"/>
  <c r="S2220" i="5"/>
  <c r="Q2220" i="5"/>
  <c r="S2219" i="5"/>
  <c r="Q2219" i="5"/>
  <c r="S2218" i="5"/>
  <c r="Q2218" i="5"/>
  <c r="S2217" i="5"/>
  <c r="Q2217" i="5"/>
  <c r="S2216" i="5"/>
  <c r="Q2216" i="5"/>
  <c r="S2215" i="5"/>
  <c r="Q2215" i="5"/>
  <c r="S2214" i="5"/>
  <c r="Q2214" i="5"/>
  <c r="S2213" i="5"/>
  <c r="Q2213" i="5"/>
  <c r="S2212" i="5"/>
  <c r="Q2212" i="5"/>
  <c r="S2211" i="5"/>
  <c r="Q2211" i="5"/>
  <c r="S2210" i="5"/>
  <c r="Q2210" i="5"/>
  <c r="S2209" i="5"/>
  <c r="Q2209" i="5"/>
  <c r="S2208" i="5"/>
  <c r="Q2208" i="5"/>
  <c r="S2207" i="5"/>
  <c r="Q2207" i="5"/>
  <c r="S2206" i="5"/>
  <c r="Q2206" i="5"/>
  <c r="S2205" i="5"/>
  <c r="Q2205" i="5"/>
  <c r="S2204" i="5"/>
  <c r="Q2204" i="5"/>
  <c r="S2203" i="5"/>
  <c r="Q2203" i="5"/>
  <c r="S2202" i="5"/>
  <c r="Q2202" i="5"/>
  <c r="S2201" i="5"/>
  <c r="Q2201" i="5"/>
  <c r="S2200" i="5"/>
  <c r="Q2200" i="5"/>
  <c r="S2199" i="5"/>
  <c r="Q2199" i="5"/>
  <c r="S2198" i="5"/>
  <c r="Q2198" i="5"/>
  <c r="S2197" i="5"/>
  <c r="Q2197" i="5"/>
  <c r="S2196" i="5"/>
  <c r="Q2196" i="5"/>
  <c r="S2195" i="5"/>
  <c r="Q2195" i="5"/>
  <c r="S2194" i="5"/>
  <c r="Q2194" i="5"/>
  <c r="S2193" i="5"/>
  <c r="Q2193" i="5"/>
  <c r="S2192" i="5"/>
  <c r="Q2192" i="5"/>
  <c r="S2191" i="5"/>
  <c r="Q2191" i="5"/>
  <c r="S2190" i="5"/>
  <c r="Q2190" i="5"/>
  <c r="S2189" i="5"/>
  <c r="Q2189" i="5"/>
  <c r="S2188" i="5"/>
  <c r="Q2188" i="5"/>
  <c r="S2187" i="5"/>
  <c r="Q2187" i="5"/>
  <c r="S2186" i="5"/>
  <c r="Q2186" i="5"/>
  <c r="S2185" i="5"/>
  <c r="Q2185" i="5"/>
  <c r="S2184" i="5"/>
  <c r="Q2184" i="5"/>
  <c r="S2183" i="5"/>
  <c r="Q2183" i="5"/>
  <c r="S2182" i="5"/>
  <c r="Q2182" i="5"/>
  <c r="S2181" i="5"/>
  <c r="Q2181" i="5"/>
  <c r="S2180" i="5"/>
  <c r="Q2180" i="5"/>
  <c r="S2179" i="5"/>
  <c r="Q2179" i="5"/>
  <c r="S2178" i="5"/>
  <c r="Q2178" i="5"/>
  <c r="S2177" i="5"/>
  <c r="Q2177" i="5"/>
  <c r="S2176" i="5"/>
  <c r="Q2176" i="5"/>
  <c r="S2175" i="5"/>
  <c r="Q2175" i="5"/>
  <c r="S2174" i="5"/>
  <c r="Q2174" i="5"/>
  <c r="S2173" i="5"/>
  <c r="Q2173" i="5"/>
  <c r="S2172" i="5"/>
  <c r="Q2172" i="5"/>
  <c r="S2171" i="5"/>
  <c r="Q2171" i="5"/>
  <c r="S2170" i="5"/>
  <c r="Q2170" i="5"/>
  <c r="S2169" i="5"/>
  <c r="Q2169" i="5"/>
  <c r="S2168" i="5"/>
  <c r="Q2168" i="5"/>
  <c r="S2167" i="5"/>
  <c r="Q2167" i="5"/>
  <c r="S2166" i="5"/>
  <c r="Q2166" i="5"/>
  <c r="S2165" i="5"/>
  <c r="Q2165" i="5"/>
  <c r="S2164" i="5"/>
  <c r="Q2164" i="5"/>
  <c r="S2163" i="5"/>
  <c r="Q2163" i="5"/>
  <c r="S2162" i="5"/>
  <c r="Q2162" i="5"/>
  <c r="S2161" i="5"/>
  <c r="Q2161" i="5"/>
  <c r="S2160" i="5"/>
  <c r="Q2160" i="5"/>
  <c r="S2159" i="5"/>
  <c r="Q2159" i="5"/>
  <c r="S2158" i="5"/>
  <c r="Q2158" i="5"/>
  <c r="S2157" i="5"/>
  <c r="Q2157" i="5"/>
  <c r="S2156" i="5"/>
  <c r="Q2156" i="5"/>
  <c r="S2155" i="5"/>
  <c r="Q2155" i="5"/>
  <c r="S2154" i="5"/>
  <c r="Q2154" i="5"/>
  <c r="S2153" i="5"/>
  <c r="Q2153" i="5"/>
  <c r="S2152" i="5"/>
  <c r="Q2152" i="5"/>
  <c r="S2151" i="5"/>
  <c r="Q2151" i="5"/>
  <c r="S2150" i="5"/>
  <c r="Q2150" i="5"/>
  <c r="S2149" i="5"/>
  <c r="Q2149" i="5"/>
  <c r="S2148" i="5"/>
  <c r="Q2148" i="5"/>
  <c r="S2147" i="5"/>
  <c r="Q2147" i="5"/>
  <c r="S2146" i="5"/>
  <c r="Q2146" i="5"/>
  <c r="S2145" i="5"/>
  <c r="Q2145" i="5"/>
  <c r="S2144" i="5"/>
  <c r="Q2144" i="5"/>
  <c r="S2143" i="5"/>
  <c r="Q2143" i="5"/>
  <c r="S2142" i="5"/>
  <c r="Q2142" i="5"/>
  <c r="S2141" i="5"/>
  <c r="Q2141" i="5"/>
  <c r="S2140" i="5"/>
  <c r="Q2140" i="5"/>
  <c r="S2139" i="5"/>
  <c r="Q2139" i="5"/>
  <c r="S2138" i="5"/>
  <c r="Q2138" i="5"/>
  <c r="S2137" i="5"/>
  <c r="Q2137" i="5"/>
  <c r="S2136" i="5"/>
  <c r="Q2136" i="5"/>
  <c r="S2135" i="5"/>
  <c r="Q2135" i="5"/>
  <c r="S2134" i="5"/>
  <c r="Q2134" i="5"/>
  <c r="S2133" i="5"/>
  <c r="Q2133" i="5"/>
  <c r="S2132" i="5"/>
  <c r="Q2132" i="5"/>
  <c r="S2131" i="5"/>
  <c r="Q2131" i="5"/>
  <c r="S2130" i="5"/>
  <c r="Q2130" i="5"/>
  <c r="S2129" i="5"/>
  <c r="Q2129" i="5"/>
  <c r="S2128" i="5"/>
  <c r="Q2128" i="5"/>
  <c r="S2127" i="5"/>
  <c r="Q2127" i="5"/>
  <c r="S2126" i="5"/>
  <c r="Q2126" i="5"/>
  <c r="S2125" i="5"/>
  <c r="Q2125" i="5"/>
  <c r="S2124" i="5"/>
  <c r="Q2124" i="5"/>
  <c r="S2123" i="5"/>
  <c r="Q2123" i="5"/>
  <c r="S2122" i="5"/>
  <c r="Q2122" i="5"/>
  <c r="S2121" i="5"/>
  <c r="Q2121" i="5"/>
  <c r="S2120" i="5"/>
  <c r="Q2120" i="5"/>
  <c r="S2119" i="5"/>
  <c r="Q2119" i="5"/>
  <c r="S2118" i="5"/>
  <c r="Q2118" i="5"/>
  <c r="S2117" i="5"/>
  <c r="Q2117" i="5"/>
  <c r="S2116" i="5"/>
  <c r="Q2116" i="5"/>
  <c r="S2115" i="5"/>
  <c r="Q2115" i="5"/>
  <c r="S2114" i="5"/>
  <c r="Q2114" i="5"/>
  <c r="S2113" i="5"/>
  <c r="Q2113" i="5"/>
  <c r="S2112" i="5"/>
  <c r="Q2112" i="5"/>
  <c r="S2111" i="5"/>
  <c r="Q2111" i="5"/>
  <c r="S2110" i="5"/>
  <c r="Q2110" i="5"/>
  <c r="S2109" i="5"/>
  <c r="Q2109" i="5"/>
  <c r="S2108" i="5"/>
  <c r="Q2108" i="5"/>
  <c r="S2107" i="5"/>
  <c r="Q2107" i="5"/>
  <c r="S2106" i="5"/>
  <c r="Q2106" i="5"/>
  <c r="S2105" i="5"/>
  <c r="Q2105" i="5"/>
  <c r="S2104" i="5"/>
  <c r="Q2104" i="5"/>
  <c r="S2103" i="5"/>
  <c r="Q2103" i="5"/>
  <c r="S2102" i="5"/>
  <c r="Q2102" i="5"/>
  <c r="S2101" i="5"/>
  <c r="Q2101" i="5"/>
  <c r="S2100" i="5"/>
  <c r="Q2100" i="5"/>
  <c r="S2099" i="5"/>
  <c r="Q2099" i="5"/>
  <c r="S2098" i="5"/>
  <c r="Q2098" i="5"/>
  <c r="S2097" i="5"/>
  <c r="Q2097" i="5"/>
  <c r="S2096" i="5"/>
  <c r="Q2096" i="5"/>
  <c r="S2095" i="5"/>
  <c r="Q2095" i="5"/>
  <c r="S2094" i="5"/>
  <c r="Q2094" i="5"/>
  <c r="S2093" i="5"/>
  <c r="Q2093" i="5"/>
  <c r="S2092" i="5"/>
  <c r="Q2092" i="5"/>
  <c r="S2091" i="5"/>
  <c r="Q2091" i="5"/>
  <c r="S2090" i="5"/>
  <c r="Q2090" i="5"/>
  <c r="S2089" i="5"/>
  <c r="Q2089" i="5"/>
  <c r="S2088" i="5"/>
  <c r="Q2088" i="5"/>
  <c r="S2087" i="5"/>
  <c r="Q2087" i="5"/>
  <c r="S2086" i="5"/>
  <c r="Q2086" i="5"/>
  <c r="S2085" i="5"/>
  <c r="Q2085" i="5"/>
  <c r="S2084" i="5"/>
  <c r="Q2084" i="5"/>
  <c r="S2083" i="5"/>
  <c r="Q2083" i="5"/>
  <c r="S2082" i="5"/>
  <c r="Q2082" i="5"/>
  <c r="S2081" i="5"/>
  <c r="Q2081" i="5"/>
  <c r="S2080" i="5"/>
  <c r="Q2080" i="5"/>
  <c r="S2079" i="5"/>
  <c r="Q2079" i="5"/>
  <c r="S2078" i="5"/>
  <c r="Q2078" i="5"/>
  <c r="S2077" i="5"/>
  <c r="Q2077" i="5"/>
  <c r="S2076" i="5"/>
  <c r="Q2076" i="5"/>
  <c r="S2075" i="5"/>
  <c r="Q2075" i="5"/>
  <c r="S2074" i="5"/>
  <c r="Q2074" i="5"/>
  <c r="S2073" i="5"/>
  <c r="Q2073" i="5"/>
  <c r="S2072" i="5"/>
  <c r="Q2072" i="5"/>
  <c r="S2071" i="5"/>
  <c r="Q2071" i="5"/>
  <c r="S2070" i="5"/>
  <c r="Q2070" i="5"/>
  <c r="S2069" i="5"/>
  <c r="Q2069" i="5"/>
  <c r="S2068" i="5"/>
  <c r="Q2068" i="5"/>
  <c r="S2067" i="5"/>
  <c r="Q2067" i="5"/>
  <c r="S2066" i="5"/>
  <c r="Q2066" i="5"/>
  <c r="S2065" i="5"/>
  <c r="Q2065" i="5"/>
  <c r="S2064" i="5"/>
  <c r="Q2064" i="5"/>
  <c r="S2063" i="5"/>
  <c r="Q2063" i="5"/>
  <c r="S2062" i="5"/>
  <c r="Q2062" i="5"/>
  <c r="S2061" i="5"/>
  <c r="Q2061" i="5"/>
  <c r="S2060" i="5"/>
  <c r="Q2060" i="5"/>
  <c r="S2059" i="5"/>
  <c r="Q2059" i="5"/>
  <c r="S2058" i="5"/>
  <c r="Q2058" i="5"/>
  <c r="S2057" i="5"/>
  <c r="Q2057" i="5"/>
  <c r="S2056" i="5"/>
  <c r="Q2056" i="5"/>
  <c r="S2055" i="5"/>
  <c r="Q2055" i="5"/>
  <c r="S2054" i="5"/>
  <c r="Q2054" i="5"/>
  <c r="S2053" i="5"/>
  <c r="Q2053" i="5"/>
  <c r="S2052" i="5"/>
  <c r="Q2052" i="5"/>
  <c r="S2051" i="5"/>
  <c r="Q2051" i="5"/>
  <c r="S2050" i="5"/>
  <c r="Q2050" i="5"/>
  <c r="S2049" i="5"/>
  <c r="Q2049" i="5"/>
  <c r="S2048" i="5"/>
  <c r="Q2048" i="5"/>
  <c r="S2047" i="5"/>
  <c r="Q2047" i="5"/>
  <c r="S2046" i="5"/>
  <c r="Q2046" i="5"/>
  <c r="S2045" i="5"/>
  <c r="Q2045" i="5"/>
  <c r="S2044" i="5"/>
  <c r="Q2044" i="5"/>
  <c r="S2043" i="5"/>
  <c r="Q2043" i="5"/>
  <c r="S2042" i="5"/>
  <c r="Q2042" i="5"/>
  <c r="S2041" i="5"/>
  <c r="Q2041" i="5"/>
  <c r="S2040" i="5"/>
  <c r="Q2040" i="5"/>
  <c r="S2039" i="5"/>
  <c r="Q2039" i="5"/>
  <c r="S2038" i="5"/>
  <c r="Q2038" i="5"/>
  <c r="S2037" i="5"/>
  <c r="Q2037" i="5"/>
  <c r="S2036" i="5"/>
  <c r="Q2036" i="5"/>
  <c r="S2035" i="5"/>
  <c r="Q2035" i="5"/>
  <c r="S2034" i="5"/>
  <c r="Q2034" i="5"/>
  <c r="S2033" i="5"/>
  <c r="Q2033" i="5"/>
  <c r="S2032" i="5"/>
  <c r="Q2032" i="5"/>
  <c r="S2031" i="5"/>
  <c r="Q2031" i="5"/>
  <c r="S2030" i="5"/>
  <c r="Q2030" i="5"/>
  <c r="S2029" i="5"/>
  <c r="Q2029" i="5"/>
  <c r="S2028" i="5"/>
  <c r="Q2028" i="5"/>
  <c r="S2027" i="5"/>
  <c r="Q2027" i="5"/>
  <c r="S2026" i="5"/>
  <c r="Q2026" i="5"/>
  <c r="S2025" i="5"/>
  <c r="Q2025" i="5"/>
  <c r="S2024" i="5"/>
  <c r="Q2024" i="5"/>
  <c r="S2023" i="5"/>
  <c r="Q2023" i="5"/>
  <c r="S2022" i="5"/>
  <c r="Q2022" i="5"/>
  <c r="S2021" i="5"/>
  <c r="Q2021" i="5"/>
  <c r="S2020" i="5"/>
  <c r="Q2020" i="5"/>
  <c r="S2019" i="5"/>
  <c r="Q2019" i="5"/>
  <c r="S2018" i="5"/>
  <c r="Q2018" i="5"/>
  <c r="S2017" i="5"/>
  <c r="Q2017" i="5"/>
  <c r="S2016" i="5"/>
  <c r="Q2016" i="5"/>
  <c r="S2015" i="5"/>
  <c r="Q2015" i="5"/>
  <c r="S2014" i="5"/>
  <c r="Q2014" i="5"/>
  <c r="S2013" i="5"/>
  <c r="Q2013" i="5"/>
  <c r="S2012" i="5"/>
  <c r="Q2012" i="5"/>
  <c r="S2011" i="5"/>
  <c r="Q2011" i="5"/>
  <c r="S2010" i="5"/>
  <c r="Q2010" i="5"/>
  <c r="S2009" i="5"/>
  <c r="Q2009" i="5"/>
  <c r="S2008" i="5"/>
  <c r="Q2008" i="5"/>
  <c r="S2007" i="5"/>
  <c r="Q2007" i="5"/>
  <c r="S2006" i="5"/>
  <c r="Q2006" i="5"/>
  <c r="S2005" i="5"/>
  <c r="Q2005" i="5"/>
  <c r="S2004" i="5"/>
  <c r="Q2004" i="5"/>
  <c r="S2003" i="5"/>
  <c r="Q2003" i="5"/>
  <c r="S2002" i="5"/>
  <c r="Q2002" i="5"/>
  <c r="S2001" i="5"/>
  <c r="Q2001" i="5"/>
  <c r="S2000" i="5"/>
  <c r="Q2000" i="5"/>
  <c r="S1999" i="5"/>
  <c r="Q1999" i="5"/>
  <c r="S1998" i="5"/>
  <c r="Q1998" i="5"/>
  <c r="S1997" i="5"/>
  <c r="Q1997" i="5"/>
  <c r="S1996" i="5"/>
  <c r="Q1996" i="5"/>
  <c r="S1995" i="5"/>
  <c r="Q1995" i="5"/>
  <c r="S1994" i="5"/>
  <c r="Q1994" i="5"/>
  <c r="S1993" i="5"/>
  <c r="Q1993" i="5"/>
  <c r="S1992" i="5"/>
  <c r="Q1992" i="5"/>
  <c r="S1991" i="5"/>
  <c r="Q1991" i="5"/>
  <c r="S1990" i="5"/>
  <c r="Q1990" i="5"/>
  <c r="S1989" i="5"/>
  <c r="Q1989" i="5"/>
  <c r="S1988" i="5"/>
  <c r="Q1988" i="5"/>
  <c r="S1987" i="5"/>
  <c r="Q1987" i="5"/>
  <c r="S1986" i="5"/>
  <c r="Q1986" i="5"/>
  <c r="S1985" i="5"/>
  <c r="Q1985" i="5"/>
  <c r="S1984" i="5"/>
  <c r="Q1984" i="5"/>
  <c r="S1983" i="5"/>
  <c r="Q1983" i="5"/>
  <c r="S1982" i="5"/>
  <c r="Q1982" i="5"/>
  <c r="S1981" i="5"/>
  <c r="Q1981" i="5"/>
  <c r="S1980" i="5"/>
  <c r="Q1980" i="5"/>
  <c r="S1979" i="5"/>
  <c r="Q1979" i="5"/>
  <c r="S1978" i="5"/>
  <c r="Q1978" i="5"/>
  <c r="S1977" i="5"/>
  <c r="Q1977" i="5"/>
  <c r="S1976" i="5"/>
  <c r="Q1976" i="5"/>
  <c r="S1975" i="5"/>
  <c r="Q1975" i="5"/>
  <c r="S1974" i="5"/>
  <c r="Q1974" i="5"/>
  <c r="S1973" i="5"/>
  <c r="Q1973" i="5"/>
  <c r="S1972" i="5"/>
  <c r="Q1972" i="5"/>
  <c r="S1971" i="5"/>
  <c r="Q1971" i="5"/>
  <c r="S1970" i="5"/>
  <c r="Q1970" i="5"/>
  <c r="S1969" i="5"/>
  <c r="Q1969" i="5"/>
  <c r="S1968" i="5"/>
  <c r="Q1968" i="5"/>
  <c r="S1967" i="5"/>
  <c r="Q1967" i="5"/>
  <c r="S1966" i="5"/>
  <c r="Q1966" i="5"/>
  <c r="S1965" i="5"/>
  <c r="Q1965" i="5"/>
  <c r="S1964" i="5"/>
  <c r="Q1964" i="5"/>
  <c r="S1963" i="5"/>
  <c r="Q1963" i="5"/>
  <c r="S1962" i="5"/>
  <c r="Q1962" i="5"/>
  <c r="S1961" i="5"/>
  <c r="Q1961" i="5"/>
  <c r="S1960" i="5"/>
  <c r="Q1960" i="5"/>
  <c r="S1959" i="5"/>
  <c r="Q1959" i="5"/>
  <c r="S1958" i="5"/>
  <c r="Q1958" i="5"/>
  <c r="S1957" i="5"/>
  <c r="Q1957" i="5"/>
  <c r="S1956" i="5"/>
  <c r="Q1956" i="5"/>
  <c r="S1955" i="5"/>
  <c r="Q1955" i="5"/>
  <c r="S1954" i="5"/>
  <c r="Q1954" i="5"/>
  <c r="S1953" i="5"/>
  <c r="Q1953" i="5"/>
  <c r="S1952" i="5"/>
  <c r="Q1952" i="5"/>
  <c r="S1951" i="5"/>
  <c r="Q1951" i="5"/>
  <c r="S1950" i="5"/>
  <c r="Q1950" i="5"/>
  <c r="S1949" i="5"/>
  <c r="Q1949" i="5"/>
  <c r="S1948" i="5"/>
  <c r="Q1948" i="5"/>
  <c r="S1947" i="5"/>
  <c r="Q1947" i="5"/>
  <c r="S1946" i="5"/>
  <c r="Q1946" i="5"/>
  <c r="S1945" i="5"/>
  <c r="Q1945" i="5"/>
  <c r="S1944" i="5"/>
  <c r="Q1944" i="5"/>
  <c r="S1943" i="5"/>
  <c r="Q1943" i="5"/>
  <c r="S1942" i="5"/>
  <c r="Q1942" i="5"/>
  <c r="S1941" i="5"/>
  <c r="Q1941" i="5"/>
  <c r="S1940" i="5"/>
  <c r="Q1940" i="5"/>
  <c r="S1939" i="5"/>
  <c r="Q1939" i="5"/>
  <c r="S1938" i="5"/>
  <c r="Q1938" i="5"/>
  <c r="S1937" i="5"/>
  <c r="Q1937" i="5"/>
  <c r="S1936" i="5"/>
  <c r="Q1936" i="5"/>
  <c r="S1935" i="5"/>
  <c r="Q1935" i="5"/>
  <c r="S1934" i="5"/>
  <c r="Q1934" i="5"/>
  <c r="S1933" i="5"/>
  <c r="Q1933" i="5"/>
  <c r="S1932" i="5"/>
  <c r="Q1932" i="5"/>
  <c r="S1931" i="5"/>
  <c r="Q1931" i="5"/>
  <c r="S1930" i="5"/>
  <c r="Q1930" i="5"/>
  <c r="S1929" i="5"/>
  <c r="Q1929" i="5"/>
  <c r="S1928" i="5"/>
  <c r="Q1928" i="5"/>
  <c r="S1927" i="5"/>
  <c r="Q1927" i="5"/>
  <c r="S1926" i="5"/>
  <c r="Q1926" i="5"/>
  <c r="S1925" i="5"/>
  <c r="Q1925" i="5"/>
  <c r="S1924" i="5"/>
  <c r="Q1924" i="5"/>
  <c r="S1923" i="5"/>
  <c r="Q1923" i="5"/>
  <c r="S1922" i="5"/>
  <c r="Q1922" i="5"/>
  <c r="S1921" i="5"/>
  <c r="Q1921" i="5"/>
  <c r="S1920" i="5"/>
  <c r="Q1920" i="5"/>
  <c r="S1919" i="5"/>
  <c r="Q1919" i="5"/>
  <c r="S1918" i="5"/>
  <c r="Q1918" i="5"/>
  <c r="S1917" i="5"/>
  <c r="Q1917" i="5"/>
  <c r="S1916" i="5"/>
  <c r="Q1916" i="5"/>
  <c r="S1915" i="5"/>
  <c r="Q1915" i="5"/>
  <c r="S1914" i="5"/>
  <c r="Q1914" i="5"/>
  <c r="S1913" i="5"/>
  <c r="Q1913" i="5"/>
  <c r="S1912" i="5"/>
  <c r="Q1912" i="5"/>
  <c r="S1911" i="5"/>
  <c r="Q1911" i="5"/>
  <c r="S1910" i="5"/>
  <c r="Q1910" i="5"/>
  <c r="S1909" i="5"/>
  <c r="Q1909" i="5"/>
  <c r="S1908" i="5"/>
  <c r="Q1908" i="5"/>
  <c r="S1907" i="5"/>
  <c r="Q1907" i="5"/>
  <c r="S1906" i="5"/>
  <c r="Q1906" i="5"/>
  <c r="S1905" i="5"/>
  <c r="Q1905" i="5"/>
  <c r="S1904" i="5"/>
  <c r="Q1904" i="5"/>
  <c r="S1903" i="5"/>
  <c r="Q1903" i="5"/>
  <c r="S1902" i="5"/>
  <c r="Q1902" i="5"/>
  <c r="S1901" i="5"/>
  <c r="Q1901" i="5"/>
  <c r="S1900" i="5"/>
  <c r="Q1900" i="5"/>
  <c r="S1899" i="5"/>
  <c r="Q1899" i="5"/>
  <c r="S1898" i="5"/>
  <c r="Q1898" i="5"/>
  <c r="S1897" i="5"/>
  <c r="Q1897" i="5"/>
  <c r="S1896" i="5"/>
  <c r="Q1896" i="5"/>
  <c r="S1895" i="5"/>
  <c r="Q1895" i="5"/>
  <c r="S1894" i="5"/>
  <c r="Q1894" i="5"/>
  <c r="S1893" i="5"/>
  <c r="Q1893" i="5"/>
  <c r="S1892" i="5"/>
  <c r="Q1892" i="5"/>
  <c r="S1891" i="5"/>
  <c r="Q1891" i="5"/>
  <c r="S1890" i="5"/>
  <c r="Q1890" i="5"/>
  <c r="S1889" i="5"/>
  <c r="Q1889" i="5"/>
  <c r="S1888" i="5"/>
  <c r="Q1888" i="5"/>
  <c r="S1887" i="5"/>
  <c r="Q1887" i="5"/>
  <c r="S1886" i="5"/>
  <c r="Q1886" i="5"/>
  <c r="S1885" i="5"/>
  <c r="Q1885" i="5"/>
  <c r="S1884" i="5"/>
  <c r="Q1884" i="5"/>
  <c r="S1883" i="5"/>
  <c r="Q1883" i="5"/>
  <c r="S1882" i="5"/>
  <c r="Q1882" i="5"/>
  <c r="S1881" i="5"/>
  <c r="Q1881" i="5"/>
  <c r="S1880" i="5"/>
  <c r="Q1880" i="5"/>
  <c r="S1879" i="5"/>
  <c r="Q1879" i="5"/>
  <c r="S1878" i="5"/>
  <c r="Q1878" i="5"/>
  <c r="S1877" i="5"/>
  <c r="Q1877" i="5"/>
  <c r="S1876" i="5"/>
  <c r="Q1876" i="5"/>
  <c r="S1875" i="5"/>
  <c r="Q1875" i="5"/>
  <c r="S1874" i="5"/>
  <c r="Q1874" i="5"/>
  <c r="S1873" i="5"/>
  <c r="Q1873" i="5"/>
  <c r="S1872" i="5"/>
  <c r="Q1872" i="5"/>
  <c r="S1871" i="5"/>
  <c r="Q1871" i="5"/>
  <c r="S1870" i="5"/>
  <c r="Q1870" i="5"/>
  <c r="S1869" i="5"/>
  <c r="Q1869" i="5"/>
  <c r="S1868" i="5"/>
  <c r="Q1868" i="5"/>
  <c r="S1867" i="5"/>
  <c r="Q1867" i="5"/>
  <c r="S1866" i="5"/>
  <c r="Q1866" i="5"/>
  <c r="S1865" i="5"/>
  <c r="Q1865" i="5"/>
  <c r="S1864" i="5"/>
  <c r="Q1864" i="5"/>
  <c r="S1863" i="5"/>
  <c r="Q1863" i="5"/>
  <c r="S1862" i="5"/>
  <c r="Q1862" i="5"/>
  <c r="S1861" i="5"/>
  <c r="Q1861" i="5"/>
  <c r="S1860" i="5"/>
  <c r="Q1860" i="5"/>
  <c r="S1859" i="5"/>
  <c r="Q1859" i="5"/>
  <c r="S1858" i="5"/>
  <c r="Q1858" i="5"/>
  <c r="S1857" i="5"/>
  <c r="Q1857" i="5"/>
  <c r="S1856" i="5"/>
  <c r="Q1856" i="5"/>
  <c r="S1855" i="5"/>
  <c r="Q1855" i="5"/>
  <c r="S1854" i="5"/>
  <c r="Q1854" i="5"/>
  <c r="S1853" i="5"/>
  <c r="Q1853" i="5"/>
  <c r="S1852" i="5"/>
  <c r="Q1852" i="5"/>
  <c r="S1851" i="5"/>
  <c r="Q1851" i="5"/>
  <c r="S1850" i="5"/>
  <c r="Q1850" i="5"/>
  <c r="S1849" i="5"/>
  <c r="Q1849" i="5"/>
  <c r="S1848" i="5"/>
  <c r="Q1848" i="5"/>
  <c r="S1847" i="5"/>
  <c r="Q1847" i="5"/>
  <c r="S1846" i="5"/>
  <c r="Q1846" i="5"/>
  <c r="S1845" i="5"/>
  <c r="Q1845" i="5"/>
  <c r="S1844" i="5"/>
  <c r="Q1844" i="5"/>
  <c r="S1843" i="5"/>
  <c r="Q1843" i="5"/>
  <c r="S1842" i="5"/>
  <c r="Q1842" i="5"/>
  <c r="S1841" i="5"/>
  <c r="Q1841" i="5"/>
  <c r="S1840" i="5"/>
  <c r="Q1840" i="5"/>
  <c r="S1839" i="5"/>
  <c r="Q1839" i="5"/>
  <c r="S1838" i="5"/>
  <c r="Q1838" i="5"/>
  <c r="S1837" i="5"/>
  <c r="Q1837" i="5"/>
  <c r="S1836" i="5"/>
  <c r="Q1836" i="5"/>
  <c r="S1835" i="5"/>
  <c r="Q1835" i="5"/>
  <c r="S1834" i="5"/>
  <c r="Q1834" i="5"/>
  <c r="S1833" i="5"/>
  <c r="Q1833" i="5"/>
  <c r="S1832" i="5"/>
  <c r="Q1832" i="5"/>
  <c r="S1831" i="5"/>
  <c r="Q1831" i="5"/>
  <c r="S1830" i="5"/>
  <c r="Q1830" i="5"/>
  <c r="S1829" i="5"/>
  <c r="Q1829" i="5"/>
  <c r="S1828" i="5"/>
  <c r="Q1828" i="5"/>
  <c r="S1827" i="5"/>
  <c r="Q1827" i="5"/>
  <c r="S1826" i="5"/>
  <c r="Q1826" i="5"/>
  <c r="S1825" i="5"/>
  <c r="Q1825" i="5"/>
  <c r="S1824" i="5"/>
  <c r="Q1824" i="5"/>
  <c r="S1823" i="5"/>
  <c r="Q1823" i="5"/>
  <c r="S1822" i="5"/>
  <c r="Q1822" i="5"/>
  <c r="S1821" i="5"/>
  <c r="Q1821" i="5"/>
  <c r="S1820" i="5"/>
  <c r="Q1820" i="5"/>
  <c r="S1819" i="5"/>
  <c r="Q1819" i="5"/>
  <c r="S1818" i="5"/>
  <c r="Q1818" i="5"/>
  <c r="S1817" i="5"/>
  <c r="Q1817" i="5"/>
  <c r="S1816" i="5"/>
  <c r="Q1816" i="5"/>
  <c r="S1815" i="5"/>
  <c r="Q1815" i="5"/>
  <c r="S1814" i="5"/>
  <c r="Q1814" i="5"/>
  <c r="S1813" i="5"/>
  <c r="Q1813" i="5"/>
  <c r="S1812" i="5"/>
  <c r="Q1812" i="5"/>
  <c r="S1811" i="5"/>
  <c r="Q1811" i="5"/>
  <c r="S1810" i="5"/>
  <c r="Q1810" i="5"/>
  <c r="S1809" i="5"/>
  <c r="Q1809" i="5"/>
  <c r="S1808" i="5"/>
  <c r="Q1808" i="5"/>
  <c r="S1807" i="5"/>
  <c r="Q1807" i="5"/>
  <c r="S1806" i="5"/>
  <c r="Q1806" i="5"/>
  <c r="S1805" i="5"/>
  <c r="Q1805" i="5"/>
  <c r="S1804" i="5"/>
  <c r="Q1804" i="5"/>
  <c r="S1803" i="5"/>
  <c r="Q1803" i="5"/>
  <c r="S1802" i="5"/>
  <c r="Q1802" i="5"/>
  <c r="S1801" i="5"/>
  <c r="Q1801" i="5"/>
  <c r="S1800" i="5"/>
  <c r="Q1800" i="5"/>
  <c r="S1799" i="5"/>
  <c r="Q1799" i="5"/>
  <c r="S1798" i="5"/>
  <c r="Q1798" i="5"/>
  <c r="S1797" i="5"/>
  <c r="Q1797" i="5"/>
  <c r="S1796" i="5"/>
  <c r="Q1796" i="5"/>
  <c r="S1795" i="5"/>
  <c r="Q1795" i="5"/>
  <c r="S1794" i="5"/>
  <c r="Q1794" i="5"/>
  <c r="S1793" i="5"/>
  <c r="Q1793" i="5"/>
  <c r="S1792" i="5"/>
  <c r="Q1792" i="5"/>
  <c r="S1791" i="5"/>
  <c r="Q1791" i="5"/>
  <c r="S1790" i="5"/>
  <c r="Q1790" i="5"/>
  <c r="S1789" i="5"/>
  <c r="Q1789" i="5"/>
  <c r="S1788" i="5"/>
  <c r="Q1788" i="5"/>
  <c r="S1787" i="5"/>
  <c r="Q1787" i="5"/>
  <c r="S1786" i="5"/>
  <c r="Q1786" i="5"/>
  <c r="S1785" i="5"/>
  <c r="Q1785" i="5"/>
  <c r="S1784" i="5"/>
  <c r="Q1784" i="5"/>
  <c r="S1783" i="5"/>
  <c r="Q1783" i="5"/>
  <c r="S1782" i="5"/>
  <c r="Q1782" i="5"/>
  <c r="S1781" i="5"/>
  <c r="Q1781" i="5"/>
  <c r="S1780" i="5"/>
  <c r="Q1780" i="5"/>
  <c r="S1779" i="5"/>
  <c r="Q1779" i="5"/>
  <c r="S1778" i="5"/>
  <c r="Q1778" i="5"/>
  <c r="S1777" i="5"/>
  <c r="Q1777" i="5"/>
  <c r="S1776" i="5"/>
  <c r="Q1776" i="5"/>
  <c r="S1775" i="5"/>
  <c r="Q1775" i="5"/>
  <c r="S1774" i="5"/>
  <c r="Q1774" i="5"/>
  <c r="S1773" i="5"/>
  <c r="Q1773" i="5"/>
  <c r="S1772" i="5"/>
  <c r="Q1772" i="5"/>
  <c r="S1771" i="5"/>
  <c r="Q1771" i="5"/>
  <c r="S1770" i="5"/>
  <c r="Q1770" i="5"/>
  <c r="S1769" i="5"/>
  <c r="Q1769" i="5"/>
  <c r="S1768" i="5"/>
  <c r="Q1768" i="5"/>
  <c r="S1767" i="5"/>
  <c r="Q1767" i="5"/>
  <c r="S1766" i="5"/>
  <c r="Q1766" i="5"/>
  <c r="S1765" i="5"/>
  <c r="Q1765" i="5"/>
  <c r="S1764" i="5"/>
  <c r="Q1764" i="5"/>
  <c r="S1763" i="5"/>
  <c r="Q1763" i="5"/>
  <c r="S1762" i="5"/>
  <c r="Q1762" i="5"/>
  <c r="S1761" i="5"/>
  <c r="Q1761" i="5"/>
  <c r="S1760" i="5"/>
  <c r="Q1760" i="5"/>
  <c r="S1759" i="5"/>
  <c r="Q1759" i="5"/>
  <c r="S1758" i="5"/>
  <c r="Q1758" i="5"/>
  <c r="S1757" i="5"/>
  <c r="Q1757" i="5"/>
  <c r="S1756" i="5"/>
  <c r="Q1756" i="5"/>
  <c r="S1755" i="5"/>
  <c r="Q1755" i="5"/>
  <c r="S1754" i="5"/>
  <c r="Q1754" i="5"/>
  <c r="S1753" i="5"/>
  <c r="Q1753" i="5"/>
  <c r="S1752" i="5"/>
  <c r="Q1752" i="5"/>
  <c r="S1751" i="5"/>
  <c r="Q1751" i="5"/>
  <c r="S1750" i="5"/>
  <c r="Q1750" i="5"/>
  <c r="S1749" i="5"/>
  <c r="Q1749" i="5"/>
  <c r="S1748" i="5"/>
  <c r="Q1748" i="5"/>
  <c r="S1747" i="5"/>
  <c r="Q1747" i="5"/>
  <c r="S1746" i="5"/>
  <c r="Q1746" i="5"/>
  <c r="S1745" i="5"/>
  <c r="Q1745" i="5"/>
  <c r="S1744" i="5"/>
  <c r="Q1744" i="5"/>
  <c r="S1743" i="5"/>
  <c r="Q1743" i="5"/>
  <c r="S1742" i="5"/>
  <c r="Q1742" i="5"/>
  <c r="S1741" i="5"/>
  <c r="Q1741" i="5"/>
  <c r="S1740" i="5"/>
  <c r="Q1740" i="5"/>
  <c r="S1739" i="5"/>
  <c r="Q1739" i="5"/>
  <c r="S1738" i="5"/>
  <c r="Q1738" i="5"/>
  <c r="S1737" i="5"/>
  <c r="Q1737" i="5"/>
  <c r="S1736" i="5"/>
  <c r="Q1736" i="5"/>
  <c r="S1735" i="5"/>
  <c r="Q1735" i="5"/>
  <c r="S1734" i="5"/>
  <c r="Q1734" i="5"/>
  <c r="S1733" i="5"/>
  <c r="Q1733" i="5"/>
  <c r="S1732" i="5"/>
  <c r="Q1732" i="5"/>
  <c r="S1731" i="5"/>
  <c r="Q1731" i="5"/>
  <c r="S1730" i="5"/>
  <c r="Q1730" i="5"/>
  <c r="S1729" i="5"/>
  <c r="Q1729" i="5"/>
  <c r="S1728" i="5"/>
  <c r="Q1728" i="5"/>
  <c r="S1727" i="5"/>
  <c r="Q1727" i="5"/>
  <c r="S1726" i="5"/>
  <c r="Q1726" i="5"/>
  <c r="S1725" i="5"/>
  <c r="Q1725" i="5"/>
  <c r="S1724" i="5"/>
  <c r="Q1724" i="5"/>
  <c r="S1723" i="5"/>
  <c r="Q1723" i="5"/>
  <c r="S1722" i="5"/>
  <c r="Q1722" i="5"/>
  <c r="S1721" i="5"/>
  <c r="Q1721" i="5"/>
  <c r="S1720" i="5"/>
  <c r="Q1720" i="5"/>
  <c r="S1719" i="5"/>
  <c r="Q1719" i="5"/>
  <c r="S1718" i="5"/>
  <c r="Q1718" i="5"/>
  <c r="S1717" i="5"/>
  <c r="Q1717" i="5"/>
  <c r="S1716" i="5"/>
  <c r="Q1716" i="5"/>
  <c r="S1715" i="5"/>
  <c r="Q1715" i="5"/>
  <c r="S1714" i="5"/>
  <c r="Q1714" i="5"/>
  <c r="S1713" i="5"/>
  <c r="Q1713" i="5"/>
  <c r="S1712" i="5"/>
  <c r="Q1712" i="5"/>
  <c r="S1711" i="5"/>
  <c r="Q1711" i="5"/>
  <c r="S1710" i="5"/>
  <c r="Q1710" i="5"/>
  <c r="S1709" i="5"/>
  <c r="Q1709" i="5"/>
  <c r="S1708" i="5"/>
  <c r="Q1708" i="5"/>
  <c r="S1707" i="5"/>
  <c r="Q1707" i="5"/>
  <c r="S1706" i="5"/>
  <c r="Q1706" i="5"/>
  <c r="S1705" i="5"/>
  <c r="Q1705" i="5"/>
  <c r="S1704" i="5"/>
  <c r="Q1704" i="5"/>
  <c r="S1703" i="5"/>
  <c r="Q1703" i="5"/>
  <c r="S1702" i="5"/>
  <c r="Q1702" i="5"/>
  <c r="S1701" i="5"/>
  <c r="Q1701" i="5"/>
  <c r="S1700" i="5"/>
  <c r="Q1700" i="5"/>
  <c r="S1699" i="5"/>
  <c r="Q1699" i="5"/>
  <c r="S1698" i="5"/>
  <c r="Q1698" i="5"/>
  <c r="S1697" i="5"/>
  <c r="Q1697" i="5"/>
  <c r="S1696" i="5"/>
  <c r="Q1696" i="5"/>
  <c r="S1695" i="5"/>
  <c r="Q1695" i="5"/>
  <c r="S1694" i="5"/>
  <c r="Q1694" i="5"/>
  <c r="S1693" i="5"/>
  <c r="Q1693" i="5"/>
  <c r="S1692" i="5"/>
  <c r="Q1692" i="5"/>
  <c r="S1691" i="5"/>
  <c r="Q1691" i="5"/>
  <c r="S1690" i="5"/>
  <c r="Q1690" i="5"/>
  <c r="S1689" i="5"/>
  <c r="Q1689" i="5"/>
  <c r="S1688" i="5"/>
  <c r="Q1688" i="5"/>
  <c r="S1687" i="5"/>
  <c r="Q1687" i="5"/>
  <c r="S1686" i="5"/>
  <c r="Q1686" i="5"/>
  <c r="S1685" i="5"/>
  <c r="Q1685" i="5"/>
  <c r="S1684" i="5"/>
  <c r="Q1684" i="5"/>
  <c r="S1683" i="5"/>
  <c r="Q1683" i="5"/>
  <c r="S1682" i="5"/>
  <c r="Q1682" i="5"/>
  <c r="S1681" i="5"/>
  <c r="Q1681" i="5"/>
  <c r="S1680" i="5"/>
  <c r="Q1680" i="5"/>
  <c r="S1679" i="5"/>
  <c r="Q1679" i="5"/>
  <c r="S1678" i="5"/>
  <c r="Q1678" i="5"/>
  <c r="S1677" i="5"/>
  <c r="Q1677" i="5"/>
  <c r="S1676" i="5"/>
  <c r="Q1676" i="5"/>
  <c r="S1675" i="5"/>
  <c r="Q1675" i="5"/>
  <c r="S1674" i="5"/>
  <c r="Q1674" i="5"/>
  <c r="S1673" i="5"/>
  <c r="Q1673" i="5"/>
  <c r="S1672" i="5"/>
  <c r="Q1672" i="5"/>
  <c r="S1671" i="5"/>
  <c r="Q1671" i="5"/>
  <c r="S1670" i="5"/>
  <c r="Q1670" i="5"/>
  <c r="S1669" i="5"/>
  <c r="Q1669" i="5"/>
  <c r="S1668" i="5"/>
  <c r="Q1668" i="5"/>
  <c r="S1667" i="5"/>
  <c r="Q1667" i="5"/>
  <c r="S1666" i="5"/>
  <c r="Q1666" i="5"/>
  <c r="S1665" i="5"/>
  <c r="Q1665" i="5"/>
  <c r="S1664" i="5"/>
  <c r="Q1664" i="5"/>
  <c r="S1663" i="5"/>
  <c r="Q1663" i="5"/>
  <c r="S1662" i="5"/>
  <c r="Q1662" i="5"/>
  <c r="S1661" i="5"/>
  <c r="Q1661" i="5"/>
  <c r="S1660" i="5"/>
  <c r="Q1660" i="5"/>
  <c r="S1659" i="5"/>
  <c r="Q1659" i="5"/>
  <c r="S1658" i="5"/>
  <c r="Q1658" i="5"/>
  <c r="S1657" i="5"/>
  <c r="Q1657" i="5"/>
  <c r="S1656" i="5"/>
  <c r="Q1656" i="5"/>
  <c r="S1655" i="5"/>
  <c r="Q1655" i="5"/>
  <c r="S1654" i="5"/>
  <c r="Q1654" i="5"/>
  <c r="S1653" i="5"/>
  <c r="Q1653" i="5"/>
  <c r="S1652" i="5"/>
  <c r="Q1652" i="5"/>
  <c r="S1651" i="5"/>
  <c r="Q1651" i="5"/>
  <c r="S1650" i="5"/>
  <c r="Q1650" i="5"/>
  <c r="S1649" i="5"/>
  <c r="Q1649" i="5"/>
  <c r="S1648" i="5"/>
  <c r="Q1648" i="5"/>
  <c r="S1647" i="5"/>
  <c r="Q1647" i="5"/>
  <c r="S1646" i="5"/>
  <c r="Q1646" i="5"/>
  <c r="S1645" i="5"/>
  <c r="Q1645" i="5"/>
  <c r="S1644" i="5"/>
  <c r="Q1644" i="5"/>
  <c r="S1643" i="5"/>
  <c r="Q1643" i="5"/>
  <c r="S1642" i="5"/>
  <c r="Q1642" i="5"/>
  <c r="S1641" i="5"/>
  <c r="Q1641" i="5"/>
  <c r="S1640" i="5"/>
  <c r="Q1640" i="5"/>
  <c r="S1639" i="5"/>
  <c r="Q1639" i="5"/>
  <c r="S1638" i="5"/>
  <c r="Q1638" i="5"/>
  <c r="S1637" i="5"/>
  <c r="Q1637" i="5"/>
  <c r="S1636" i="5"/>
  <c r="Q1636" i="5"/>
  <c r="S1635" i="5"/>
  <c r="Q1635" i="5"/>
  <c r="S1634" i="5"/>
  <c r="Q1634" i="5"/>
  <c r="S1633" i="5"/>
  <c r="Q1633" i="5"/>
  <c r="S1632" i="5"/>
  <c r="Q1632" i="5"/>
  <c r="S1631" i="5"/>
  <c r="Q1631" i="5"/>
  <c r="S1630" i="5"/>
  <c r="Q1630" i="5"/>
  <c r="S1629" i="5"/>
  <c r="Q1629" i="5"/>
  <c r="S1628" i="5"/>
  <c r="Q1628" i="5"/>
  <c r="S1627" i="5"/>
  <c r="Q1627" i="5"/>
  <c r="S1626" i="5"/>
  <c r="Q1626" i="5"/>
  <c r="S1625" i="5"/>
  <c r="Q1625" i="5"/>
  <c r="S1624" i="5"/>
  <c r="Q1624" i="5"/>
  <c r="S1623" i="5"/>
  <c r="Q1623" i="5"/>
  <c r="S1622" i="5"/>
  <c r="Q1622" i="5"/>
  <c r="S1621" i="5"/>
  <c r="Q1621" i="5"/>
  <c r="S1620" i="5"/>
  <c r="Q1620" i="5"/>
  <c r="S1619" i="5"/>
  <c r="Q1619" i="5"/>
  <c r="S1618" i="5"/>
  <c r="Q1618" i="5"/>
  <c r="S1617" i="5"/>
  <c r="Q1617" i="5"/>
  <c r="S1616" i="5"/>
  <c r="Q1616" i="5"/>
  <c r="S1615" i="5"/>
  <c r="Q1615" i="5"/>
  <c r="S1614" i="5"/>
  <c r="Q1614" i="5"/>
  <c r="S1613" i="5"/>
  <c r="Q1613" i="5"/>
  <c r="S1612" i="5"/>
  <c r="Q1612" i="5"/>
  <c r="S1611" i="5"/>
  <c r="Q1611" i="5"/>
  <c r="S1610" i="5"/>
  <c r="Q1610" i="5"/>
  <c r="S1609" i="5"/>
  <c r="Q1609" i="5"/>
  <c r="S1608" i="5"/>
  <c r="Q1608" i="5"/>
  <c r="S1607" i="5"/>
  <c r="Q1607" i="5"/>
  <c r="S1606" i="5"/>
  <c r="Q1606" i="5"/>
  <c r="S1605" i="5"/>
  <c r="Q1605" i="5"/>
  <c r="S1604" i="5"/>
  <c r="Q1604" i="5"/>
  <c r="S1603" i="5"/>
  <c r="Q1603" i="5"/>
  <c r="S1602" i="5"/>
  <c r="Q1602" i="5"/>
  <c r="S1601" i="5"/>
  <c r="Q1601" i="5"/>
  <c r="S1600" i="5"/>
  <c r="Q1600" i="5"/>
  <c r="S1599" i="5"/>
  <c r="Q1599" i="5"/>
  <c r="S1598" i="5"/>
  <c r="Q1598" i="5"/>
  <c r="S1597" i="5"/>
  <c r="Q1597" i="5"/>
  <c r="S1596" i="5"/>
  <c r="Q1596" i="5"/>
  <c r="S1595" i="5"/>
  <c r="Q1595" i="5"/>
  <c r="S1594" i="5"/>
  <c r="Q1594" i="5"/>
  <c r="S1593" i="5"/>
  <c r="Q1593" i="5"/>
  <c r="S1592" i="5"/>
  <c r="Q1592" i="5"/>
  <c r="S1591" i="5"/>
  <c r="Q1591" i="5"/>
  <c r="S1590" i="5"/>
  <c r="Q1590" i="5"/>
  <c r="S1589" i="5"/>
  <c r="Q1589" i="5"/>
  <c r="S1588" i="5"/>
  <c r="Q1588" i="5"/>
  <c r="S1587" i="5"/>
  <c r="Q1587" i="5"/>
  <c r="S1586" i="5"/>
  <c r="Q1586" i="5"/>
  <c r="S1585" i="5"/>
  <c r="Q1585" i="5"/>
  <c r="S1584" i="5"/>
  <c r="Q1584" i="5"/>
  <c r="S1583" i="5"/>
  <c r="Q1583" i="5"/>
  <c r="S1582" i="5"/>
  <c r="Q1582" i="5"/>
  <c r="S1581" i="5"/>
  <c r="Q1581" i="5"/>
  <c r="S1580" i="5"/>
  <c r="Q1580" i="5"/>
  <c r="S1579" i="5"/>
  <c r="Q1579" i="5"/>
  <c r="S1578" i="5"/>
  <c r="Q1578" i="5"/>
  <c r="S1577" i="5"/>
  <c r="Q1577" i="5"/>
  <c r="S1576" i="5"/>
  <c r="Q1576" i="5"/>
  <c r="S1575" i="5"/>
  <c r="Q1575" i="5"/>
  <c r="S1574" i="5"/>
  <c r="Q1574" i="5"/>
  <c r="S1573" i="5"/>
  <c r="Q1573" i="5"/>
  <c r="S1572" i="5"/>
  <c r="Q1572" i="5"/>
  <c r="S1571" i="5"/>
  <c r="Q1571" i="5"/>
  <c r="S1570" i="5"/>
  <c r="Q1570" i="5"/>
  <c r="S1569" i="5"/>
  <c r="Q1569" i="5"/>
  <c r="S1568" i="5"/>
  <c r="Q1568" i="5"/>
  <c r="S1567" i="5"/>
  <c r="Q1567" i="5"/>
  <c r="S1566" i="5"/>
  <c r="Q1566" i="5"/>
  <c r="S1565" i="5"/>
  <c r="Q1565" i="5"/>
  <c r="S1564" i="5"/>
  <c r="Q1564" i="5"/>
  <c r="S1563" i="5"/>
  <c r="Q1563" i="5"/>
  <c r="S1562" i="5"/>
  <c r="Q1562" i="5"/>
  <c r="S1561" i="5"/>
  <c r="Q1561" i="5"/>
  <c r="S1560" i="5"/>
  <c r="Q1560" i="5"/>
  <c r="S1559" i="5"/>
  <c r="Q1559" i="5"/>
  <c r="S1558" i="5"/>
  <c r="Q1558" i="5"/>
  <c r="S1557" i="5"/>
  <c r="Q1557" i="5"/>
  <c r="S1556" i="5"/>
  <c r="Q1556" i="5"/>
  <c r="S1555" i="5"/>
  <c r="Q1555" i="5"/>
  <c r="S1554" i="5"/>
  <c r="Q1554" i="5"/>
  <c r="S1553" i="5"/>
  <c r="Q1553" i="5"/>
  <c r="S1552" i="5"/>
  <c r="Q1552" i="5"/>
  <c r="S1551" i="5"/>
  <c r="Q1551" i="5"/>
  <c r="S1550" i="5"/>
  <c r="Q1550" i="5"/>
  <c r="S1549" i="5"/>
  <c r="Q1549" i="5"/>
  <c r="S1548" i="5"/>
  <c r="Q1548" i="5"/>
  <c r="S1547" i="5"/>
  <c r="Q1547" i="5"/>
  <c r="S1546" i="5"/>
  <c r="Q1546" i="5"/>
  <c r="S1545" i="5"/>
  <c r="Q1545" i="5"/>
  <c r="S1544" i="5"/>
  <c r="Q1544" i="5"/>
  <c r="S1543" i="5"/>
  <c r="Q1543" i="5"/>
  <c r="S1542" i="5"/>
  <c r="Q1542" i="5"/>
  <c r="S1541" i="5"/>
  <c r="Q1541" i="5"/>
  <c r="S1540" i="5"/>
  <c r="Q1540" i="5"/>
  <c r="S1539" i="5"/>
  <c r="Q1539" i="5"/>
  <c r="S1538" i="5"/>
  <c r="Q1538" i="5"/>
  <c r="S1537" i="5"/>
  <c r="Q1537" i="5"/>
  <c r="S1536" i="5"/>
  <c r="Q1536" i="5"/>
  <c r="S1535" i="5"/>
  <c r="Q1535" i="5"/>
  <c r="S1534" i="5"/>
  <c r="Q1534" i="5"/>
  <c r="S1533" i="5"/>
  <c r="Q1533" i="5"/>
  <c r="S1532" i="5"/>
  <c r="Q1532" i="5"/>
  <c r="S1531" i="5"/>
  <c r="Q1531" i="5"/>
  <c r="S1530" i="5"/>
  <c r="Q1530" i="5"/>
  <c r="S1529" i="5"/>
  <c r="Q1529" i="5"/>
  <c r="S1528" i="5"/>
  <c r="Q1528" i="5"/>
  <c r="S1527" i="5"/>
  <c r="Q1527" i="5"/>
  <c r="S1526" i="5"/>
  <c r="Q1526" i="5"/>
  <c r="S1525" i="5"/>
  <c r="Q1525" i="5"/>
  <c r="S1524" i="5"/>
  <c r="Q1524" i="5"/>
  <c r="S1523" i="5"/>
  <c r="Q1523" i="5"/>
  <c r="S1522" i="5"/>
  <c r="Q1522" i="5"/>
  <c r="S1521" i="5"/>
  <c r="Q1521" i="5"/>
  <c r="S1520" i="5"/>
  <c r="Q1520" i="5"/>
  <c r="S1519" i="5"/>
  <c r="Q1519" i="5"/>
  <c r="S1518" i="5"/>
  <c r="Q1518" i="5"/>
  <c r="S1517" i="5"/>
  <c r="Q1517" i="5"/>
  <c r="S1516" i="5"/>
  <c r="Q1516" i="5"/>
  <c r="S1515" i="5"/>
  <c r="Q1515" i="5"/>
  <c r="S1514" i="5"/>
  <c r="Q1514" i="5"/>
  <c r="S1513" i="5"/>
  <c r="Q1513" i="5"/>
  <c r="S1512" i="5"/>
  <c r="Q1512" i="5"/>
  <c r="S1511" i="5"/>
  <c r="Q1511" i="5"/>
  <c r="S1510" i="5"/>
  <c r="Q1510" i="5"/>
  <c r="S1509" i="5"/>
  <c r="Q1509" i="5"/>
  <c r="S1508" i="5"/>
  <c r="Q1508" i="5"/>
  <c r="S1507" i="5"/>
  <c r="Q1507" i="5"/>
  <c r="S1506" i="5"/>
  <c r="Q1506" i="5"/>
  <c r="S1505" i="5"/>
  <c r="Q1505" i="5"/>
  <c r="S1504" i="5"/>
  <c r="Q1504" i="5"/>
  <c r="S1503" i="5"/>
  <c r="Q1503" i="5"/>
  <c r="S1502" i="5"/>
  <c r="Q1502" i="5"/>
  <c r="S1501" i="5"/>
  <c r="Q1501" i="5"/>
  <c r="S1500" i="5"/>
  <c r="Q1500" i="5"/>
  <c r="S1499" i="5"/>
  <c r="Q1499" i="5"/>
  <c r="S1498" i="5"/>
  <c r="Q1498" i="5"/>
  <c r="S1497" i="5"/>
  <c r="Q1497" i="5"/>
  <c r="S1496" i="5"/>
  <c r="Q1496" i="5"/>
  <c r="S1495" i="5"/>
  <c r="Q1495" i="5"/>
  <c r="S1494" i="5"/>
  <c r="Q1494" i="5"/>
  <c r="S1493" i="5"/>
  <c r="Q1493" i="5"/>
  <c r="S1492" i="5"/>
  <c r="Q1492" i="5"/>
  <c r="S1491" i="5"/>
  <c r="Q1491" i="5"/>
  <c r="S1490" i="5"/>
  <c r="Q1490" i="5"/>
  <c r="S1489" i="5"/>
  <c r="Q1489" i="5"/>
  <c r="S1488" i="5"/>
  <c r="Q1488" i="5"/>
  <c r="S1487" i="5"/>
  <c r="Q1487" i="5"/>
  <c r="S1486" i="5"/>
  <c r="Q1486" i="5"/>
  <c r="S1485" i="5"/>
  <c r="Q1485" i="5"/>
  <c r="S1484" i="5"/>
  <c r="Q1484" i="5"/>
  <c r="S1483" i="5"/>
  <c r="Q1483" i="5"/>
  <c r="S1482" i="5"/>
  <c r="Q1482" i="5"/>
  <c r="S1481" i="5"/>
  <c r="Q1481" i="5"/>
  <c r="S1480" i="5"/>
  <c r="Q1480" i="5"/>
  <c r="S1479" i="5"/>
  <c r="Q1479" i="5"/>
  <c r="S1478" i="5"/>
  <c r="Q1478" i="5"/>
  <c r="S1477" i="5"/>
  <c r="Q1477" i="5"/>
  <c r="S1476" i="5"/>
  <c r="Q1476" i="5"/>
  <c r="S1475" i="5"/>
  <c r="Q1475" i="5"/>
  <c r="S1474" i="5"/>
  <c r="Q1474" i="5"/>
  <c r="S1473" i="5"/>
  <c r="Q1473" i="5"/>
  <c r="S1472" i="5"/>
  <c r="Q1472" i="5"/>
  <c r="S1471" i="5"/>
  <c r="Q1471" i="5"/>
  <c r="S1470" i="5"/>
  <c r="Q1470" i="5"/>
  <c r="S1469" i="5"/>
  <c r="Q1469" i="5"/>
  <c r="S1468" i="5"/>
  <c r="Q1468" i="5"/>
  <c r="S1467" i="5"/>
  <c r="Q1467" i="5"/>
  <c r="S1466" i="5"/>
  <c r="Q1466" i="5"/>
  <c r="S1465" i="5"/>
  <c r="Q1465" i="5"/>
  <c r="S1464" i="5"/>
  <c r="Q1464" i="5"/>
  <c r="S1463" i="5"/>
  <c r="Q1463" i="5"/>
  <c r="S1462" i="5"/>
  <c r="Q1462" i="5"/>
  <c r="S1461" i="5"/>
  <c r="Q1461" i="5"/>
  <c r="S1460" i="5"/>
  <c r="Q1460" i="5"/>
  <c r="S1459" i="5"/>
  <c r="Q1459" i="5"/>
  <c r="S1458" i="5"/>
  <c r="Q1458" i="5"/>
  <c r="S1457" i="5"/>
  <c r="Q1457" i="5"/>
  <c r="S1456" i="5"/>
  <c r="Q1456" i="5"/>
  <c r="S1455" i="5"/>
  <c r="Q1455" i="5"/>
  <c r="S1454" i="5"/>
  <c r="Q1454" i="5"/>
  <c r="S1453" i="5"/>
  <c r="Q1453" i="5"/>
  <c r="S1452" i="5"/>
  <c r="Q1452" i="5"/>
  <c r="S1451" i="5"/>
  <c r="Q1451" i="5"/>
  <c r="S1450" i="5"/>
  <c r="Q1450" i="5"/>
  <c r="S1449" i="5"/>
  <c r="Q1449" i="5"/>
  <c r="S1448" i="5"/>
  <c r="Q1448" i="5"/>
  <c r="S1447" i="5"/>
  <c r="Q1447" i="5"/>
  <c r="S1446" i="5"/>
  <c r="Q1446" i="5"/>
  <c r="S1445" i="5"/>
  <c r="Q1445" i="5"/>
  <c r="S1444" i="5"/>
  <c r="Q1444" i="5"/>
  <c r="S1443" i="5"/>
  <c r="Q1443" i="5"/>
  <c r="S1442" i="5"/>
  <c r="Q1442" i="5"/>
  <c r="S1441" i="5"/>
  <c r="Q1441" i="5"/>
  <c r="S1440" i="5"/>
  <c r="Q1440" i="5"/>
  <c r="S1439" i="5"/>
  <c r="Q1439" i="5"/>
  <c r="S1438" i="5"/>
  <c r="Q1438" i="5"/>
  <c r="S1437" i="5"/>
  <c r="Q1437" i="5"/>
  <c r="S1436" i="5"/>
  <c r="Q1436" i="5"/>
  <c r="S1435" i="5"/>
  <c r="Q1435" i="5"/>
  <c r="S1434" i="5"/>
  <c r="Q1434" i="5"/>
  <c r="S1433" i="5"/>
  <c r="Q1433" i="5"/>
  <c r="S1432" i="5"/>
  <c r="Q1432" i="5"/>
  <c r="S1431" i="5"/>
  <c r="Q1431" i="5"/>
  <c r="S1430" i="5"/>
  <c r="Q1430" i="5"/>
  <c r="S1429" i="5"/>
  <c r="Q1429" i="5"/>
  <c r="S1428" i="5"/>
  <c r="Q1428" i="5"/>
  <c r="S1427" i="5"/>
  <c r="Q1427" i="5"/>
  <c r="S1426" i="5"/>
  <c r="Q1426" i="5"/>
  <c r="S1425" i="5"/>
  <c r="Q1425" i="5"/>
  <c r="S1424" i="5"/>
  <c r="Q1424" i="5"/>
  <c r="S1423" i="5"/>
  <c r="Q1423" i="5"/>
  <c r="S1422" i="5"/>
  <c r="Q1422" i="5"/>
  <c r="S1421" i="5"/>
  <c r="Q1421" i="5"/>
  <c r="S1420" i="5"/>
  <c r="Q1420" i="5"/>
  <c r="S1419" i="5"/>
  <c r="Q1419" i="5"/>
  <c r="S1418" i="5"/>
  <c r="Q1418" i="5"/>
  <c r="S1417" i="5"/>
  <c r="Q1417" i="5"/>
  <c r="S1416" i="5"/>
  <c r="Q1416" i="5"/>
  <c r="S1415" i="5"/>
  <c r="Q1415" i="5"/>
  <c r="S1414" i="5"/>
  <c r="Q1414" i="5"/>
  <c r="S1413" i="5"/>
  <c r="Q1413" i="5"/>
  <c r="S1412" i="5"/>
  <c r="Q1412" i="5"/>
  <c r="S1411" i="5"/>
  <c r="Q1411" i="5"/>
  <c r="S1410" i="5"/>
  <c r="Q1410" i="5"/>
  <c r="S1409" i="5"/>
  <c r="Q1409" i="5"/>
  <c r="S1408" i="5"/>
  <c r="Q1408" i="5"/>
  <c r="S1407" i="5"/>
  <c r="Q1407" i="5"/>
  <c r="S1406" i="5"/>
  <c r="Q1406" i="5"/>
  <c r="S1405" i="5"/>
  <c r="Q1405" i="5"/>
  <c r="S1404" i="5"/>
  <c r="Q1404" i="5"/>
  <c r="S1403" i="5"/>
  <c r="Q1403" i="5"/>
  <c r="S1402" i="5"/>
  <c r="Q1402" i="5"/>
  <c r="S1401" i="5"/>
  <c r="Q1401" i="5"/>
  <c r="S1400" i="5"/>
  <c r="Q1400" i="5"/>
  <c r="S1399" i="5"/>
  <c r="Q1399" i="5"/>
  <c r="S1398" i="5"/>
  <c r="Q1398" i="5"/>
  <c r="S1397" i="5"/>
  <c r="Q1397" i="5"/>
  <c r="S1396" i="5"/>
  <c r="Q1396" i="5"/>
  <c r="S1395" i="5"/>
  <c r="Q1395" i="5"/>
  <c r="S1394" i="5"/>
  <c r="Q1394" i="5"/>
  <c r="S1393" i="5"/>
  <c r="Q1393" i="5"/>
  <c r="S1392" i="5"/>
  <c r="Q1392" i="5"/>
  <c r="S1391" i="5"/>
  <c r="Q1391" i="5"/>
  <c r="S1390" i="5"/>
  <c r="Q1390" i="5"/>
  <c r="S1389" i="5"/>
  <c r="Q1389" i="5"/>
  <c r="S1388" i="5"/>
  <c r="Q1388" i="5"/>
  <c r="S1387" i="5"/>
  <c r="Q1387" i="5"/>
  <c r="S1386" i="5"/>
  <c r="Q1386" i="5"/>
  <c r="S1385" i="5"/>
  <c r="Q1385" i="5"/>
  <c r="S1384" i="5"/>
  <c r="Q1384" i="5"/>
  <c r="S1383" i="5"/>
  <c r="Q1383" i="5"/>
  <c r="S1382" i="5"/>
  <c r="Q1382" i="5"/>
  <c r="S1381" i="5"/>
  <c r="Q1381" i="5"/>
  <c r="S1380" i="5"/>
  <c r="Q1380" i="5"/>
  <c r="S1379" i="5"/>
  <c r="Q1379" i="5"/>
  <c r="S1378" i="5"/>
  <c r="Q1378" i="5"/>
  <c r="S1377" i="5"/>
  <c r="Q1377" i="5"/>
  <c r="S1376" i="5"/>
  <c r="Q1376" i="5"/>
  <c r="S1375" i="5"/>
  <c r="Q1375" i="5"/>
  <c r="S1374" i="5"/>
  <c r="Q1374" i="5"/>
  <c r="S1373" i="5"/>
  <c r="Q1373" i="5"/>
  <c r="S1372" i="5"/>
  <c r="Q1372" i="5"/>
  <c r="S1371" i="5"/>
  <c r="Q1371" i="5"/>
  <c r="S1370" i="5"/>
  <c r="Q1370" i="5"/>
  <c r="S1369" i="5"/>
  <c r="Q1369" i="5"/>
  <c r="S1368" i="5"/>
  <c r="Q1368" i="5"/>
  <c r="S1367" i="5"/>
  <c r="Q1367" i="5"/>
  <c r="S1366" i="5"/>
  <c r="Q1366" i="5"/>
  <c r="S1365" i="5"/>
  <c r="Q1365" i="5"/>
  <c r="S1364" i="5"/>
  <c r="Q1364" i="5"/>
  <c r="S1363" i="5"/>
  <c r="Q1363" i="5"/>
  <c r="S1362" i="5"/>
  <c r="Q1362" i="5"/>
  <c r="S1361" i="5"/>
  <c r="Q1361" i="5"/>
  <c r="S1360" i="5"/>
  <c r="Q1360" i="5"/>
  <c r="S1359" i="5"/>
  <c r="Q1359" i="5"/>
  <c r="S1358" i="5"/>
  <c r="Q1358" i="5"/>
  <c r="S1357" i="5"/>
  <c r="Q1357" i="5"/>
  <c r="S1356" i="5"/>
  <c r="Q1356" i="5"/>
  <c r="S1355" i="5"/>
  <c r="Q1355" i="5"/>
  <c r="S1354" i="5"/>
  <c r="Q1354" i="5"/>
  <c r="S1353" i="5"/>
  <c r="Q1353" i="5"/>
  <c r="S1352" i="5"/>
  <c r="Q1352" i="5"/>
  <c r="S1351" i="5"/>
  <c r="Q1351" i="5"/>
  <c r="S1350" i="5"/>
  <c r="Q1350" i="5"/>
  <c r="S1349" i="5"/>
  <c r="Q1349" i="5"/>
  <c r="S1348" i="5"/>
  <c r="Q1348" i="5"/>
  <c r="S1347" i="5"/>
  <c r="Q1347" i="5"/>
  <c r="S1346" i="5"/>
  <c r="Q1346" i="5"/>
  <c r="S1345" i="5"/>
  <c r="Q1345" i="5"/>
  <c r="S1344" i="5"/>
  <c r="Q1344" i="5"/>
  <c r="S1343" i="5"/>
  <c r="Q1343" i="5"/>
  <c r="S1342" i="5"/>
  <c r="Q1342" i="5"/>
  <c r="S1341" i="5"/>
  <c r="Q1341" i="5"/>
  <c r="S1340" i="5"/>
  <c r="Q1340" i="5"/>
  <c r="S1339" i="5"/>
  <c r="Q1339" i="5"/>
  <c r="S1338" i="5"/>
  <c r="Q1338" i="5"/>
  <c r="S1337" i="5"/>
  <c r="Q1337" i="5"/>
  <c r="S1336" i="5"/>
  <c r="Q1336" i="5"/>
  <c r="S1335" i="5"/>
  <c r="Q1335" i="5"/>
  <c r="S1334" i="5"/>
  <c r="Q1334" i="5"/>
  <c r="S1333" i="5"/>
  <c r="Q1333" i="5"/>
  <c r="S1332" i="5"/>
  <c r="Q1332" i="5"/>
  <c r="S1331" i="5"/>
  <c r="Q1331" i="5"/>
  <c r="S1330" i="5"/>
  <c r="Q1330" i="5"/>
  <c r="S1329" i="5"/>
  <c r="Q1329" i="5"/>
  <c r="S1328" i="5"/>
  <c r="Q1328" i="5"/>
  <c r="S1327" i="5"/>
  <c r="Q1327" i="5"/>
  <c r="S1326" i="5"/>
  <c r="Q1326" i="5"/>
  <c r="S1325" i="5"/>
  <c r="Q1325" i="5"/>
  <c r="S1324" i="5"/>
  <c r="Q1324" i="5"/>
  <c r="S1323" i="5"/>
  <c r="Q1323" i="5"/>
  <c r="S1322" i="5"/>
  <c r="Q1322" i="5"/>
  <c r="S1321" i="5"/>
  <c r="Q1321" i="5"/>
  <c r="S1320" i="5"/>
  <c r="Q1320" i="5"/>
  <c r="S1319" i="5"/>
  <c r="Q1319" i="5"/>
  <c r="S1318" i="5"/>
  <c r="Q1318" i="5"/>
  <c r="S1317" i="5"/>
  <c r="Q1317" i="5"/>
  <c r="S1316" i="5"/>
  <c r="Q1316" i="5"/>
  <c r="S1315" i="5"/>
  <c r="Q1315" i="5"/>
  <c r="S1314" i="5"/>
  <c r="Q1314" i="5"/>
  <c r="S1313" i="5"/>
  <c r="Q1313" i="5"/>
  <c r="S1312" i="5"/>
  <c r="Q1312" i="5"/>
  <c r="S1311" i="5"/>
  <c r="Q1311" i="5"/>
  <c r="S1310" i="5"/>
  <c r="Q1310" i="5"/>
  <c r="S1309" i="5"/>
  <c r="Q1309" i="5"/>
  <c r="S1308" i="5"/>
  <c r="Q1308" i="5"/>
  <c r="S1307" i="5"/>
  <c r="Q1307" i="5"/>
  <c r="S1306" i="5"/>
  <c r="Q1306" i="5"/>
  <c r="S1305" i="5"/>
  <c r="Q1305" i="5"/>
  <c r="S1304" i="5"/>
  <c r="Q1304" i="5"/>
  <c r="S1303" i="5"/>
  <c r="Q1303" i="5"/>
  <c r="S1302" i="5"/>
  <c r="Q1302" i="5"/>
  <c r="S1301" i="5"/>
  <c r="Q1301" i="5"/>
  <c r="S1300" i="5"/>
  <c r="Q1300" i="5"/>
  <c r="S1299" i="5"/>
  <c r="Q1299" i="5"/>
  <c r="S1298" i="5"/>
  <c r="Q1298" i="5"/>
  <c r="S1297" i="5"/>
  <c r="Q1297" i="5"/>
  <c r="S1296" i="5"/>
  <c r="Q1296" i="5"/>
  <c r="S1295" i="5"/>
  <c r="Q1295" i="5"/>
  <c r="S1294" i="5"/>
  <c r="Q1294" i="5"/>
  <c r="S1293" i="5"/>
  <c r="Q1293" i="5"/>
  <c r="S1292" i="5"/>
  <c r="Q1292" i="5"/>
  <c r="S1291" i="5"/>
  <c r="Q1291" i="5"/>
  <c r="S1290" i="5"/>
  <c r="Q1290" i="5"/>
  <c r="S1289" i="5"/>
  <c r="Q1289" i="5"/>
  <c r="S1288" i="5"/>
  <c r="Q1288" i="5"/>
  <c r="S1287" i="5"/>
  <c r="Q1287" i="5"/>
  <c r="S1286" i="5"/>
  <c r="Q1286" i="5"/>
  <c r="S1285" i="5"/>
  <c r="Q1285" i="5"/>
  <c r="S1284" i="5"/>
  <c r="Q1284" i="5"/>
  <c r="S1283" i="5"/>
  <c r="Q1283" i="5"/>
  <c r="S1282" i="5"/>
  <c r="Q1282" i="5"/>
  <c r="S1281" i="5"/>
  <c r="Q1281" i="5"/>
  <c r="S1280" i="5"/>
  <c r="Q1280" i="5"/>
  <c r="S1279" i="5"/>
  <c r="Q1279" i="5"/>
  <c r="S1278" i="5"/>
  <c r="Q1278" i="5"/>
  <c r="S1277" i="5"/>
  <c r="Q1277" i="5"/>
  <c r="S1276" i="5"/>
  <c r="Q1276" i="5"/>
  <c r="S1275" i="5"/>
  <c r="Q1275" i="5"/>
  <c r="S1274" i="5"/>
  <c r="Q1274" i="5"/>
  <c r="S1273" i="5"/>
  <c r="Q1273" i="5"/>
  <c r="S1272" i="5"/>
  <c r="Q1272" i="5"/>
  <c r="S1271" i="5"/>
  <c r="Q1271" i="5"/>
  <c r="S1270" i="5"/>
  <c r="Q1270" i="5"/>
  <c r="S1269" i="5"/>
  <c r="Q1269" i="5"/>
  <c r="S1268" i="5"/>
  <c r="Q1268" i="5"/>
  <c r="S1267" i="5"/>
  <c r="Q1267" i="5"/>
  <c r="S1266" i="5"/>
  <c r="Q1266" i="5"/>
  <c r="S1265" i="5"/>
  <c r="Q1265" i="5"/>
  <c r="S1264" i="5"/>
  <c r="Q1264" i="5"/>
  <c r="S1263" i="5"/>
  <c r="Q1263" i="5"/>
  <c r="S1262" i="5"/>
  <c r="Q1262" i="5"/>
  <c r="S1261" i="5"/>
  <c r="Q1261" i="5"/>
  <c r="S1260" i="5"/>
  <c r="Q1260" i="5"/>
  <c r="S1259" i="5"/>
  <c r="Q1259" i="5"/>
  <c r="S1258" i="5"/>
  <c r="Q1258" i="5"/>
  <c r="S1257" i="5"/>
  <c r="Q1257" i="5"/>
  <c r="S1256" i="5"/>
  <c r="Q1256" i="5"/>
  <c r="S1255" i="5"/>
  <c r="Q1255" i="5"/>
  <c r="S1254" i="5"/>
  <c r="Q1254" i="5"/>
  <c r="S1253" i="5"/>
  <c r="Q1253" i="5"/>
  <c r="S1252" i="5"/>
  <c r="Q1252" i="5"/>
  <c r="S1251" i="5"/>
  <c r="Q1251" i="5"/>
  <c r="S1250" i="5"/>
  <c r="Q1250" i="5"/>
  <c r="S1249" i="5"/>
  <c r="Q1249" i="5"/>
  <c r="S1248" i="5"/>
  <c r="Q1248" i="5"/>
  <c r="S1247" i="5"/>
  <c r="Q1247" i="5"/>
  <c r="S1246" i="5"/>
  <c r="Q1246" i="5"/>
  <c r="S1245" i="5"/>
  <c r="Q1245" i="5"/>
  <c r="S1244" i="5"/>
  <c r="Q1244" i="5"/>
  <c r="S1243" i="5"/>
  <c r="Q1243" i="5"/>
  <c r="S1242" i="5"/>
  <c r="Q1242" i="5"/>
  <c r="S1241" i="5"/>
  <c r="Q1241" i="5"/>
  <c r="S1240" i="5"/>
  <c r="Q1240" i="5"/>
  <c r="S1239" i="5"/>
  <c r="Q1239" i="5"/>
  <c r="S1238" i="5"/>
  <c r="Q1238" i="5"/>
  <c r="S1237" i="5"/>
  <c r="Q1237" i="5"/>
  <c r="S1236" i="5"/>
  <c r="Q1236" i="5"/>
  <c r="S1235" i="5"/>
  <c r="Q1235" i="5"/>
  <c r="S1234" i="5"/>
  <c r="Q1234" i="5"/>
  <c r="S1233" i="5"/>
  <c r="Q1233" i="5"/>
  <c r="S1232" i="5"/>
  <c r="Q1232" i="5"/>
  <c r="S1231" i="5"/>
  <c r="Q1231" i="5"/>
  <c r="S1230" i="5"/>
  <c r="Q1230" i="5"/>
  <c r="S1229" i="5"/>
  <c r="Q1229" i="5"/>
  <c r="S1228" i="5"/>
  <c r="Q1228" i="5"/>
  <c r="S1227" i="5"/>
  <c r="Q1227" i="5"/>
  <c r="S1226" i="5"/>
  <c r="Q1226" i="5"/>
  <c r="S1225" i="5"/>
  <c r="Q1225" i="5"/>
  <c r="S1224" i="5"/>
  <c r="Q1224" i="5"/>
  <c r="S1223" i="5"/>
  <c r="Q1223" i="5"/>
  <c r="S1222" i="5"/>
  <c r="Q1222" i="5"/>
  <c r="S1221" i="5"/>
  <c r="Q1221" i="5"/>
  <c r="S1220" i="5"/>
  <c r="Q1220" i="5"/>
  <c r="S1219" i="5"/>
  <c r="Q1219" i="5"/>
  <c r="S1218" i="5"/>
  <c r="Q1218" i="5"/>
  <c r="S1217" i="5"/>
  <c r="Q1217" i="5"/>
  <c r="S1216" i="5"/>
  <c r="Q1216" i="5"/>
  <c r="S1215" i="5"/>
  <c r="Q1215" i="5"/>
  <c r="S1214" i="5"/>
  <c r="Q1214" i="5"/>
  <c r="S1213" i="5"/>
  <c r="Q1213" i="5"/>
  <c r="S1212" i="5"/>
  <c r="Q1212" i="5"/>
  <c r="S1211" i="5"/>
  <c r="Q1211" i="5"/>
  <c r="S1210" i="5"/>
  <c r="Q1210" i="5"/>
  <c r="S1209" i="5"/>
  <c r="Q1209" i="5"/>
  <c r="S1208" i="5"/>
  <c r="Q1208" i="5"/>
  <c r="S1207" i="5"/>
  <c r="Q1207" i="5"/>
  <c r="S1206" i="5"/>
  <c r="Q1206" i="5"/>
  <c r="S1205" i="5"/>
  <c r="Q1205" i="5"/>
  <c r="S1204" i="5"/>
  <c r="Q1204" i="5"/>
  <c r="S1203" i="5"/>
  <c r="Q1203" i="5"/>
  <c r="S1202" i="5"/>
  <c r="Q1202" i="5"/>
  <c r="S1201" i="5"/>
  <c r="Q1201" i="5"/>
  <c r="S1200" i="5"/>
  <c r="Q1200" i="5"/>
  <c r="S1199" i="5"/>
  <c r="Q1199" i="5"/>
  <c r="S1198" i="5"/>
  <c r="Q1198" i="5"/>
  <c r="S1197" i="5"/>
  <c r="Q1197" i="5"/>
  <c r="S1196" i="5"/>
  <c r="Q1196" i="5"/>
  <c r="S1195" i="5"/>
  <c r="Q1195" i="5"/>
  <c r="S1194" i="5"/>
  <c r="Q1194" i="5"/>
  <c r="S1193" i="5"/>
  <c r="Q1193" i="5"/>
  <c r="S1192" i="5"/>
  <c r="Q1192" i="5"/>
  <c r="S1191" i="5"/>
  <c r="Q1191" i="5"/>
  <c r="S1190" i="5"/>
  <c r="Q1190" i="5"/>
  <c r="S1189" i="5"/>
  <c r="Q1189" i="5"/>
  <c r="S1188" i="5"/>
  <c r="Q1188" i="5"/>
  <c r="S1187" i="5"/>
  <c r="Q1187" i="5"/>
  <c r="S1186" i="5"/>
  <c r="Q1186" i="5"/>
  <c r="S1185" i="5"/>
  <c r="Q1185" i="5"/>
  <c r="S1184" i="5"/>
  <c r="Q1184" i="5"/>
  <c r="S1183" i="5"/>
  <c r="Q1183" i="5"/>
  <c r="S1182" i="5"/>
  <c r="Q1182" i="5"/>
  <c r="S1181" i="5"/>
  <c r="Q1181" i="5"/>
  <c r="S1180" i="5"/>
  <c r="Q1180" i="5"/>
  <c r="S1179" i="5"/>
  <c r="Q1179" i="5"/>
  <c r="S1178" i="5"/>
  <c r="Q1178" i="5"/>
  <c r="S1177" i="5"/>
  <c r="Q1177" i="5"/>
  <c r="S1176" i="5"/>
  <c r="Q1176" i="5"/>
  <c r="S1175" i="5"/>
  <c r="Q1175" i="5"/>
  <c r="S1174" i="5"/>
  <c r="Q1174" i="5"/>
  <c r="S1173" i="5"/>
  <c r="Q1173" i="5"/>
  <c r="S1172" i="5"/>
  <c r="Q1172" i="5"/>
  <c r="S1171" i="5"/>
  <c r="Q1171" i="5"/>
  <c r="S1170" i="5"/>
  <c r="Q1170" i="5"/>
  <c r="S1169" i="5"/>
  <c r="Q1169" i="5"/>
  <c r="S1168" i="5"/>
  <c r="Q1168" i="5"/>
  <c r="S1167" i="5"/>
  <c r="Q1167" i="5"/>
  <c r="S1166" i="5"/>
  <c r="Q1166" i="5"/>
  <c r="S1165" i="5"/>
  <c r="Q1165" i="5"/>
  <c r="S1164" i="5"/>
  <c r="Q1164" i="5"/>
  <c r="S1163" i="5"/>
  <c r="Q1163" i="5"/>
  <c r="S1162" i="5"/>
  <c r="Q1162" i="5"/>
  <c r="S1161" i="5"/>
  <c r="Q1161" i="5"/>
  <c r="S1160" i="5"/>
  <c r="Q1160" i="5"/>
  <c r="S1159" i="5"/>
  <c r="Q1159" i="5"/>
  <c r="S1158" i="5"/>
  <c r="Q1158" i="5"/>
  <c r="S1157" i="5"/>
  <c r="Q1157" i="5"/>
  <c r="S1156" i="5"/>
  <c r="Q1156" i="5"/>
  <c r="S1155" i="5"/>
  <c r="Q1155" i="5"/>
  <c r="S1154" i="5"/>
  <c r="Q1154" i="5"/>
  <c r="S1153" i="5"/>
  <c r="Q1153" i="5"/>
  <c r="S1152" i="5"/>
  <c r="Q1152" i="5"/>
  <c r="S1151" i="5"/>
  <c r="Q1151" i="5"/>
  <c r="S1150" i="5"/>
  <c r="Q1150" i="5"/>
  <c r="S1149" i="5"/>
  <c r="Q1149" i="5"/>
  <c r="S1148" i="5"/>
  <c r="Q1148" i="5"/>
  <c r="S1147" i="5"/>
  <c r="Q1147" i="5"/>
  <c r="S1146" i="5"/>
  <c r="Q1146" i="5"/>
  <c r="S1145" i="5"/>
  <c r="Q1145" i="5"/>
  <c r="S1144" i="5"/>
  <c r="Q1144" i="5"/>
  <c r="S1143" i="5"/>
  <c r="Q1143" i="5"/>
  <c r="S1142" i="5"/>
  <c r="Q1142" i="5"/>
  <c r="S1141" i="5"/>
  <c r="Q1141" i="5"/>
  <c r="S1140" i="5"/>
  <c r="Q1140" i="5"/>
  <c r="S1139" i="5"/>
  <c r="Q1139" i="5"/>
  <c r="S1138" i="5"/>
  <c r="Q1138" i="5"/>
  <c r="S1137" i="5"/>
  <c r="Q1137" i="5"/>
  <c r="S1136" i="5"/>
  <c r="Q1136" i="5"/>
  <c r="S1135" i="5"/>
  <c r="Q1135" i="5"/>
  <c r="S1134" i="5"/>
  <c r="Q1134" i="5"/>
  <c r="S1133" i="5"/>
  <c r="Q1133" i="5"/>
  <c r="S1132" i="5"/>
  <c r="Q1132" i="5"/>
  <c r="S1131" i="5"/>
  <c r="Q1131" i="5"/>
  <c r="S1130" i="5"/>
  <c r="Q1130" i="5"/>
  <c r="S1129" i="5"/>
  <c r="Q1129" i="5"/>
  <c r="S1128" i="5"/>
  <c r="Q1128" i="5"/>
  <c r="S1127" i="5"/>
  <c r="Q1127" i="5"/>
  <c r="S1126" i="5"/>
  <c r="Q1126" i="5"/>
  <c r="S1125" i="5"/>
  <c r="Q1125" i="5"/>
  <c r="S1124" i="5"/>
  <c r="Q1124" i="5"/>
  <c r="S1123" i="5"/>
  <c r="Q1123" i="5"/>
  <c r="S1122" i="5"/>
  <c r="Q1122" i="5"/>
  <c r="S1121" i="5"/>
  <c r="Q1121" i="5"/>
  <c r="S1120" i="5"/>
  <c r="Q1120" i="5"/>
  <c r="S1119" i="5"/>
  <c r="Q1119" i="5"/>
  <c r="S1118" i="5"/>
  <c r="Q1118" i="5"/>
  <c r="S1117" i="5"/>
  <c r="Q1117" i="5"/>
  <c r="S1116" i="5"/>
  <c r="Q1116" i="5"/>
  <c r="S1115" i="5"/>
  <c r="Q1115" i="5"/>
  <c r="S1114" i="5"/>
  <c r="Q1114" i="5"/>
  <c r="S1113" i="5"/>
  <c r="Q1113" i="5"/>
  <c r="S1112" i="5"/>
  <c r="Q1112" i="5"/>
  <c r="S1111" i="5"/>
  <c r="Q1111" i="5"/>
  <c r="S1110" i="5"/>
  <c r="Q1110" i="5"/>
  <c r="S1109" i="5"/>
  <c r="Q1109" i="5"/>
  <c r="S1108" i="5"/>
  <c r="Q1108" i="5"/>
  <c r="S1107" i="5"/>
  <c r="Q1107" i="5"/>
  <c r="S1106" i="5"/>
  <c r="Q1106" i="5"/>
  <c r="S1105" i="5"/>
  <c r="Q1105" i="5"/>
  <c r="S1104" i="5"/>
  <c r="Q1104" i="5"/>
  <c r="S1103" i="5"/>
  <c r="Q1103" i="5"/>
  <c r="S1102" i="5"/>
  <c r="Q1102" i="5"/>
  <c r="S1101" i="5"/>
  <c r="Q1101" i="5"/>
  <c r="S1100" i="5"/>
  <c r="Q1100" i="5"/>
  <c r="S1099" i="5"/>
  <c r="Q1099" i="5"/>
  <c r="S1098" i="5"/>
  <c r="Q1098" i="5"/>
  <c r="S1097" i="5"/>
  <c r="Q1097" i="5"/>
  <c r="S1096" i="5"/>
  <c r="Q1096" i="5"/>
  <c r="S1095" i="5"/>
  <c r="Q1095" i="5"/>
  <c r="S1094" i="5"/>
  <c r="Q1094" i="5"/>
  <c r="S1093" i="5"/>
  <c r="Q1093" i="5"/>
  <c r="S1092" i="5"/>
  <c r="Q1092" i="5"/>
  <c r="S1091" i="5"/>
  <c r="Q1091" i="5"/>
  <c r="S1090" i="5"/>
  <c r="Q1090" i="5"/>
  <c r="S1089" i="5"/>
  <c r="Q1089" i="5"/>
  <c r="S1088" i="5"/>
  <c r="Q1088" i="5"/>
  <c r="S1087" i="5"/>
  <c r="Q1087" i="5"/>
  <c r="S1086" i="5"/>
  <c r="Q1086" i="5"/>
  <c r="S1085" i="5"/>
  <c r="Q1085" i="5"/>
  <c r="S1084" i="5"/>
  <c r="Q1084" i="5"/>
  <c r="S1083" i="5"/>
  <c r="Q1083" i="5"/>
  <c r="S1082" i="5"/>
  <c r="Q1082" i="5"/>
  <c r="S1081" i="5"/>
  <c r="Q1081" i="5"/>
  <c r="S1080" i="5"/>
  <c r="Q1080" i="5"/>
  <c r="S1079" i="5"/>
  <c r="Q1079" i="5"/>
  <c r="S1078" i="5"/>
  <c r="Q1078" i="5"/>
  <c r="S1077" i="5"/>
  <c r="Q1077" i="5"/>
  <c r="S1076" i="5"/>
  <c r="Q1076" i="5"/>
  <c r="S1075" i="5"/>
  <c r="Q1075" i="5"/>
  <c r="S1074" i="5"/>
  <c r="Q1074" i="5"/>
  <c r="S1073" i="5"/>
  <c r="Q1073" i="5"/>
  <c r="S1072" i="5"/>
  <c r="Q1072" i="5"/>
  <c r="S1071" i="5"/>
  <c r="Q1071" i="5"/>
  <c r="S1070" i="5"/>
  <c r="Q1070" i="5"/>
  <c r="S1069" i="5"/>
  <c r="Q1069" i="5"/>
  <c r="S1068" i="5"/>
  <c r="Q1068" i="5"/>
  <c r="S1067" i="5"/>
  <c r="Q1067" i="5"/>
  <c r="S1066" i="5"/>
  <c r="Q1066" i="5"/>
  <c r="S1065" i="5"/>
  <c r="Q1065" i="5"/>
  <c r="S1064" i="5"/>
  <c r="Q1064" i="5"/>
  <c r="S1063" i="5"/>
  <c r="Q1063" i="5"/>
  <c r="S1062" i="5"/>
  <c r="Q1062" i="5"/>
  <c r="S1061" i="5"/>
  <c r="Q1061" i="5"/>
  <c r="S1060" i="5"/>
  <c r="Q1060" i="5"/>
  <c r="S1059" i="5"/>
  <c r="Q1059" i="5"/>
  <c r="S1058" i="5"/>
  <c r="Q1058" i="5"/>
  <c r="S1057" i="5"/>
  <c r="Q1057" i="5"/>
  <c r="S1056" i="5"/>
  <c r="Q1056" i="5"/>
  <c r="S1055" i="5"/>
  <c r="Q1055" i="5"/>
  <c r="S1054" i="5"/>
  <c r="Q1054" i="5"/>
  <c r="S1053" i="5"/>
  <c r="Q1053" i="5"/>
  <c r="S1052" i="5"/>
  <c r="Q1052" i="5"/>
  <c r="S1051" i="5"/>
  <c r="Q1051" i="5"/>
  <c r="S1050" i="5"/>
  <c r="Q1050" i="5"/>
  <c r="S1049" i="5"/>
  <c r="Q1049" i="5"/>
  <c r="S1048" i="5"/>
  <c r="Q1048" i="5"/>
  <c r="S1047" i="5"/>
  <c r="Q1047" i="5"/>
  <c r="S1046" i="5"/>
  <c r="Q1046" i="5"/>
  <c r="S1045" i="5"/>
  <c r="Q1045" i="5"/>
  <c r="S1044" i="5"/>
  <c r="Q1044" i="5"/>
  <c r="S1043" i="5"/>
  <c r="Q1043" i="5"/>
  <c r="S1042" i="5"/>
  <c r="Q1042" i="5"/>
  <c r="S1041" i="5"/>
  <c r="Q1041" i="5"/>
  <c r="S1040" i="5"/>
  <c r="Q1040" i="5"/>
  <c r="S1039" i="5"/>
  <c r="Q1039" i="5"/>
  <c r="S1038" i="5"/>
  <c r="Q1038" i="5"/>
  <c r="S1037" i="5"/>
  <c r="Q1037" i="5"/>
  <c r="S1036" i="5"/>
  <c r="Q1036" i="5"/>
  <c r="S1035" i="5"/>
  <c r="Q1035" i="5"/>
  <c r="S1034" i="5"/>
  <c r="Q1034" i="5"/>
  <c r="S1033" i="5"/>
  <c r="Q1033" i="5"/>
  <c r="S1032" i="5"/>
  <c r="Q1032" i="5"/>
  <c r="S1031" i="5"/>
  <c r="Q1031" i="5"/>
  <c r="S1030" i="5"/>
  <c r="Q1030" i="5"/>
  <c r="S1029" i="5"/>
  <c r="Q1029" i="5"/>
  <c r="S1028" i="5"/>
  <c r="Q1028" i="5"/>
  <c r="S1027" i="5"/>
  <c r="Q1027" i="5"/>
  <c r="S1026" i="5"/>
  <c r="Q1026" i="5"/>
  <c r="S1025" i="5"/>
  <c r="Q1025" i="5"/>
  <c r="S1024" i="5"/>
  <c r="Q1024" i="5"/>
  <c r="S1023" i="5"/>
  <c r="Q1023" i="5"/>
  <c r="S1022" i="5"/>
  <c r="Q1022" i="5"/>
  <c r="S1021" i="5"/>
  <c r="Q1021" i="5"/>
  <c r="S1020" i="5"/>
  <c r="Q1020" i="5"/>
  <c r="S1019" i="5"/>
  <c r="Q1019" i="5"/>
  <c r="S1018" i="5"/>
  <c r="Q1018" i="5"/>
  <c r="S1017" i="5"/>
  <c r="Q1017" i="5"/>
  <c r="S1016" i="5"/>
  <c r="Q1016" i="5"/>
  <c r="S1015" i="5"/>
  <c r="Q1015" i="5"/>
  <c r="S1014" i="5"/>
  <c r="Q1014" i="5"/>
  <c r="S1013" i="5"/>
  <c r="Q1013" i="5"/>
  <c r="S1012" i="5"/>
  <c r="Q1012" i="5"/>
  <c r="S1011" i="5"/>
  <c r="Q1011" i="5"/>
  <c r="S1010" i="5"/>
  <c r="Q1010" i="5"/>
  <c r="S1009" i="5"/>
  <c r="Q1009" i="5"/>
  <c r="S1008" i="5"/>
  <c r="Q1008" i="5"/>
  <c r="S1007" i="5"/>
  <c r="Q1007" i="5"/>
  <c r="S1006" i="5"/>
  <c r="Q1006" i="5"/>
  <c r="S1005" i="5"/>
  <c r="Q1005" i="5"/>
  <c r="S1004" i="5"/>
  <c r="Q1004" i="5"/>
  <c r="S1003" i="5"/>
  <c r="Q1003" i="5"/>
  <c r="S1002" i="5"/>
  <c r="Q1002" i="5"/>
  <c r="S1001" i="5"/>
  <c r="Q1001" i="5"/>
  <c r="S1000" i="5"/>
  <c r="Q1000" i="5"/>
  <c r="S999" i="5"/>
  <c r="Q999" i="5"/>
  <c r="S998" i="5"/>
  <c r="Q998" i="5"/>
  <c r="S997" i="5"/>
  <c r="Q997" i="5"/>
  <c r="S996" i="5"/>
  <c r="Q996" i="5"/>
  <c r="S995" i="5"/>
  <c r="Q995" i="5"/>
  <c r="S994" i="5"/>
  <c r="Q994" i="5"/>
  <c r="S993" i="5"/>
  <c r="Q993" i="5"/>
  <c r="S992" i="5"/>
  <c r="Q992" i="5"/>
  <c r="S991" i="5"/>
  <c r="Q991" i="5"/>
  <c r="S990" i="5"/>
  <c r="Q990" i="5"/>
  <c r="S989" i="5"/>
  <c r="Q989" i="5"/>
  <c r="S988" i="5"/>
  <c r="Q988" i="5"/>
  <c r="S987" i="5"/>
  <c r="Q987" i="5"/>
  <c r="S986" i="5"/>
  <c r="Q986" i="5"/>
  <c r="S985" i="5"/>
  <c r="Q985" i="5"/>
  <c r="S984" i="5"/>
  <c r="Q984" i="5"/>
  <c r="S983" i="5"/>
  <c r="Q983" i="5"/>
  <c r="S982" i="5"/>
  <c r="Q982" i="5"/>
  <c r="S981" i="5"/>
  <c r="Q981" i="5"/>
  <c r="S980" i="5"/>
  <c r="Q980" i="5"/>
  <c r="S979" i="5"/>
  <c r="Q979" i="5"/>
  <c r="S978" i="5"/>
  <c r="Q978" i="5"/>
  <c r="S977" i="5"/>
  <c r="Q977" i="5"/>
  <c r="S976" i="5"/>
  <c r="Q976" i="5"/>
  <c r="S975" i="5"/>
  <c r="Q975" i="5"/>
  <c r="S974" i="5"/>
  <c r="Q974" i="5"/>
  <c r="S973" i="5"/>
  <c r="Q973" i="5"/>
  <c r="S972" i="5"/>
  <c r="Q972" i="5"/>
  <c r="S971" i="5"/>
  <c r="Q971" i="5"/>
  <c r="S970" i="5"/>
  <c r="Q970" i="5"/>
  <c r="S969" i="5"/>
  <c r="Q969" i="5"/>
  <c r="S968" i="5"/>
  <c r="Q968" i="5"/>
  <c r="S967" i="5"/>
  <c r="Q967" i="5"/>
  <c r="S966" i="5"/>
  <c r="Q966" i="5"/>
  <c r="S965" i="5"/>
  <c r="Q965" i="5"/>
  <c r="S964" i="5"/>
  <c r="Q964" i="5"/>
  <c r="S963" i="5"/>
  <c r="Q963" i="5"/>
  <c r="S962" i="5"/>
  <c r="Q962" i="5"/>
  <c r="S961" i="5"/>
  <c r="Q961" i="5"/>
  <c r="S960" i="5"/>
  <c r="Q960" i="5"/>
  <c r="S959" i="5"/>
  <c r="Q959" i="5"/>
  <c r="S958" i="5"/>
  <c r="Q958" i="5"/>
  <c r="S957" i="5"/>
  <c r="Q957" i="5"/>
  <c r="S956" i="5"/>
  <c r="Q956" i="5"/>
  <c r="S955" i="5"/>
  <c r="Q955" i="5"/>
  <c r="S954" i="5"/>
  <c r="Q954" i="5"/>
  <c r="S953" i="5"/>
  <c r="Q953" i="5"/>
  <c r="S952" i="5"/>
  <c r="Q952" i="5"/>
  <c r="S951" i="5"/>
  <c r="Q951" i="5"/>
  <c r="S950" i="5"/>
  <c r="Q950" i="5"/>
  <c r="S949" i="5"/>
  <c r="Q949" i="5"/>
  <c r="S948" i="5"/>
  <c r="Q948" i="5"/>
  <c r="S947" i="5"/>
  <c r="Q947" i="5"/>
  <c r="S946" i="5"/>
  <c r="Q946" i="5"/>
  <c r="S945" i="5"/>
  <c r="Q945" i="5"/>
  <c r="S944" i="5"/>
  <c r="Q944" i="5"/>
  <c r="S943" i="5"/>
  <c r="Q943" i="5"/>
  <c r="S942" i="5"/>
  <c r="Q942" i="5"/>
  <c r="S941" i="5"/>
  <c r="Q941" i="5"/>
  <c r="S940" i="5"/>
  <c r="Q940" i="5"/>
  <c r="S939" i="5"/>
  <c r="Q939" i="5"/>
  <c r="S938" i="5"/>
  <c r="Q938" i="5"/>
  <c r="S937" i="5"/>
  <c r="Q937" i="5"/>
  <c r="S936" i="5"/>
  <c r="Q936" i="5"/>
  <c r="S935" i="5"/>
  <c r="Q935" i="5"/>
  <c r="S934" i="5"/>
  <c r="Q934" i="5"/>
  <c r="S933" i="5"/>
  <c r="Q933" i="5"/>
  <c r="S932" i="5"/>
  <c r="Q932" i="5"/>
  <c r="S931" i="5"/>
  <c r="Q931" i="5"/>
  <c r="S930" i="5"/>
  <c r="Q930" i="5"/>
  <c r="S929" i="5"/>
  <c r="Q929" i="5"/>
  <c r="S928" i="5"/>
  <c r="Q928" i="5"/>
  <c r="S927" i="5"/>
  <c r="Q927" i="5"/>
  <c r="S926" i="5"/>
  <c r="Q926" i="5"/>
  <c r="S925" i="5"/>
  <c r="Q925" i="5"/>
  <c r="S924" i="5"/>
  <c r="Q924" i="5"/>
  <c r="S923" i="5"/>
  <c r="Q923" i="5"/>
  <c r="S922" i="5"/>
  <c r="Q922" i="5"/>
  <c r="S921" i="5"/>
  <c r="Q921" i="5"/>
  <c r="S920" i="5"/>
  <c r="Q920" i="5"/>
  <c r="S919" i="5"/>
  <c r="Q919" i="5"/>
  <c r="S918" i="5"/>
  <c r="Q918" i="5"/>
  <c r="S917" i="5"/>
  <c r="Q917" i="5"/>
  <c r="S916" i="5"/>
  <c r="Q916" i="5"/>
  <c r="S915" i="5"/>
  <c r="Q915" i="5"/>
  <c r="S914" i="5"/>
  <c r="Q914" i="5"/>
  <c r="S913" i="5"/>
  <c r="Q913" i="5"/>
  <c r="S912" i="5"/>
  <c r="Q912" i="5"/>
  <c r="S911" i="5"/>
  <c r="Q911" i="5"/>
  <c r="S910" i="5"/>
  <c r="Q910" i="5"/>
  <c r="S909" i="5"/>
  <c r="Q909" i="5"/>
  <c r="S908" i="5"/>
  <c r="Q908" i="5"/>
  <c r="S907" i="5"/>
  <c r="Q907" i="5"/>
  <c r="S906" i="5"/>
  <c r="Q906" i="5"/>
  <c r="S905" i="5"/>
  <c r="Q905" i="5"/>
  <c r="S904" i="5"/>
  <c r="Q904" i="5"/>
  <c r="S903" i="5"/>
  <c r="Q903" i="5"/>
  <c r="S902" i="5"/>
  <c r="Q902" i="5"/>
  <c r="S901" i="5"/>
  <c r="Q901" i="5"/>
  <c r="S900" i="5"/>
  <c r="Q900" i="5"/>
  <c r="S899" i="5"/>
  <c r="Q899" i="5"/>
  <c r="S898" i="5"/>
  <c r="Q898" i="5"/>
  <c r="S897" i="5"/>
  <c r="Q897" i="5"/>
  <c r="S896" i="5"/>
  <c r="Q896" i="5"/>
  <c r="S895" i="5"/>
  <c r="Q895" i="5"/>
  <c r="S894" i="5"/>
  <c r="Q894" i="5"/>
  <c r="S893" i="5"/>
  <c r="Q893" i="5"/>
  <c r="S892" i="5"/>
  <c r="Q892" i="5"/>
  <c r="S891" i="5"/>
  <c r="Q891" i="5"/>
  <c r="S890" i="5"/>
  <c r="Q890" i="5"/>
  <c r="S889" i="5"/>
  <c r="Q889" i="5"/>
  <c r="S888" i="5"/>
  <c r="Q888" i="5"/>
  <c r="S887" i="5"/>
  <c r="Q887" i="5"/>
  <c r="S886" i="5"/>
  <c r="Q886" i="5"/>
  <c r="S885" i="5"/>
  <c r="Q885" i="5"/>
  <c r="S884" i="5"/>
  <c r="Q884" i="5"/>
  <c r="S883" i="5"/>
  <c r="Q883" i="5"/>
  <c r="S882" i="5"/>
  <c r="Q882" i="5"/>
  <c r="S881" i="5"/>
  <c r="Q881" i="5"/>
  <c r="S880" i="5"/>
  <c r="Q880" i="5"/>
  <c r="S879" i="5"/>
  <c r="Q879" i="5"/>
  <c r="S878" i="5"/>
  <c r="Q878" i="5"/>
  <c r="S877" i="5"/>
  <c r="Q877" i="5"/>
  <c r="S876" i="5"/>
  <c r="Q876" i="5"/>
  <c r="S875" i="5"/>
  <c r="Q875" i="5"/>
  <c r="S874" i="5"/>
  <c r="Q874" i="5"/>
  <c r="S873" i="5"/>
  <c r="Q873" i="5"/>
  <c r="S872" i="5"/>
  <c r="Q872" i="5"/>
  <c r="S871" i="5"/>
  <c r="Q871" i="5"/>
  <c r="S870" i="5"/>
  <c r="Q870" i="5"/>
  <c r="S869" i="5"/>
  <c r="Q869" i="5"/>
  <c r="S868" i="5"/>
  <c r="Q868" i="5"/>
  <c r="S867" i="5"/>
  <c r="Q867" i="5"/>
  <c r="S866" i="5"/>
  <c r="Q866" i="5"/>
  <c r="S865" i="5"/>
  <c r="Q865" i="5"/>
  <c r="S864" i="5"/>
  <c r="Q864" i="5"/>
  <c r="S863" i="5"/>
  <c r="Q863" i="5"/>
  <c r="S862" i="5"/>
  <c r="Q862" i="5"/>
  <c r="S861" i="5"/>
  <c r="Q861" i="5"/>
  <c r="S860" i="5"/>
  <c r="Q860" i="5"/>
  <c r="S859" i="5"/>
  <c r="Q859" i="5"/>
  <c r="S858" i="5"/>
  <c r="Q858" i="5"/>
  <c r="S857" i="5"/>
  <c r="Q857" i="5"/>
  <c r="S856" i="5"/>
  <c r="Q856" i="5"/>
  <c r="S855" i="5"/>
  <c r="Q855" i="5"/>
  <c r="S854" i="5"/>
  <c r="Q854" i="5"/>
  <c r="S853" i="5"/>
  <c r="Q853" i="5"/>
  <c r="S852" i="5"/>
  <c r="Q852" i="5"/>
  <c r="S851" i="5"/>
  <c r="Q851" i="5"/>
  <c r="S850" i="5"/>
  <c r="Q850" i="5"/>
  <c r="S849" i="5"/>
  <c r="Q849" i="5"/>
  <c r="S848" i="5"/>
  <c r="Q848" i="5"/>
  <c r="S847" i="5"/>
  <c r="Q847" i="5"/>
  <c r="S846" i="5"/>
  <c r="Q846" i="5"/>
  <c r="S845" i="5"/>
  <c r="Q845" i="5"/>
  <c r="S844" i="5"/>
  <c r="Q844" i="5"/>
  <c r="S843" i="5"/>
  <c r="Q843" i="5"/>
  <c r="S842" i="5"/>
  <c r="Q842" i="5"/>
  <c r="S841" i="5"/>
  <c r="Q841" i="5"/>
  <c r="S840" i="5"/>
  <c r="Q840" i="5"/>
  <c r="S839" i="5"/>
  <c r="Q839" i="5"/>
  <c r="S838" i="5"/>
  <c r="Q838" i="5"/>
  <c r="S837" i="5"/>
  <c r="Q837" i="5"/>
  <c r="S836" i="5"/>
  <c r="Q836" i="5"/>
  <c r="S835" i="5"/>
  <c r="Q835" i="5"/>
  <c r="S834" i="5"/>
  <c r="Q834" i="5"/>
  <c r="S833" i="5"/>
  <c r="Q833" i="5"/>
  <c r="S832" i="5"/>
  <c r="Q832" i="5"/>
  <c r="S831" i="5"/>
  <c r="Q831" i="5"/>
  <c r="S830" i="5"/>
  <c r="Q830" i="5"/>
  <c r="S829" i="5"/>
  <c r="Q829" i="5"/>
  <c r="S828" i="5"/>
  <c r="Q828" i="5"/>
  <c r="S827" i="5"/>
  <c r="Q827" i="5"/>
  <c r="S826" i="5"/>
  <c r="Q826" i="5"/>
  <c r="S825" i="5"/>
  <c r="Q825" i="5"/>
  <c r="S824" i="5"/>
  <c r="Q824" i="5"/>
  <c r="S823" i="5"/>
  <c r="Q823" i="5"/>
  <c r="S822" i="5"/>
  <c r="Q822" i="5"/>
  <c r="S821" i="5"/>
  <c r="Q821" i="5"/>
  <c r="S820" i="5"/>
  <c r="Q820" i="5"/>
  <c r="S819" i="5"/>
  <c r="Q819" i="5"/>
  <c r="S818" i="5"/>
  <c r="Q818" i="5"/>
  <c r="S817" i="5"/>
  <c r="Q817" i="5"/>
  <c r="S816" i="5"/>
  <c r="Q816" i="5"/>
  <c r="S815" i="5"/>
  <c r="Q815" i="5"/>
  <c r="S814" i="5"/>
  <c r="Q814" i="5"/>
  <c r="S813" i="5"/>
  <c r="Q813" i="5"/>
  <c r="S812" i="5"/>
  <c r="Q812" i="5"/>
  <c r="S811" i="5"/>
  <c r="Q811" i="5"/>
  <c r="S810" i="5"/>
  <c r="Q810" i="5"/>
  <c r="S809" i="5"/>
  <c r="Q809" i="5"/>
  <c r="S808" i="5"/>
  <c r="Q808" i="5"/>
  <c r="S807" i="5"/>
  <c r="Q807" i="5"/>
  <c r="S806" i="5"/>
  <c r="Q806" i="5"/>
  <c r="S805" i="5"/>
  <c r="Q805" i="5"/>
  <c r="S804" i="5"/>
  <c r="Q804" i="5"/>
  <c r="S803" i="5"/>
  <c r="Q803" i="5"/>
  <c r="S802" i="5"/>
  <c r="Q802" i="5"/>
  <c r="S801" i="5"/>
  <c r="Q801" i="5"/>
  <c r="S800" i="5"/>
  <c r="Q800" i="5"/>
  <c r="S799" i="5"/>
  <c r="Q799" i="5"/>
  <c r="S798" i="5"/>
  <c r="Q798" i="5"/>
  <c r="S797" i="5"/>
  <c r="Q797" i="5"/>
  <c r="S796" i="5"/>
  <c r="Q796" i="5"/>
  <c r="S795" i="5"/>
  <c r="Q795" i="5"/>
  <c r="S794" i="5"/>
  <c r="Q794" i="5"/>
  <c r="S793" i="5"/>
  <c r="Q793" i="5"/>
  <c r="S792" i="5"/>
  <c r="Q792" i="5"/>
  <c r="S791" i="5"/>
  <c r="Q791" i="5"/>
  <c r="S790" i="5"/>
  <c r="Q790" i="5"/>
  <c r="S789" i="5"/>
  <c r="Q789" i="5"/>
  <c r="S788" i="5"/>
  <c r="Q788" i="5"/>
  <c r="S787" i="5"/>
  <c r="Q787" i="5"/>
  <c r="S786" i="5"/>
  <c r="Q786" i="5"/>
  <c r="S785" i="5"/>
  <c r="Q785" i="5"/>
  <c r="S784" i="5"/>
  <c r="Q784" i="5"/>
  <c r="S783" i="5"/>
  <c r="Q783" i="5"/>
  <c r="S782" i="5"/>
  <c r="Q782" i="5"/>
  <c r="S781" i="5"/>
  <c r="Q781" i="5"/>
  <c r="S780" i="5"/>
  <c r="Q780" i="5"/>
  <c r="S779" i="5"/>
  <c r="Q779" i="5"/>
  <c r="S778" i="5"/>
  <c r="Q778" i="5"/>
  <c r="S777" i="5"/>
  <c r="Q777" i="5"/>
  <c r="S776" i="5"/>
  <c r="Q776" i="5"/>
  <c r="S775" i="5"/>
  <c r="Q775" i="5"/>
  <c r="S774" i="5"/>
  <c r="Q774" i="5"/>
  <c r="S773" i="5"/>
  <c r="Q773" i="5"/>
  <c r="S772" i="5"/>
  <c r="Q772" i="5"/>
  <c r="S771" i="5"/>
  <c r="Q771" i="5"/>
  <c r="S770" i="5"/>
  <c r="Q770" i="5"/>
  <c r="S769" i="5"/>
  <c r="Q769" i="5"/>
  <c r="S768" i="5"/>
  <c r="Q768" i="5"/>
  <c r="S767" i="5"/>
  <c r="Q767" i="5"/>
  <c r="S766" i="5"/>
  <c r="Q766" i="5"/>
  <c r="S765" i="5"/>
  <c r="Q765" i="5"/>
  <c r="S764" i="5"/>
  <c r="Q764" i="5"/>
  <c r="S763" i="5"/>
  <c r="Q763" i="5"/>
  <c r="S762" i="5"/>
  <c r="Q762" i="5"/>
  <c r="S761" i="5"/>
  <c r="Q761" i="5"/>
  <c r="S760" i="5"/>
  <c r="Q760" i="5"/>
  <c r="S759" i="5"/>
  <c r="Q759" i="5"/>
  <c r="S758" i="5"/>
  <c r="Q758" i="5"/>
  <c r="S757" i="5"/>
  <c r="Q757" i="5"/>
  <c r="S756" i="5"/>
  <c r="Q756" i="5"/>
  <c r="S755" i="5"/>
  <c r="Q755" i="5"/>
  <c r="S754" i="5"/>
  <c r="Q754" i="5"/>
  <c r="S753" i="5"/>
  <c r="Q753" i="5"/>
  <c r="S752" i="5"/>
  <c r="Q752" i="5"/>
  <c r="S751" i="5"/>
  <c r="Q751" i="5"/>
  <c r="S750" i="5"/>
  <c r="Q750" i="5"/>
  <c r="S749" i="5"/>
  <c r="Q749" i="5"/>
  <c r="S748" i="5"/>
  <c r="Q748" i="5"/>
  <c r="S747" i="5"/>
  <c r="Q747" i="5"/>
  <c r="S746" i="5"/>
  <c r="Q746" i="5"/>
  <c r="S745" i="5"/>
  <c r="Q745" i="5"/>
  <c r="S744" i="5"/>
  <c r="Q744" i="5"/>
  <c r="S743" i="5"/>
  <c r="Q743" i="5"/>
  <c r="S742" i="5"/>
  <c r="Q742" i="5"/>
  <c r="S741" i="5"/>
  <c r="Q741" i="5"/>
  <c r="S740" i="5"/>
  <c r="Q740" i="5"/>
  <c r="S739" i="5"/>
  <c r="Q739" i="5"/>
  <c r="S738" i="5"/>
  <c r="Q738" i="5"/>
  <c r="S737" i="5"/>
  <c r="Q737" i="5"/>
  <c r="S736" i="5"/>
  <c r="Q736" i="5"/>
  <c r="S735" i="5"/>
  <c r="Q735" i="5"/>
  <c r="S734" i="5"/>
  <c r="Q734" i="5"/>
  <c r="S733" i="5"/>
  <c r="Q733" i="5"/>
  <c r="S732" i="5"/>
  <c r="Q732" i="5"/>
  <c r="S731" i="5"/>
  <c r="Q731" i="5"/>
  <c r="S730" i="5"/>
  <c r="Q730" i="5"/>
  <c r="S729" i="5"/>
  <c r="Q729" i="5"/>
  <c r="S728" i="5"/>
  <c r="Q728" i="5"/>
  <c r="S727" i="5"/>
  <c r="Q727" i="5"/>
  <c r="S726" i="5"/>
  <c r="Q726" i="5"/>
  <c r="S725" i="5"/>
  <c r="Q725" i="5"/>
  <c r="S724" i="5"/>
  <c r="Q724" i="5"/>
  <c r="S723" i="5"/>
  <c r="Q723" i="5"/>
  <c r="S722" i="5"/>
  <c r="Q722" i="5"/>
  <c r="S721" i="5"/>
  <c r="Q721" i="5"/>
  <c r="S720" i="5"/>
  <c r="Q720" i="5"/>
  <c r="S719" i="5"/>
  <c r="Q719" i="5"/>
  <c r="S718" i="5"/>
  <c r="Q718" i="5"/>
  <c r="S717" i="5"/>
  <c r="Q717" i="5"/>
  <c r="S716" i="5"/>
  <c r="Q716" i="5"/>
  <c r="S715" i="5"/>
  <c r="Q715" i="5"/>
  <c r="S714" i="5"/>
  <c r="Q714" i="5"/>
  <c r="S713" i="5"/>
  <c r="Q713" i="5"/>
  <c r="S712" i="5"/>
  <c r="Q712" i="5"/>
  <c r="S711" i="5"/>
  <c r="Q711" i="5"/>
  <c r="S710" i="5"/>
  <c r="Q710" i="5"/>
  <c r="S709" i="5"/>
  <c r="Q709" i="5"/>
  <c r="S708" i="5"/>
  <c r="Q708" i="5"/>
  <c r="S707" i="5"/>
  <c r="Q707" i="5"/>
  <c r="S706" i="5"/>
  <c r="Q706" i="5"/>
  <c r="S705" i="5"/>
  <c r="Q705" i="5"/>
  <c r="S704" i="5"/>
  <c r="Q704" i="5"/>
  <c r="S703" i="5"/>
  <c r="Q703" i="5"/>
  <c r="S702" i="5"/>
  <c r="Q702" i="5"/>
  <c r="S701" i="5"/>
  <c r="Q701" i="5"/>
  <c r="S700" i="5"/>
  <c r="Q700" i="5"/>
  <c r="S699" i="5"/>
  <c r="Q699" i="5"/>
  <c r="S698" i="5"/>
  <c r="Q698" i="5"/>
  <c r="S697" i="5"/>
  <c r="Q697" i="5"/>
  <c r="S696" i="5"/>
  <c r="Q696" i="5"/>
  <c r="S695" i="5"/>
  <c r="Q695" i="5"/>
  <c r="S694" i="5"/>
  <c r="Q694" i="5"/>
  <c r="S693" i="5"/>
  <c r="Q693" i="5"/>
  <c r="S692" i="5"/>
  <c r="Q692" i="5"/>
  <c r="S691" i="5"/>
  <c r="Q691" i="5"/>
  <c r="S690" i="5"/>
  <c r="Q690" i="5"/>
  <c r="S689" i="5"/>
  <c r="Q689" i="5"/>
  <c r="S688" i="5"/>
  <c r="Q688" i="5"/>
  <c r="S687" i="5"/>
  <c r="Q687" i="5"/>
  <c r="S686" i="5"/>
  <c r="Q686" i="5"/>
  <c r="S685" i="5"/>
  <c r="Q685" i="5"/>
  <c r="S684" i="5"/>
  <c r="Q684" i="5"/>
  <c r="S683" i="5"/>
  <c r="Q683" i="5"/>
  <c r="S682" i="5"/>
  <c r="Q682" i="5"/>
  <c r="S681" i="5"/>
  <c r="Q681" i="5"/>
  <c r="S680" i="5"/>
  <c r="Q680" i="5"/>
  <c r="S679" i="5"/>
  <c r="Q679" i="5"/>
  <c r="S678" i="5"/>
  <c r="Q678" i="5"/>
  <c r="S677" i="5"/>
  <c r="Q677" i="5"/>
  <c r="S676" i="5"/>
  <c r="Q676" i="5"/>
  <c r="S675" i="5"/>
  <c r="Q675" i="5"/>
  <c r="S674" i="5"/>
  <c r="Q674" i="5"/>
  <c r="S673" i="5"/>
  <c r="Q673" i="5"/>
  <c r="S672" i="5"/>
  <c r="Q672" i="5"/>
  <c r="S671" i="5"/>
  <c r="Q671" i="5"/>
  <c r="S670" i="5"/>
  <c r="Q670" i="5"/>
  <c r="S669" i="5"/>
  <c r="Q669" i="5"/>
  <c r="S668" i="5"/>
  <c r="Q668" i="5"/>
  <c r="S667" i="5"/>
  <c r="Q667" i="5"/>
  <c r="S666" i="5"/>
  <c r="Q666" i="5"/>
  <c r="S665" i="5"/>
  <c r="Q665" i="5"/>
  <c r="S664" i="5"/>
  <c r="Q664" i="5"/>
  <c r="S663" i="5"/>
  <c r="Q663" i="5"/>
  <c r="S662" i="5"/>
  <c r="Q662" i="5"/>
  <c r="S661" i="5"/>
  <c r="Q661" i="5"/>
  <c r="S660" i="5"/>
  <c r="Q660" i="5"/>
  <c r="S659" i="5"/>
  <c r="Q659" i="5"/>
  <c r="S658" i="5"/>
  <c r="Q658" i="5"/>
  <c r="S657" i="5"/>
  <c r="Q657" i="5"/>
  <c r="S656" i="5"/>
  <c r="Q656" i="5"/>
  <c r="S655" i="5"/>
  <c r="Q655" i="5"/>
  <c r="S654" i="5"/>
  <c r="Q654" i="5"/>
  <c r="S653" i="5"/>
  <c r="Q653" i="5"/>
  <c r="S652" i="5"/>
  <c r="Q652" i="5"/>
  <c r="S651" i="5"/>
  <c r="Q651" i="5"/>
  <c r="S650" i="5"/>
  <c r="Q650" i="5"/>
  <c r="S649" i="5"/>
  <c r="Q649" i="5"/>
  <c r="S648" i="5"/>
  <c r="Q648" i="5"/>
  <c r="S647" i="5"/>
  <c r="Q647" i="5"/>
  <c r="S646" i="5"/>
  <c r="Q646" i="5"/>
  <c r="S645" i="5"/>
  <c r="Q645" i="5"/>
  <c r="S644" i="5"/>
  <c r="Q644" i="5"/>
  <c r="S643" i="5"/>
  <c r="Q643" i="5"/>
  <c r="S642" i="5"/>
  <c r="Q642" i="5"/>
  <c r="S641" i="5"/>
  <c r="Q641" i="5"/>
  <c r="S640" i="5"/>
  <c r="Q640" i="5"/>
  <c r="S639" i="5"/>
  <c r="Q639" i="5"/>
  <c r="S638" i="5"/>
  <c r="Q638" i="5"/>
  <c r="S637" i="5"/>
  <c r="Q637" i="5"/>
  <c r="S636" i="5"/>
  <c r="Q636" i="5"/>
  <c r="S635" i="5"/>
  <c r="Q635" i="5"/>
  <c r="S634" i="5"/>
  <c r="Q634" i="5"/>
  <c r="S633" i="5"/>
  <c r="Q633" i="5"/>
  <c r="S632" i="5"/>
  <c r="Q632" i="5"/>
  <c r="S631" i="5"/>
  <c r="Q631" i="5"/>
  <c r="S630" i="5"/>
  <c r="Q630" i="5"/>
  <c r="S629" i="5"/>
  <c r="Q629" i="5"/>
  <c r="S628" i="5"/>
  <c r="Q628" i="5"/>
  <c r="S627" i="5"/>
  <c r="Q627" i="5"/>
  <c r="S626" i="5"/>
  <c r="Q626" i="5"/>
  <c r="S625" i="5"/>
  <c r="Q625" i="5"/>
  <c r="S624" i="5"/>
  <c r="Q624" i="5"/>
  <c r="S623" i="5"/>
  <c r="Q623" i="5"/>
  <c r="S622" i="5"/>
  <c r="Q622" i="5"/>
  <c r="S621" i="5"/>
  <c r="Q621" i="5"/>
  <c r="S620" i="5"/>
  <c r="Q620" i="5"/>
  <c r="S619" i="5"/>
  <c r="Q619" i="5"/>
  <c r="S618" i="5"/>
  <c r="Q618" i="5"/>
  <c r="S617" i="5"/>
  <c r="Q617" i="5"/>
  <c r="S616" i="5"/>
  <c r="Q616" i="5"/>
  <c r="S615" i="5"/>
  <c r="Q615" i="5"/>
  <c r="S614" i="5"/>
  <c r="Q614" i="5"/>
  <c r="S613" i="5"/>
  <c r="Q613" i="5"/>
  <c r="S612" i="5"/>
  <c r="Q612" i="5"/>
  <c r="S611" i="5"/>
  <c r="Q611" i="5"/>
  <c r="S610" i="5"/>
  <c r="Q610" i="5"/>
  <c r="S609" i="5"/>
  <c r="Q609" i="5"/>
  <c r="S608" i="5"/>
  <c r="Q608" i="5"/>
  <c r="S607" i="5"/>
  <c r="Q607" i="5"/>
  <c r="S606" i="5"/>
  <c r="Q606" i="5"/>
  <c r="S605" i="5"/>
  <c r="Q605" i="5"/>
  <c r="S604" i="5"/>
  <c r="Q604" i="5"/>
  <c r="S603" i="5"/>
  <c r="Q603" i="5"/>
  <c r="S602" i="5"/>
  <c r="Q602" i="5"/>
  <c r="S601" i="5"/>
  <c r="Q601" i="5"/>
  <c r="S600" i="5"/>
  <c r="Q600" i="5"/>
  <c r="S599" i="5"/>
  <c r="Q599" i="5"/>
  <c r="S598" i="5"/>
  <c r="Q598" i="5"/>
  <c r="S597" i="5"/>
  <c r="Q597" i="5"/>
  <c r="S596" i="5"/>
  <c r="Q596" i="5"/>
  <c r="S595" i="5"/>
  <c r="Q595" i="5"/>
  <c r="S594" i="5"/>
  <c r="Q594" i="5"/>
  <c r="S593" i="5"/>
  <c r="Q593" i="5"/>
  <c r="S592" i="5"/>
  <c r="Q592" i="5"/>
  <c r="S591" i="5"/>
  <c r="Q591" i="5"/>
  <c r="S590" i="5"/>
  <c r="Q590" i="5"/>
  <c r="S589" i="5"/>
  <c r="Q589" i="5"/>
  <c r="S588" i="5"/>
  <c r="Q588" i="5"/>
  <c r="S587" i="5"/>
  <c r="Q587" i="5"/>
  <c r="S586" i="5"/>
  <c r="Q586" i="5"/>
  <c r="S585" i="5"/>
  <c r="Q585" i="5"/>
  <c r="S584" i="5"/>
  <c r="Q584" i="5"/>
  <c r="S583" i="5"/>
  <c r="Q583" i="5"/>
  <c r="S582" i="5"/>
  <c r="Q582" i="5"/>
  <c r="S581" i="5"/>
  <c r="Q581" i="5"/>
  <c r="S580" i="5"/>
  <c r="Q580" i="5"/>
  <c r="S579" i="5"/>
  <c r="Q579" i="5"/>
  <c r="S578" i="5"/>
  <c r="Q578" i="5"/>
  <c r="S577" i="5"/>
  <c r="Q577" i="5"/>
  <c r="S576" i="5"/>
  <c r="Q576" i="5"/>
  <c r="S575" i="5"/>
  <c r="Q575" i="5"/>
  <c r="S574" i="5"/>
  <c r="Q574" i="5"/>
  <c r="S573" i="5"/>
  <c r="Q573" i="5"/>
  <c r="S572" i="5"/>
  <c r="Q572" i="5"/>
  <c r="S571" i="5"/>
  <c r="Q571" i="5"/>
  <c r="S570" i="5"/>
  <c r="Q570" i="5"/>
  <c r="S569" i="5"/>
  <c r="Q569" i="5"/>
  <c r="S568" i="5"/>
  <c r="Q568" i="5"/>
  <c r="S567" i="5"/>
  <c r="Q567" i="5"/>
  <c r="S566" i="5"/>
  <c r="Q566" i="5"/>
  <c r="S565" i="5"/>
  <c r="Q565" i="5"/>
  <c r="S564" i="5"/>
  <c r="Q564" i="5"/>
  <c r="S563" i="5"/>
  <c r="Q563" i="5"/>
  <c r="S562" i="5"/>
  <c r="Q562" i="5"/>
  <c r="S561" i="5"/>
  <c r="Q561" i="5"/>
  <c r="S560" i="5"/>
  <c r="Q560" i="5"/>
  <c r="S559" i="5"/>
  <c r="Q559" i="5"/>
  <c r="S558" i="5"/>
  <c r="Q558" i="5"/>
  <c r="S557" i="5"/>
  <c r="Q557" i="5"/>
  <c r="S556" i="5"/>
  <c r="Q556" i="5"/>
  <c r="S555" i="5"/>
  <c r="Q555" i="5"/>
  <c r="S554" i="5"/>
  <c r="Q554" i="5"/>
  <c r="S553" i="5"/>
  <c r="Q553" i="5"/>
  <c r="S552" i="5"/>
  <c r="Q552" i="5"/>
  <c r="S551" i="5"/>
  <c r="Q551" i="5"/>
  <c r="S550" i="5"/>
  <c r="Q550" i="5"/>
  <c r="S549" i="5"/>
  <c r="Q549" i="5"/>
  <c r="S548" i="5"/>
  <c r="Q548" i="5"/>
  <c r="S547" i="5"/>
  <c r="Q547" i="5"/>
  <c r="S546" i="5"/>
  <c r="Q546" i="5"/>
  <c r="S545" i="5"/>
  <c r="Q545" i="5"/>
  <c r="S544" i="5"/>
  <c r="Q544" i="5"/>
  <c r="S543" i="5"/>
  <c r="Q543" i="5"/>
  <c r="S542" i="5"/>
  <c r="Q542" i="5"/>
  <c r="S541" i="5"/>
  <c r="Q541" i="5"/>
  <c r="S540" i="5"/>
  <c r="Q540" i="5"/>
  <c r="S539" i="5"/>
  <c r="Q539" i="5"/>
  <c r="S538" i="5"/>
  <c r="Q538" i="5"/>
  <c r="S537" i="5"/>
  <c r="Q537" i="5"/>
  <c r="S536" i="5"/>
  <c r="Q536" i="5"/>
  <c r="S535" i="5"/>
  <c r="Q535" i="5"/>
  <c r="S534" i="5"/>
  <c r="Q534" i="5"/>
  <c r="S533" i="5"/>
  <c r="Q533" i="5"/>
  <c r="S532" i="5"/>
  <c r="Q532" i="5"/>
  <c r="S531" i="5"/>
  <c r="Q531" i="5"/>
  <c r="S530" i="5"/>
  <c r="Q530" i="5"/>
  <c r="S529" i="5"/>
  <c r="Q529" i="5"/>
  <c r="S528" i="5"/>
  <c r="Q528" i="5"/>
  <c r="S527" i="5"/>
  <c r="Q527" i="5"/>
  <c r="S526" i="5"/>
  <c r="Q526" i="5"/>
  <c r="S525" i="5"/>
  <c r="Q525" i="5"/>
  <c r="S524" i="5"/>
  <c r="Q524" i="5"/>
  <c r="S523" i="5"/>
  <c r="Q523" i="5"/>
  <c r="S522" i="5"/>
  <c r="Q522" i="5"/>
  <c r="S521" i="5"/>
  <c r="Q521" i="5"/>
  <c r="S520" i="5"/>
  <c r="Q520" i="5"/>
  <c r="S519" i="5"/>
  <c r="Q519" i="5"/>
  <c r="S518" i="5"/>
  <c r="Q518" i="5"/>
  <c r="S517" i="5"/>
  <c r="Q517" i="5"/>
  <c r="S516" i="5"/>
  <c r="Q516" i="5"/>
  <c r="S515" i="5"/>
  <c r="Q515" i="5"/>
  <c r="S514" i="5"/>
  <c r="Q514" i="5"/>
  <c r="S513" i="5"/>
  <c r="Q513" i="5"/>
  <c r="S512" i="5"/>
  <c r="Q512" i="5"/>
  <c r="S511" i="5"/>
  <c r="Q511" i="5"/>
  <c r="S510" i="5"/>
  <c r="Q510" i="5"/>
  <c r="S509" i="5"/>
  <c r="Q509" i="5"/>
  <c r="S508" i="5"/>
  <c r="Q508" i="5"/>
  <c r="S507" i="5"/>
  <c r="Q507" i="5"/>
  <c r="S506" i="5"/>
  <c r="Q506" i="5"/>
  <c r="S505" i="5"/>
  <c r="Q505" i="5"/>
  <c r="S504" i="5"/>
  <c r="Q504" i="5"/>
  <c r="S503" i="5"/>
  <c r="Q503" i="5"/>
  <c r="S502" i="5"/>
  <c r="Q502" i="5"/>
  <c r="S501" i="5"/>
  <c r="Q501" i="5"/>
  <c r="S500" i="5"/>
  <c r="Q500" i="5"/>
  <c r="S499" i="5"/>
  <c r="Q499" i="5"/>
  <c r="S498" i="5"/>
  <c r="Q498" i="5"/>
  <c r="S497" i="5"/>
  <c r="Q497" i="5"/>
  <c r="S496" i="5"/>
  <c r="Q496" i="5"/>
  <c r="S495" i="5"/>
  <c r="Q495" i="5"/>
  <c r="S494" i="5"/>
  <c r="Q494" i="5"/>
  <c r="S493" i="5"/>
  <c r="Q493" i="5"/>
  <c r="S492" i="5"/>
  <c r="Q492" i="5"/>
  <c r="S491" i="5"/>
  <c r="Q491" i="5"/>
  <c r="S490" i="5"/>
  <c r="Q490" i="5"/>
  <c r="S489" i="5"/>
  <c r="Q489" i="5"/>
  <c r="S488" i="5"/>
  <c r="Q488" i="5"/>
  <c r="S487" i="5"/>
  <c r="Q487" i="5"/>
  <c r="S486" i="5"/>
  <c r="Q486" i="5"/>
  <c r="S485" i="5"/>
  <c r="Q485" i="5"/>
  <c r="S484" i="5"/>
  <c r="Q484" i="5"/>
  <c r="S483" i="5"/>
  <c r="Q483" i="5"/>
  <c r="S482" i="5"/>
  <c r="Q482" i="5"/>
  <c r="S481" i="5"/>
  <c r="Q481" i="5"/>
  <c r="S480" i="5"/>
  <c r="Q480" i="5"/>
  <c r="S479" i="5"/>
  <c r="Q479" i="5"/>
  <c r="S478" i="5"/>
  <c r="Q478" i="5"/>
  <c r="S477" i="5"/>
  <c r="Q477" i="5"/>
  <c r="S476" i="5"/>
  <c r="Q476" i="5"/>
  <c r="S475" i="5"/>
  <c r="Q475" i="5"/>
  <c r="R475" i="5" s="1"/>
  <c r="P77" i="3" s="1"/>
  <c r="S474" i="5"/>
  <c r="Q474" i="5"/>
  <c r="R474" i="5" s="1"/>
  <c r="S473" i="5"/>
  <c r="R473" i="5"/>
  <c r="Q473" i="5"/>
  <c r="S472" i="5"/>
  <c r="R472" i="5"/>
  <c r="Q472" i="5"/>
  <c r="S471" i="5"/>
  <c r="R471" i="5"/>
  <c r="Q471" i="5"/>
  <c r="S470" i="5"/>
  <c r="Q470" i="5"/>
  <c r="R470" i="5" s="1"/>
  <c r="S469" i="5"/>
  <c r="Q469" i="5"/>
  <c r="R469" i="5" s="1"/>
  <c r="S468" i="5"/>
  <c r="R468" i="5"/>
  <c r="R83" i="3" s="1"/>
  <c r="Q468" i="5"/>
  <c r="S467" i="5"/>
  <c r="Q467" i="5"/>
  <c r="R467" i="5" s="1"/>
  <c r="S466" i="5"/>
  <c r="Q466" i="5"/>
  <c r="R466" i="5" s="1"/>
  <c r="S465" i="5"/>
  <c r="Q465" i="5"/>
  <c r="R465" i="5" s="1"/>
  <c r="S464" i="5"/>
  <c r="Q464" i="5"/>
  <c r="R464" i="5" s="1"/>
  <c r="S463" i="5"/>
  <c r="R463" i="5"/>
  <c r="P79" i="3" s="1"/>
  <c r="Q463" i="5"/>
  <c r="S462" i="5"/>
  <c r="R462" i="5"/>
  <c r="Q462" i="5"/>
  <c r="S461" i="5"/>
  <c r="R461" i="5"/>
  <c r="Q461" i="5"/>
  <c r="S460" i="5"/>
  <c r="Q460" i="5"/>
  <c r="R460" i="5" s="1"/>
  <c r="S459" i="5"/>
  <c r="Q459" i="5"/>
  <c r="R459" i="5" s="1"/>
  <c r="R76" i="3" s="1"/>
  <c r="S458" i="5"/>
  <c r="R458" i="5"/>
  <c r="Q458" i="5"/>
  <c r="S457" i="5"/>
  <c r="Q457" i="5"/>
  <c r="R457" i="5" s="1"/>
  <c r="S456" i="5"/>
  <c r="Q456" i="5"/>
  <c r="R456" i="5" s="1"/>
  <c r="S455" i="5"/>
  <c r="Q455" i="5"/>
  <c r="R455" i="5" s="1"/>
  <c r="P45" i="3" s="1"/>
  <c r="S454" i="5"/>
  <c r="Q454" i="5"/>
  <c r="R454" i="5" s="1"/>
  <c r="S453" i="5"/>
  <c r="R453" i="5"/>
  <c r="Q453" i="5"/>
  <c r="S452" i="5"/>
  <c r="R452" i="5"/>
  <c r="Q452" i="5"/>
  <c r="S451" i="5"/>
  <c r="R451" i="5"/>
  <c r="Q451" i="5"/>
  <c r="S450" i="5"/>
  <c r="Q450" i="5"/>
  <c r="R450" i="5" s="1"/>
  <c r="S449" i="5"/>
  <c r="Q449" i="5"/>
  <c r="R449" i="5" s="1"/>
  <c r="S448" i="5"/>
  <c r="R448" i="5"/>
  <c r="Q448" i="5"/>
  <c r="S447" i="5"/>
  <c r="Q447" i="5"/>
  <c r="R447" i="5" s="1"/>
  <c r="S446" i="5"/>
  <c r="R446" i="5"/>
  <c r="Q446" i="5"/>
  <c r="S445" i="5"/>
  <c r="Q445" i="5"/>
  <c r="R445" i="5" s="1"/>
  <c r="S444" i="5"/>
  <c r="Q444" i="5"/>
  <c r="R444" i="5" s="1"/>
  <c r="S443" i="5"/>
  <c r="R443" i="5"/>
  <c r="Q443" i="5"/>
  <c r="S442" i="5"/>
  <c r="R442" i="5"/>
  <c r="Q442" i="5"/>
  <c r="S441" i="5"/>
  <c r="R441" i="5"/>
  <c r="Q441" i="5"/>
  <c r="S440" i="5"/>
  <c r="Q440" i="5"/>
  <c r="R440" i="5" s="1"/>
  <c r="S439" i="5"/>
  <c r="Q439" i="5"/>
  <c r="R439" i="5" s="1"/>
  <c r="S438" i="5"/>
  <c r="R438" i="5"/>
  <c r="Q438" i="5"/>
  <c r="S437" i="5"/>
  <c r="Q437" i="5"/>
  <c r="R437" i="5" s="1"/>
  <c r="S436" i="5"/>
  <c r="R436" i="5"/>
  <c r="Q436" i="5"/>
  <c r="S435" i="5"/>
  <c r="Q435" i="5"/>
  <c r="R435" i="5" s="1"/>
  <c r="R44" i="3" s="1"/>
  <c r="S434" i="5"/>
  <c r="Q434" i="5"/>
  <c r="R434" i="5" s="1"/>
  <c r="S433" i="5"/>
  <c r="R433" i="5"/>
  <c r="Q433" i="5"/>
  <c r="S432" i="5"/>
  <c r="R432" i="5"/>
  <c r="Q432" i="5"/>
  <c r="S431" i="5"/>
  <c r="R431" i="5"/>
  <c r="Q431" i="5"/>
  <c r="S430" i="5"/>
  <c r="Q430" i="5"/>
  <c r="R430" i="5" s="1"/>
  <c r="S429" i="5"/>
  <c r="Q429" i="5"/>
  <c r="R429" i="5" s="1"/>
  <c r="S428" i="5"/>
  <c r="R428" i="5"/>
  <c r="Q428" i="5"/>
  <c r="S427" i="5"/>
  <c r="Q427" i="5"/>
  <c r="R427" i="5" s="1"/>
  <c r="S426" i="5"/>
  <c r="R426" i="5"/>
  <c r="Q426" i="5"/>
  <c r="S425" i="5"/>
  <c r="Q425" i="5"/>
  <c r="R425" i="5" s="1"/>
  <c r="S424" i="5"/>
  <c r="Q424" i="5"/>
  <c r="R424" i="5" s="1"/>
  <c r="S423" i="5"/>
  <c r="R423" i="5"/>
  <c r="Q423" i="5"/>
  <c r="S422" i="5"/>
  <c r="R422" i="5"/>
  <c r="Q422" i="5"/>
  <c r="S421" i="5"/>
  <c r="R421" i="5"/>
  <c r="Q421" i="5"/>
  <c r="S420" i="5"/>
  <c r="Q420" i="5"/>
  <c r="R420" i="5" s="1"/>
  <c r="S419" i="5"/>
  <c r="Q419" i="5"/>
  <c r="R419" i="5" s="1"/>
  <c r="S418" i="5"/>
  <c r="R418" i="5"/>
  <c r="Q418" i="5"/>
  <c r="S417" i="5"/>
  <c r="Q417" i="5"/>
  <c r="R417" i="5" s="1"/>
  <c r="S416" i="5"/>
  <c r="R416" i="5"/>
  <c r="Q416" i="5"/>
  <c r="S415" i="5"/>
  <c r="Q415" i="5"/>
  <c r="R415" i="5" s="1"/>
  <c r="Q58" i="3" s="1"/>
  <c r="S414" i="5"/>
  <c r="Q414" i="5"/>
  <c r="R414" i="5" s="1"/>
  <c r="S413" i="5"/>
  <c r="R413" i="5"/>
  <c r="Q413" i="5"/>
  <c r="S412" i="5"/>
  <c r="R412" i="5"/>
  <c r="Q412" i="5"/>
  <c r="S411" i="5"/>
  <c r="R411" i="5"/>
  <c r="Q411" i="5"/>
  <c r="S410" i="5"/>
  <c r="Q410" i="5"/>
  <c r="R410" i="5" s="1"/>
  <c r="S409" i="5"/>
  <c r="Q409" i="5"/>
  <c r="R409" i="5" s="1"/>
  <c r="S408" i="5"/>
  <c r="R408" i="5"/>
  <c r="Q408" i="5"/>
  <c r="S407" i="5"/>
  <c r="Q407" i="5"/>
  <c r="R407" i="5" s="1"/>
  <c r="S406" i="5"/>
  <c r="R406" i="5"/>
  <c r="Q406" i="5"/>
  <c r="S405" i="5"/>
  <c r="Q405" i="5"/>
  <c r="R405" i="5" s="1"/>
  <c r="S404" i="5"/>
  <c r="Q404" i="5"/>
  <c r="R404" i="5" s="1"/>
  <c r="S403" i="5"/>
  <c r="R403" i="5"/>
  <c r="Q403" i="5"/>
  <c r="S402" i="5"/>
  <c r="R402" i="5"/>
  <c r="Q402" i="5"/>
  <c r="S401" i="5"/>
  <c r="R401" i="5"/>
  <c r="Q401" i="5"/>
  <c r="S400" i="5"/>
  <c r="Q400" i="5"/>
  <c r="R400" i="5" s="1"/>
  <c r="S399" i="5"/>
  <c r="Q399" i="5"/>
  <c r="R399" i="5" s="1"/>
  <c r="S398" i="5"/>
  <c r="R398" i="5"/>
  <c r="Q398" i="5"/>
  <c r="S397" i="5"/>
  <c r="Q397" i="5"/>
  <c r="R397" i="5" s="1"/>
  <c r="S396" i="5"/>
  <c r="R396" i="5"/>
  <c r="Q396" i="5"/>
  <c r="S395" i="5"/>
  <c r="Q395" i="5"/>
  <c r="R395" i="5" s="1"/>
  <c r="S394" i="5"/>
  <c r="Q394" i="5"/>
  <c r="R394" i="5" s="1"/>
  <c r="S393" i="5"/>
  <c r="R393" i="5"/>
  <c r="Q393" i="5"/>
  <c r="S392" i="5"/>
  <c r="R392" i="5"/>
  <c r="Q392" i="5"/>
  <c r="S391" i="5"/>
  <c r="R391" i="5"/>
  <c r="Q391" i="5"/>
  <c r="S390" i="5"/>
  <c r="Q390" i="5"/>
  <c r="R390" i="5" s="1"/>
  <c r="S389" i="5"/>
  <c r="Q389" i="5"/>
  <c r="R389" i="5" s="1"/>
  <c r="S388" i="5"/>
  <c r="R388" i="5"/>
  <c r="Q388" i="5"/>
  <c r="S387" i="5"/>
  <c r="Q387" i="5"/>
  <c r="R387" i="5" s="1"/>
  <c r="S386" i="5"/>
  <c r="R386" i="5"/>
  <c r="Q386" i="5"/>
  <c r="S385" i="5"/>
  <c r="Q385" i="5"/>
  <c r="R385" i="5" s="1"/>
  <c r="S384" i="5"/>
  <c r="Q384" i="5"/>
  <c r="R384" i="5" s="1"/>
  <c r="S383" i="5"/>
  <c r="R383" i="5"/>
  <c r="Q383" i="5"/>
  <c r="S382" i="5"/>
  <c r="R382" i="5"/>
  <c r="Q382" i="5"/>
  <c r="S381" i="5"/>
  <c r="R381" i="5"/>
  <c r="Q381" i="5"/>
  <c r="S380" i="5"/>
  <c r="Q380" i="5"/>
  <c r="R380" i="5" s="1"/>
  <c r="S379" i="5"/>
  <c r="Q379" i="5"/>
  <c r="R379" i="5" s="1"/>
  <c r="S378" i="5"/>
  <c r="R378" i="5"/>
  <c r="Q378" i="5"/>
  <c r="S377" i="5"/>
  <c r="Q377" i="5"/>
  <c r="R377" i="5" s="1"/>
  <c r="S376" i="5"/>
  <c r="R376" i="5"/>
  <c r="Q376" i="5"/>
  <c r="S375" i="5"/>
  <c r="Q375" i="5"/>
  <c r="R375" i="5" s="1"/>
  <c r="S374" i="5"/>
  <c r="Q374" i="5"/>
  <c r="R374" i="5" s="1"/>
  <c r="S373" i="5"/>
  <c r="R373" i="5"/>
  <c r="Q373" i="5"/>
  <c r="S372" i="5"/>
  <c r="R372" i="5"/>
  <c r="Q372" i="5"/>
  <c r="S371" i="5"/>
  <c r="R371" i="5"/>
  <c r="Q371" i="5"/>
  <c r="S370" i="5"/>
  <c r="Q370" i="5"/>
  <c r="R370" i="5" s="1"/>
  <c r="S369" i="5"/>
  <c r="Q369" i="5"/>
  <c r="R369" i="5" s="1"/>
  <c r="S368" i="5"/>
  <c r="R368" i="5"/>
  <c r="Q368" i="5"/>
  <c r="S367" i="5"/>
  <c r="Q367" i="5"/>
  <c r="R367" i="5" s="1"/>
  <c r="P29" i="3" s="1"/>
  <c r="S366" i="5"/>
  <c r="R366" i="5"/>
  <c r="Q366" i="5"/>
  <c r="S365" i="5"/>
  <c r="Q365" i="5"/>
  <c r="R365" i="5" s="1"/>
  <c r="S364" i="5"/>
  <c r="Q364" i="5"/>
  <c r="R364" i="5" s="1"/>
  <c r="S363" i="5"/>
  <c r="R363" i="5"/>
  <c r="Q363" i="5"/>
  <c r="S362" i="5"/>
  <c r="R362" i="5"/>
  <c r="Q362" i="5"/>
  <c r="S361" i="5"/>
  <c r="R361" i="5"/>
  <c r="Q361" i="5"/>
  <c r="S360" i="5"/>
  <c r="Q360" i="5"/>
  <c r="R360" i="5" s="1"/>
  <c r="S359" i="5"/>
  <c r="Q359" i="5"/>
  <c r="R359" i="5" s="1"/>
  <c r="R74" i="3" s="1"/>
  <c r="S358" i="5"/>
  <c r="R358" i="5"/>
  <c r="R73" i="3" s="1"/>
  <c r="Q358" i="5"/>
  <c r="S357" i="5"/>
  <c r="Q357" i="5"/>
  <c r="R357" i="5" s="1"/>
  <c r="S356" i="5"/>
  <c r="R356" i="5"/>
  <c r="Q356" i="5"/>
  <c r="S355" i="5"/>
  <c r="Q355" i="5"/>
  <c r="R355" i="5" s="1"/>
  <c r="Q63" i="3" s="1"/>
  <c r="S354" i="5"/>
  <c r="Q354" i="5"/>
  <c r="R354" i="5" s="1"/>
  <c r="S353" i="5"/>
  <c r="R353" i="5"/>
  <c r="Q353" i="5"/>
  <c r="S352" i="5"/>
  <c r="R352" i="5"/>
  <c r="Q352" i="5"/>
  <c r="S351" i="5"/>
  <c r="H7" i="8" s="1"/>
  <c r="R351" i="5"/>
  <c r="Q351" i="5"/>
  <c r="S350" i="5"/>
  <c r="Q350" i="5"/>
  <c r="R350" i="5" s="1"/>
  <c r="S349" i="5"/>
  <c r="Q349" i="5"/>
  <c r="R349" i="5" s="1"/>
  <c r="S348" i="5"/>
  <c r="R348" i="5"/>
  <c r="Q348" i="5"/>
  <c r="S347" i="5"/>
  <c r="Q347" i="5"/>
  <c r="R347" i="5" s="1"/>
  <c r="R69" i="3" s="1"/>
  <c r="S346" i="5"/>
  <c r="R346" i="5"/>
  <c r="Q346" i="5"/>
  <c r="S345" i="5"/>
  <c r="Q345" i="5"/>
  <c r="R345" i="5" s="1"/>
  <c r="S344" i="5"/>
  <c r="Q344" i="5"/>
  <c r="R344" i="5" s="1"/>
  <c r="S343" i="5"/>
  <c r="R343" i="5"/>
  <c r="Q343" i="5"/>
  <c r="S342" i="5"/>
  <c r="R342" i="5"/>
  <c r="Q342" i="5"/>
  <c r="S341" i="5"/>
  <c r="R341" i="5"/>
  <c r="Q341" i="5"/>
  <c r="S340" i="5"/>
  <c r="Q340" i="5"/>
  <c r="R340" i="5" s="1"/>
  <c r="S339" i="5"/>
  <c r="Q339" i="5"/>
  <c r="R339" i="5" s="1"/>
  <c r="S338" i="5"/>
  <c r="R338" i="5"/>
  <c r="Q338" i="5"/>
  <c r="S337" i="5"/>
  <c r="Q337" i="5"/>
  <c r="R337" i="5" s="1"/>
  <c r="S336" i="5"/>
  <c r="R336" i="5"/>
  <c r="Q336" i="5"/>
  <c r="S335" i="5"/>
  <c r="Q335" i="5"/>
  <c r="R335" i="5" s="1"/>
  <c r="S334" i="5"/>
  <c r="Q334" i="5"/>
  <c r="R334" i="5" s="1"/>
  <c r="S333" i="5"/>
  <c r="R333" i="5"/>
  <c r="Q333" i="5"/>
  <c r="S332" i="5"/>
  <c r="R332" i="5"/>
  <c r="Q332" i="5"/>
  <c r="S331" i="5"/>
  <c r="R331" i="5"/>
  <c r="Q331" i="5"/>
  <c r="S330" i="5"/>
  <c r="Q330" i="5"/>
  <c r="R330" i="5" s="1"/>
  <c r="S329" i="5"/>
  <c r="Q329" i="5"/>
  <c r="R329" i="5" s="1"/>
  <c r="S328" i="5"/>
  <c r="R328" i="5"/>
  <c r="Q328" i="5"/>
  <c r="S327" i="5"/>
  <c r="Q327" i="5"/>
  <c r="R327" i="5" s="1"/>
  <c r="Q48" i="3" s="1"/>
  <c r="S326" i="5"/>
  <c r="R326" i="5"/>
  <c r="Q326" i="5"/>
  <c r="S325" i="5"/>
  <c r="Q325" i="5"/>
  <c r="R325" i="5" s="1"/>
  <c r="S324" i="5"/>
  <c r="Q324" i="5"/>
  <c r="R324" i="5" s="1"/>
  <c r="S323" i="5"/>
  <c r="R323" i="5"/>
  <c r="Q323" i="5"/>
  <c r="S322" i="5"/>
  <c r="R322" i="5"/>
  <c r="Q322" i="5"/>
  <c r="S321" i="5"/>
  <c r="R321" i="5"/>
  <c r="Q321" i="5"/>
  <c r="S320" i="5"/>
  <c r="Q320" i="5"/>
  <c r="R320" i="5" s="1"/>
  <c r="S319" i="5"/>
  <c r="Q319" i="5"/>
  <c r="R319" i="5" s="1"/>
  <c r="R39" i="3" s="1"/>
  <c r="S318" i="5"/>
  <c r="R318" i="5"/>
  <c r="Q318" i="5"/>
  <c r="S317" i="5"/>
  <c r="Q317" i="5"/>
  <c r="R317" i="5" s="1"/>
  <c r="S316" i="5"/>
  <c r="R316" i="5"/>
  <c r="Q316" i="5"/>
  <c r="S315" i="5"/>
  <c r="Q315" i="5"/>
  <c r="R315" i="5" s="1"/>
  <c r="S314" i="5"/>
  <c r="Q314" i="5"/>
  <c r="R314" i="5" s="1"/>
  <c r="S313" i="5"/>
  <c r="R313" i="5"/>
  <c r="Q313" i="5"/>
  <c r="S312" i="5"/>
  <c r="R312" i="5"/>
  <c r="Q312" i="5"/>
  <c r="S311" i="5"/>
  <c r="R311" i="5"/>
  <c r="Q311" i="5"/>
  <c r="S310" i="5"/>
  <c r="Q310" i="5"/>
  <c r="R310" i="5" s="1"/>
  <c r="S309" i="5"/>
  <c r="Q309" i="5"/>
  <c r="R309" i="5" s="1"/>
  <c r="S308" i="5"/>
  <c r="R308" i="5"/>
  <c r="Q308" i="5"/>
  <c r="S307" i="5"/>
  <c r="Q307" i="5"/>
  <c r="R307" i="5" s="1"/>
  <c r="S306" i="5"/>
  <c r="R306" i="5"/>
  <c r="Q306" i="5"/>
  <c r="S305" i="5"/>
  <c r="Q305" i="5"/>
  <c r="R305" i="5" s="1"/>
  <c r="S304" i="5"/>
  <c r="Q304" i="5"/>
  <c r="R304" i="5" s="1"/>
  <c r="S303" i="5"/>
  <c r="R303" i="5"/>
  <c r="Q303" i="5"/>
  <c r="S302" i="5"/>
  <c r="R302" i="5"/>
  <c r="Q302" i="5"/>
  <c r="S301" i="5"/>
  <c r="R301" i="5"/>
  <c r="Q301" i="5"/>
  <c r="S300" i="5"/>
  <c r="Q300" i="5"/>
  <c r="R300" i="5" s="1"/>
  <c r="S299" i="5"/>
  <c r="Q299" i="5"/>
  <c r="R299" i="5" s="1"/>
  <c r="S298" i="5"/>
  <c r="R298" i="5"/>
  <c r="Q298" i="5"/>
  <c r="S297" i="5"/>
  <c r="Q297" i="5"/>
  <c r="R297" i="5" s="1"/>
  <c r="S296" i="5"/>
  <c r="R296" i="5"/>
  <c r="Q296" i="5"/>
  <c r="S295" i="5"/>
  <c r="Q295" i="5"/>
  <c r="R295" i="5" s="1"/>
  <c r="S294" i="5"/>
  <c r="Q294" i="5"/>
  <c r="R294" i="5" s="1"/>
  <c r="S293" i="5"/>
  <c r="R293" i="5"/>
  <c r="Q293" i="5"/>
  <c r="S292" i="5"/>
  <c r="R292" i="5"/>
  <c r="Q292" i="5"/>
  <c r="S291" i="5"/>
  <c r="R291" i="5"/>
  <c r="Q291" i="5"/>
  <c r="S290" i="5"/>
  <c r="Q290" i="5"/>
  <c r="R290" i="5" s="1"/>
  <c r="S289" i="5"/>
  <c r="Q289" i="5"/>
  <c r="R289" i="5" s="1"/>
  <c r="S288" i="5"/>
  <c r="R288" i="5"/>
  <c r="R68" i="3" s="1"/>
  <c r="Q288" i="5"/>
  <c r="S287" i="5"/>
  <c r="Q287" i="5"/>
  <c r="R287" i="5" s="1"/>
  <c r="R67" i="3" s="1"/>
  <c r="S286" i="5"/>
  <c r="R286" i="5"/>
  <c r="Q286" i="5"/>
  <c r="S285" i="5"/>
  <c r="Q285" i="5"/>
  <c r="R285" i="5" s="1"/>
  <c r="S284" i="5"/>
  <c r="Q284" i="5"/>
  <c r="R284" i="5" s="1"/>
  <c r="S283" i="5"/>
  <c r="R283" i="5"/>
  <c r="Q283" i="5"/>
  <c r="S282" i="5"/>
  <c r="R282" i="5"/>
  <c r="Q282" i="5"/>
  <c r="S281" i="5"/>
  <c r="R281" i="5"/>
  <c r="Q281" i="5"/>
  <c r="S280" i="5"/>
  <c r="Q280" i="5"/>
  <c r="R280" i="5" s="1"/>
  <c r="S279" i="5"/>
  <c r="Q279" i="5"/>
  <c r="R279" i="5" s="1"/>
  <c r="S278" i="5"/>
  <c r="R278" i="5"/>
  <c r="Q278" i="5"/>
  <c r="S277" i="5"/>
  <c r="Q277" i="5"/>
  <c r="R277" i="5" s="1"/>
  <c r="S276" i="5"/>
  <c r="R276" i="5"/>
  <c r="Q276" i="5"/>
  <c r="S275" i="5"/>
  <c r="Q275" i="5"/>
  <c r="R275" i="5" s="1"/>
  <c r="Q43" i="3" s="1"/>
  <c r="S274" i="5"/>
  <c r="Q274" i="5"/>
  <c r="R274" i="5" s="1"/>
  <c r="S273" i="5"/>
  <c r="R273" i="5"/>
  <c r="Q273" i="5"/>
  <c r="S272" i="5"/>
  <c r="R272" i="5"/>
  <c r="Q272" i="5"/>
  <c r="S271" i="5"/>
  <c r="R271" i="5"/>
  <c r="Q271" i="5"/>
  <c r="S270" i="5"/>
  <c r="Q270" i="5"/>
  <c r="R270" i="5" s="1"/>
  <c r="S269" i="5"/>
  <c r="Q269" i="5"/>
  <c r="R269" i="5" s="1"/>
  <c r="S268" i="5"/>
  <c r="R268" i="5"/>
  <c r="Q268" i="5"/>
  <c r="S267" i="5"/>
  <c r="Q267" i="5"/>
  <c r="R267" i="5" s="1"/>
  <c r="S266" i="5"/>
  <c r="R266" i="5"/>
  <c r="Q266" i="5"/>
  <c r="S265" i="5"/>
  <c r="Q265" i="5"/>
  <c r="R265" i="5" s="1"/>
  <c r="S264" i="5"/>
  <c r="Q264" i="5"/>
  <c r="R264" i="5" s="1"/>
  <c r="S263" i="5"/>
  <c r="R263" i="5"/>
  <c r="Q263" i="5"/>
  <c r="S262" i="5"/>
  <c r="R262" i="5"/>
  <c r="Q262" i="5"/>
  <c r="S261" i="5"/>
  <c r="R261" i="5"/>
  <c r="Q261" i="5"/>
  <c r="S260" i="5"/>
  <c r="Q260" i="5"/>
  <c r="R260" i="5" s="1"/>
  <c r="S259" i="5"/>
  <c r="Q259" i="5"/>
  <c r="R259" i="5" s="1"/>
  <c r="Q16" i="3" s="1"/>
  <c r="S258" i="5"/>
  <c r="R258" i="5"/>
  <c r="Q258" i="5"/>
  <c r="S257" i="5"/>
  <c r="Q257" i="5"/>
  <c r="R257" i="5" s="1"/>
  <c r="S256" i="5"/>
  <c r="R256" i="5"/>
  <c r="Q256" i="5"/>
  <c r="S255" i="5"/>
  <c r="Q255" i="5"/>
  <c r="R255" i="5" s="1"/>
  <c r="S254" i="5"/>
  <c r="Q254" i="5"/>
  <c r="R254" i="5" s="1"/>
  <c r="S253" i="5"/>
  <c r="R253" i="5"/>
  <c r="Q253" i="5"/>
  <c r="S252" i="5"/>
  <c r="R252" i="5"/>
  <c r="Q252" i="5"/>
  <c r="S251" i="5"/>
  <c r="R251" i="5"/>
  <c r="Q251" i="5"/>
  <c r="S250" i="5"/>
  <c r="Q250" i="5"/>
  <c r="R250" i="5" s="1"/>
  <c r="S249" i="5"/>
  <c r="Q249" i="5"/>
  <c r="R249" i="5" s="1"/>
  <c r="S248" i="5"/>
  <c r="R248" i="5"/>
  <c r="Q248" i="5"/>
  <c r="S247" i="5"/>
  <c r="Q247" i="5"/>
  <c r="R247" i="5" s="1"/>
  <c r="R171" i="3" s="1"/>
  <c r="S246" i="5"/>
  <c r="R246" i="5"/>
  <c r="Q246" i="5"/>
  <c r="S245" i="5"/>
  <c r="Q245" i="5"/>
  <c r="R245" i="5" s="1"/>
  <c r="S244" i="5"/>
  <c r="Q244" i="5"/>
  <c r="R244" i="5" s="1"/>
  <c r="S243" i="5"/>
  <c r="R243" i="5"/>
  <c r="Q243" i="5"/>
  <c r="S242" i="5"/>
  <c r="R242" i="5"/>
  <c r="Q242" i="5"/>
  <c r="S241" i="5"/>
  <c r="R241" i="5"/>
  <c r="Q241" i="5"/>
  <c r="S240" i="5"/>
  <c r="Q240" i="5"/>
  <c r="R240" i="5" s="1"/>
  <c r="S239" i="5"/>
  <c r="Q239" i="5"/>
  <c r="R239" i="5" s="1"/>
  <c r="R57" i="3" s="1"/>
  <c r="S238" i="5"/>
  <c r="R238" i="5"/>
  <c r="Q238" i="5"/>
  <c r="S237" i="5"/>
  <c r="Q237" i="5"/>
  <c r="R237" i="5" s="1"/>
  <c r="S236" i="5"/>
  <c r="R236" i="5"/>
  <c r="Q236" i="5"/>
  <c r="S235" i="5"/>
  <c r="Q235" i="5"/>
  <c r="R235" i="5" s="1"/>
  <c r="S234" i="5"/>
  <c r="Q234" i="5"/>
  <c r="R234" i="5" s="1"/>
  <c r="S233" i="5"/>
  <c r="R233" i="5"/>
  <c r="Q233" i="5"/>
  <c r="S232" i="5"/>
  <c r="R232" i="5"/>
  <c r="Q232" i="5"/>
  <c r="S231" i="5"/>
  <c r="R231" i="5"/>
  <c r="Q231" i="5"/>
  <c r="S230" i="5"/>
  <c r="Q230" i="5"/>
  <c r="R230" i="5" s="1"/>
  <c r="S229" i="5"/>
  <c r="Q229" i="5"/>
  <c r="R229" i="5" s="1"/>
  <c r="S228" i="5"/>
  <c r="R228" i="5"/>
  <c r="Q228" i="5"/>
  <c r="S227" i="5"/>
  <c r="Q227" i="5"/>
  <c r="R227" i="5" s="1"/>
  <c r="S226" i="5"/>
  <c r="R226" i="5"/>
  <c r="Q226" i="5"/>
  <c r="S225" i="5"/>
  <c r="Q225" i="5"/>
  <c r="R225" i="5" s="1"/>
  <c r="S224" i="5"/>
  <c r="Q224" i="5"/>
  <c r="R224" i="5" s="1"/>
  <c r="S223" i="5"/>
  <c r="R223" i="5"/>
  <c r="Q223" i="5"/>
  <c r="S222" i="5"/>
  <c r="R222" i="5"/>
  <c r="Q222" i="5"/>
  <c r="S221" i="5"/>
  <c r="R221" i="5"/>
  <c r="Q221" i="5"/>
  <c r="S220" i="5"/>
  <c r="Q220" i="5"/>
  <c r="R220" i="5" s="1"/>
  <c r="S219" i="5"/>
  <c r="Q219" i="5"/>
  <c r="R219" i="5" s="1"/>
  <c r="S218" i="5"/>
  <c r="R218" i="5"/>
  <c r="Q218" i="5"/>
  <c r="S217" i="5"/>
  <c r="Q217" i="5"/>
  <c r="R217" i="5" s="1"/>
  <c r="S216" i="5"/>
  <c r="R216" i="5"/>
  <c r="Q216" i="5"/>
  <c r="S215" i="5"/>
  <c r="Q215" i="5"/>
  <c r="R215" i="5" s="1"/>
  <c r="R17" i="3" s="1"/>
  <c r="S214" i="5"/>
  <c r="Q214" i="5"/>
  <c r="R214" i="5" s="1"/>
  <c r="S213" i="5"/>
  <c r="R213" i="5"/>
  <c r="Q213" i="5"/>
  <c r="S212" i="5"/>
  <c r="R212" i="5"/>
  <c r="Q212" i="5"/>
  <c r="S211" i="5"/>
  <c r="R211" i="5"/>
  <c r="Q211" i="5"/>
  <c r="S210" i="5"/>
  <c r="Q210" i="5"/>
  <c r="R210" i="5" s="1"/>
  <c r="S209" i="5"/>
  <c r="Q209" i="5"/>
  <c r="R209" i="5" s="1"/>
  <c r="S208" i="5"/>
  <c r="R208" i="5"/>
  <c r="Q208" i="5"/>
  <c r="S207" i="5"/>
  <c r="Q207" i="5"/>
  <c r="R207" i="5" s="1"/>
  <c r="R7" i="3" s="1"/>
  <c r="S206" i="5"/>
  <c r="R206" i="5"/>
  <c r="Q206" i="5"/>
  <c r="S205" i="5"/>
  <c r="Q205" i="5"/>
  <c r="R205" i="5" s="1"/>
  <c r="S204" i="5"/>
  <c r="Q204" i="5"/>
  <c r="R204" i="5" s="1"/>
  <c r="S203" i="5"/>
  <c r="R203" i="5"/>
  <c r="Q203" i="5"/>
  <c r="S202" i="5"/>
  <c r="R202" i="5"/>
  <c r="Q202" i="5"/>
  <c r="S201" i="5"/>
  <c r="R201" i="5"/>
  <c r="Q201" i="5"/>
  <c r="S200" i="5"/>
  <c r="Q200" i="5"/>
  <c r="R200" i="5" s="1"/>
  <c r="S199" i="5"/>
  <c r="Q199" i="5"/>
  <c r="R199" i="5" s="1"/>
  <c r="S198" i="5"/>
  <c r="R198" i="5"/>
  <c r="Q198" i="5"/>
  <c r="S197" i="5"/>
  <c r="Q197" i="5"/>
  <c r="R197" i="5" s="1"/>
  <c r="S196" i="5"/>
  <c r="R196" i="5"/>
  <c r="Q196" i="5"/>
  <c r="S195" i="5"/>
  <c r="Q195" i="5"/>
  <c r="R195" i="5" s="1"/>
  <c r="P64" i="3" s="1"/>
  <c r="S194" i="5"/>
  <c r="Q194" i="5"/>
  <c r="R194" i="5" s="1"/>
  <c r="S193" i="5"/>
  <c r="R193" i="5"/>
  <c r="Q193" i="5"/>
  <c r="S192" i="5"/>
  <c r="R192" i="5"/>
  <c r="Q192" i="5"/>
  <c r="S191" i="5"/>
  <c r="R191" i="5"/>
  <c r="Q191" i="5"/>
  <c r="S190" i="5"/>
  <c r="Q190" i="5"/>
  <c r="R190" i="5" s="1"/>
  <c r="P59" i="3" s="1"/>
  <c r="S189" i="5"/>
  <c r="Q189" i="5"/>
  <c r="R189" i="5" s="1"/>
  <c r="S188" i="5"/>
  <c r="R188" i="5"/>
  <c r="Q188" i="5"/>
  <c r="S187" i="5"/>
  <c r="Q187" i="5"/>
  <c r="R187" i="5" s="1"/>
  <c r="P56" i="3" s="1"/>
  <c r="S186" i="5"/>
  <c r="R186" i="5"/>
  <c r="Q186" i="5"/>
  <c r="S185" i="5"/>
  <c r="Q185" i="5"/>
  <c r="R185" i="5" s="1"/>
  <c r="S184" i="5"/>
  <c r="Q184" i="5"/>
  <c r="R184" i="5" s="1"/>
  <c r="S183" i="5"/>
  <c r="R183" i="5"/>
  <c r="Q183" i="5"/>
  <c r="S182" i="5"/>
  <c r="R182" i="5"/>
  <c r="Q182" i="5"/>
  <c r="S181" i="5"/>
  <c r="R181" i="5"/>
  <c r="Q181" i="5"/>
  <c r="S180" i="5"/>
  <c r="Q180" i="5"/>
  <c r="R180" i="5" s="1"/>
  <c r="S179" i="5"/>
  <c r="Q179" i="5"/>
  <c r="R179" i="5" s="1"/>
  <c r="R52" i="3" s="1"/>
  <c r="S178" i="5"/>
  <c r="R178" i="5"/>
  <c r="Q178" i="5"/>
  <c r="S177" i="5"/>
  <c r="Q177" i="5"/>
  <c r="R177" i="5" s="1"/>
  <c r="S176" i="5"/>
  <c r="R176" i="5"/>
  <c r="Q176" i="5"/>
  <c r="S175" i="5"/>
  <c r="Q175" i="5"/>
  <c r="R175" i="5" s="1"/>
  <c r="S174" i="5"/>
  <c r="Q174" i="5"/>
  <c r="R174" i="5" s="1"/>
  <c r="S173" i="5"/>
  <c r="R173" i="5"/>
  <c r="Q173" i="5"/>
  <c r="S172" i="5"/>
  <c r="R172" i="5"/>
  <c r="Q172" i="5"/>
  <c r="S171" i="5"/>
  <c r="R171" i="5"/>
  <c r="Q171" i="5"/>
  <c r="S170" i="5"/>
  <c r="Q170" i="5"/>
  <c r="R170" i="5" s="1"/>
  <c r="S169" i="5"/>
  <c r="Q169" i="5"/>
  <c r="R169" i="5" s="1"/>
  <c r="S168" i="5"/>
  <c r="R168" i="5"/>
  <c r="Q168" i="5"/>
  <c r="S167" i="5"/>
  <c r="Q167" i="5"/>
  <c r="R167" i="5" s="1"/>
  <c r="R46" i="3" s="1"/>
  <c r="S166" i="5"/>
  <c r="R166" i="5"/>
  <c r="Q166" i="5"/>
  <c r="S165" i="5"/>
  <c r="Q165" i="5"/>
  <c r="R165" i="5" s="1"/>
  <c r="S164" i="5"/>
  <c r="Q164" i="5"/>
  <c r="R164" i="5" s="1"/>
  <c r="S163" i="5"/>
  <c r="R163" i="5"/>
  <c r="Q163" i="5"/>
  <c r="S162" i="5"/>
  <c r="R162" i="5"/>
  <c r="Q162" i="5"/>
  <c r="S161" i="5"/>
  <c r="R161" i="5"/>
  <c r="Q161" i="5"/>
  <c r="S160" i="5"/>
  <c r="Q160" i="5"/>
  <c r="R160" i="5" s="1"/>
  <c r="S159" i="5"/>
  <c r="Q159" i="5"/>
  <c r="R159" i="5" s="1"/>
  <c r="R42" i="3" s="1"/>
  <c r="S158" i="5"/>
  <c r="R158" i="5"/>
  <c r="Q158" i="5"/>
  <c r="S157" i="5"/>
  <c r="Q157" i="5"/>
  <c r="R157" i="5" s="1"/>
  <c r="S156" i="5"/>
  <c r="R156" i="5"/>
  <c r="Q156" i="5"/>
  <c r="S155" i="5"/>
  <c r="Q155" i="5"/>
  <c r="R155" i="5" s="1"/>
  <c r="Q40" i="3" s="1"/>
  <c r="S154" i="5"/>
  <c r="Q154" i="5"/>
  <c r="R154" i="5" s="1"/>
  <c r="S153" i="5"/>
  <c r="R153" i="5"/>
  <c r="Q153" i="5"/>
  <c r="S152" i="5"/>
  <c r="R152" i="5"/>
  <c r="Q152" i="5"/>
  <c r="S151" i="5"/>
  <c r="R151" i="5"/>
  <c r="Q151" i="5"/>
  <c r="S150" i="5"/>
  <c r="Q150" i="5"/>
  <c r="R150" i="5" s="1"/>
  <c r="S149" i="5"/>
  <c r="Q149" i="5"/>
  <c r="R149" i="5" s="1"/>
  <c r="S148" i="5"/>
  <c r="R148" i="5"/>
  <c r="Q148" i="5"/>
  <c r="S147" i="5"/>
  <c r="Q147" i="5"/>
  <c r="R147" i="5" s="1"/>
  <c r="R36" i="3" s="1"/>
  <c r="S146" i="5"/>
  <c r="R146" i="5"/>
  <c r="Q146" i="5"/>
  <c r="S145" i="5"/>
  <c r="Q145" i="5"/>
  <c r="R145" i="5" s="1"/>
  <c r="S144" i="5"/>
  <c r="Q144" i="5"/>
  <c r="R144" i="5" s="1"/>
  <c r="S143" i="5"/>
  <c r="R143" i="5"/>
  <c r="Q143" i="5"/>
  <c r="S142" i="5"/>
  <c r="R142" i="5"/>
  <c r="Q142" i="5"/>
  <c r="S141" i="5"/>
  <c r="R141" i="5"/>
  <c r="Q141" i="5"/>
  <c r="S140" i="5"/>
  <c r="Q140" i="5"/>
  <c r="R140" i="5" s="1"/>
  <c r="R33" i="3" s="1"/>
  <c r="S139" i="5"/>
  <c r="Q139" i="5"/>
  <c r="R139" i="5" s="1"/>
  <c r="Q32" i="3" s="1"/>
  <c r="S138" i="5"/>
  <c r="R138" i="5"/>
  <c r="Q138" i="5"/>
  <c r="S137" i="5"/>
  <c r="Q137" i="5"/>
  <c r="R137" i="5" s="1"/>
  <c r="S136" i="5"/>
  <c r="R136" i="5"/>
  <c r="Q136" i="5"/>
  <c r="S135" i="5"/>
  <c r="Q135" i="5"/>
  <c r="R135" i="5" s="1"/>
  <c r="R30" i="3" s="1"/>
  <c r="S134" i="5"/>
  <c r="Q134" i="5"/>
  <c r="R134" i="5" s="1"/>
  <c r="S133" i="5"/>
  <c r="R133" i="5"/>
  <c r="Q133" i="5"/>
  <c r="S132" i="5"/>
  <c r="R132" i="5"/>
  <c r="Q132" i="5"/>
  <c r="S131" i="5"/>
  <c r="R131" i="5"/>
  <c r="Q131" i="5"/>
  <c r="S130" i="5"/>
  <c r="Q130" i="5"/>
  <c r="R130" i="5" s="1"/>
  <c r="S129" i="5"/>
  <c r="Q129" i="5"/>
  <c r="R129" i="5" s="1"/>
  <c r="S128" i="5"/>
  <c r="R128" i="5"/>
  <c r="Q128" i="5"/>
  <c r="S127" i="5"/>
  <c r="Q127" i="5"/>
  <c r="R127" i="5" s="1"/>
  <c r="S126" i="5"/>
  <c r="R126" i="5"/>
  <c r="Q126" i="5"/>
  <c r="S125" i="5"/>
  <c r="Q125" i="5"/>
  <c r="R125" i="5" s="1"/>
  <c r="S124" i="5"/>
  <c r="Q124" i="5"/>
  <c r="R124" i="5" s="1"/>
  <c r="S123" i="5"/>
  <c r="R123" i="5"/>
  <c r="Q123" i="5"/>
  <c r="S122" i="5"/>
  <c r="R122" i="5"/>
  <c r="Q122" i="5"/>
  <c r="S121" i="5"/>
  <c r="R121" i="5"/>
  <c r="Q121" i="5"/>
  <c r="S120" i="5"/>
  <c r="Q120" i="5"/>
  <c r="R120" i="5" s="1"/>
  <c r="S119" i="5"/>
  <c r="Q119" i="5"/>
  <c r="R119" i="5" s="1"/>
  <c r="Q11" i="3" s="1"/>
  <c r="S118" i="5"/>
  <c r="R118" i="5"/>
  <c r="Q118" i="5"/>
  <c r="S117" i="5"/>
  <c r="Q117" i="5"/>
  <c r="R117" i="5" s="1"/>
  <c r="S116" i="5"/>
  <c r="R116" i="5"/>
  <c r="Q116" i="5"/>
  <c r="S115" i="5"/>
  <c r="Q115" i="5"/>
  <c r="R115" i="5" s="1"/>
  <c r="P9" i="3" s="1"/>
  <c r="S114" i="5"/>
  <c r="Q114" i="5"/>
  <c r="R114" i="5" s="1"/>
  <c r="S113" i="5"/>
  <c r="R113" i="5"/>
  <c r="Q113" i="5"/>
  <c r="S112" i="5"/>
  <c r="R112" i="5"/>
  <c r="Q112" i="5"/>
  <c r="S111" i="5"/>
  <c r="R111" i="5"/>
  <c r="Q111" i="5"/>
  <c r="S110" i="5"/>
  <c r="Q110" i="5"/>
  <c r="R110" i="5" s="1"/>
  <c r="S109" i="5"/>
  <c r="Q109" i="5"/>
  <c r="R109" i="5" s="1"/>
  <c r="S108" i="5"/>
  <c r="R108" i="5"/>
  <c r="Q108" i="5"/>
  <c r="S107" i="5"/>
  <c r="Q107" i="5"/>
  <c r="R107" i="5" s="1"/>
  <c r="R5" i="3" s="1"/>
  <c r="S106" i="5"/>
  <c r="R106" i="5"/>
  <c r="Q106" i="5"/>
  <c r="S105" i="5"/>
  <c r="Q105" i="5"/>
  <c r="R105" i="5" s="1"/>
  <c r="S104" i="5"/>
  <c r="Q104" i="5"/>
  <c r="R104" i="5" s="1"/>
  <c r="S103" i="5"/>
  <c r="R103" i="5"/>
  <c r="Q103" i="5"/>
  <c r="S102" i="5"/>
  <c r="R102" i="5"/>
  <c r="Q102" i="5"/>
  <c r="S101" i="5"/>
  <c r="R101" i="5"/>
  <c r="Q101" i="5"/>
  <c r="S100" i="5"/>
  <c r="Q100" i="5"/>
  <c r="R100" i="5" s="1"/>
  <c r="S99" i="5"/>
  <c r="Q99" i="5"/>
  <c r="R99" i="5" s="1"/>
  <c r="R51" i="3" s="1"/>
  <c r="S98" i="5"/>
  <c r="R98" i="5"/>
  <c r="Q98" i="5"/>
  <c r="S97" i="5"/>
  <c r="Q97" i="5"/>
  <c r="R97" i="5" s="1"/>
  <c r="S96" i="5"/>
  <c r="R96" i="5"/>
  <c r="Q96" i="5"/>
  <c r="S95" i="5"/>
  <c r="Q95" i="5"/>
  <c r="R95" i="5" s="1"/>
  <c r="P47" i="3" s="1"/>
  <c r="S94" i="5"/>
  <c r="Q94" i="5"/>
  <c r="R94" i="5" s="1"/>
  <c r="S93" i="5"/>
  <c r="R93" i="5"/>
  <c r="Q93" i="5"/>
  <c r="S92" i="5"/>
  <c r="R92" i="5"/>
  <c r="Q92" i="5"/>
  <c r="S91" i="5"/>
  <c r="R91" i="5"/>
  <c r="Q91" i="5"/>
  <c r="S90" i="5"/>
  <c r="Q90" i="5"/>
  <c r="R90" i="5" s="1"/>
  <c r="S89" i="5"/>
  <c r="Q89" i="5"/>
  <c r="R89" i="5" s="1"/>
  <c r="S88" i="5"/>
  <c r="R88" i="5"/>
  <c r="Q88" i="5"/>
  <c r="S87" i="5"/>
  <c r="Q87" i="5"/>
  <c r="R87" i="5" s="1"/>
  <c r="P54" i="3" s="1"/>
  <c r="S86" i="5"/>
  <c r="R86" i="5"/>
  <c r="Q86" i="5"/>
  <c r="S85" i="5"/>
  <c r="Q85" i="5"/>
  <c r="R85" i="5" s="1"/>
  <c r="S84" i="5"/>
  <c r="Q84" i="5"/>
  <c r="R84" i="5" s="1"/>
  <c r="S83" i="5"/>
  <c r="R83" i="5"/>
  <c r="Q83" i="5"/>
  <c r="S82" i="5"/>
  <c r="R82" i="5"/>
  <c r="Q82" i="5"/>
  <c r="S81" i="5"/>
  <c r="R81" i="5"/>
  <c r="Q81" i="5"/>
  <c r="S80" i="5"/>
  <c r="Q80" i="5"/>
  <c r="R80" i="5" s="1"/>
  <c r="S79" i="5"/>
  <c r="Q79" i="5"/>
  <c r="R79" i="5" s="1"/>
  <c r="S78" i="5"/>
  <c r="R78" i="5"/>
  <c r="Q78" i="5"/>
  <c r="S77" i="5"/>
  <c r="Q77" i="5"/>
  <c r="R77" i="5" s="1"/>
  <c r="S76" i="5"/>
  <c r="R76" i="5"/>
  <c r="Q76" i="5"/>
  <c r="S75" i="5"/>
  <c r="Q75" i="5"/>
  <c r="R75" i="5" s="1"/>
  <c r="R15" i="3" s="1"/>
  <c r="S74" i="5"/>
  <c r="Q74" i="5"/>
  <c r="R74" i="5" s="1"/>
  <c r="S73" i="5"/>
  <c r="R73" i="5"/>
  <c r="Q73" i="5"/>
  <c r="S72" i="5"/>
  <c r="R72" i="5"/>
  <c r="Q72" i="5"/>
  <c r="S71" i="5"/>
  <c r="R71" i="5"/>
  <c r="Q71" i="5"/>
  <c r="S70" i="5"/>
  <c r="Q70" i="5"/>
  <c r="R70" i="5" s="1"/>
  <c r="S69" i="5"/>
  <c r="Q69" i="5"/>
  <c r="R69" i="5" s="1"/>
  <c r="S68" i="5"/>
  <c r="R68" i="5"/>
  <c r="Q68" i="5"/>
  <c r="S67" i="5"/>
  <c r="Q67" i="5"/>
  <c r="R67" i="5" s="1"/>
  <c r="Q4" i="3" s="1"/>
  <c r="S66" i="5"/>
  <c r="R66" i="5"/>
  <c r="Q66" i="5"/>
  <c r="S65" i="5"/>
  <c r="Q65" i="5"/>
  <c r="R65" i="5" s="1"/>
  <c r="S64" i="5"/>
  <c r="Q64" i="5"/>
  <c r="R64" i="5" s="1"/>
  <c r="S63" i="5"/>
  <c r="R63" i="5"/>
  <c r="R38" i="3" s="1"/>
  <c r="Q63" i="5"/>
  <c r="S62" i="5"/>
  <c r="R62" i="5"/>
  <c r="Q62" i="5"/>
  <c r="S61" i="5"/>
  <c r="R61" i="5"/>
  <c r="Q61" i="5"/>
  <c r="S60" i="5"/>
  <c r="Q60" i="5"/>
  <c r="R60" i="5" s="1"/>
  <c r="S59" i="5"/>
  <c r="Q59" i="5"/>
  <c r="R59" i="5" s="1"/>
  <c r="P37" i="3" s="1"/>
  <c r="S58" i="5"/>
  <c r="R58" i="5"/>
  <c r="Q58" i="5"/>
  <c r="S57" i="5"/>
  <c r="Q57" i="5"/>
  <c r="R57" i="5" s="1"/>
  <c r="S56" i="5"/>
  <c r="R56" i="5"/>
  <c r="Q56" i="5"/>
  <c r="S55" i="5"/>
  <c r="Q55" i="5"/>
  <c r="R55" i="5" s="1"/>
  <c r="R35" i="3" s="1"/>
  <c r="S54" i="5"/>
  <c r="Q54" i="5"/>
  <c r="R54" i="5" s="1"/>
  <c r="S53" i="5"/>
  <c r="R53" i="5"/>
  <c r="Q53" i="5"/>
  <c r="S52" i="5"/>
  <c r="R52" i="5"/>
  <c r="Q52" i="5"/>
  <c r="S51" i="5"/>
  <c r="R51" i="5"/>
  <c r="Q51" i="5"/>
  <c r="S50" i="5"/>
  <c r="Q50" i="5"/>
  <c r="R50" i="5" s="1"/>
  <c r="S49" i="5"/>
  <c r="Q49" i="5"/>
  <c r="R49" i="5" s="1"/>
  <c r="S48" i="5"/>
  <c r="R48" i="5"/>
  <c r="Q48" i="5"/>
  <c r="S47" i="5"/>
  <c r="Q47" i="5"/>
  <c r="R47" i="5" s="1"/>
  <c r="Q31" i="3" s="1"/>
  <c r="S46" i="5"/>
  <c r="R46" i="5"/>
  <c r="Q46" i="5"/>
  <c r="S45" i="5"/>
  <c r="Q45" i="5"/>
  <c r="R45" i="5" s="1"/>
  <c r="S44" i="5"/>
  <c r="Q44" i="5"/>
  <c r="R44" i="5" s="1"/>
  <c r="S43" i="5"/>
  <c r="R43" i="5"/>
  <c r="Q43" i="5"/>
  <c r="S42" i="5"/>
  <c r="R42" i="5"/>
  <c r="Q42" i="5"/>
  <c r="S41" i="5"/>
  <c r="R41" i="5"/>
  <c r="Q41" i="5"/>
  <c r="S40" i="5"/>
  <c r="Q40" i="5"/>
  <c r="R40" i="5" s="1"/>
  <c r="S39" i="5"/>
  <c r="Q39" i="5"/>
  <c r="R39" i="5" s="1"/>
  <c r="R22" i="3" s="1"/>
  <c r="S38" i="5"/>
  <c r="R38" i="5"/>
  <c r="Q38" i="5"/>
  <c r="S37" i="5"/>
  <c r="Q37" i="5"/>
  <c r="R37" i="5" s="1"/>
  <c r="S36" i="5"/>
  <c r="R36" i="5"/>
  <c r="Q36" i="5"/>
  <c r="S35" i="5"/>
  <c r="Q35" i="5"/>
  <c r="R35" i="5" s="1"/>
  <c r="R18" i="3" s="1"/>
  <c r="S34" i="5"/>
  <c r="Q34" i="5"/>
  <c r="R34" i="5" s="1"/>
  <c r="S33" i="5"/>
  <c r="R33" i="5"/>
  <c r="Q33" i="5"/>
  <c r="S32" i="5"/>
  <c r="R32" i="5"/>
  <c r="Q32" i="5"/>
  <c r="S31" i="5"/>
  <c r="R31" i="5"/>
  <c r="Q31" i="5"/>
  <c r="S30" i="5"/>
  <c r="Q30" i="5"/>
  <c r="R30" i="5" s="1"/>
  <c r="S29" i="5"/>
  <c r="Q29" i="5"/>
  <c r="R29" i="5" s="1"/>
  <c r="S28" i="5"/>
  <c r="R28" i="5"/>
  <c r="Q28" i="5"/>
  <c r="S27" i="5"/>
  <c r="Q27" i="5"/>
  <c r="R27" i="5" s="1"/>
  <c r="Q13" i="3" s="1"/>
  <c r="S26" i="5"/>
  <c r="R26" i="5"/>
  <c r="Q26" i="5"/>
  <c r="S25" i="5"/>
  <c r="Q25" i="5"/>
  <c r="R25" i="5" s="1"/>
  <c r="S24" i="5"/>
  <c r="Q24" i="5"/>
  <c r="R24" i="5" s="1"/>
  <c r="S23" i="5"/>
  <c r="R23" i="5"/>
  <c r="Q23" i="5"/>
  <c r="S22" i="5"/>
  <c r="R22" i="5"/>
  <c r="Q22" i="5"/>
  <c r="S21" i="5"/>
  <c r="R21" i="5"/>
  <c r="Q21" i="5"/>
  <c r="S20" i="5"/>
  <c r="Q20" i="5"/>
  <c r="R20" i="5" s="1"/>
  <c r="S19" i="5"/>
  <c r="I16" i="8" s="1"/>
  <c r="Q19" i="5"/>
  <c r="R19" i="5" s="1"/>
  <c r="R14" i="3" s="1"/>
  <c r="S18" i="5"/>
  <c r="R18" i="5"/>
  <c r="Q18" i="5"/>
  <c r="S17" i="5"/>
  <c r="Q17" i="5"/>
  <c r="R17" i="5" s="1"/>
  <c r="S16" i="5"/>
  <c r="R16" i="5"/>
  <c r="Q16" i="5"/>
  <c r="S15" i="5"/>
  <c r="Q15" i="5"/>
  <c r="R15" i="5" s="1"/>
  <c r="R12" i="3" s="1"/>
  <c r="S14" i="5"/>
  <c r="Q14" i="5"/>
  <c r="R14" i="5" s="1"/>
  <c r="S13" i="5"/>
  <c r="R13" i="5"/>
  <c r="Q13" i="5"/>
  <c r="S12" i="5"/>
  <c r="R12" i="5"/>
  <c r="Q12" i="5"/>
  <c r="S11" i="5"/>
  <c r="R11" i="5"/>
  <c r="Q11" i="5"/>
  <c r="S10" i="5"/>
  <c r="Q10" i="5"/>
  <c r="R10" i="5" s="1"/>
  <c r="S9" i="5"/>
  <c r="Q9" i="5"/>
  <c r="R9" i="5" s="1"/>
  <c r="S8" i="5"/>
  <c r="R8" i="5"/>
  <c r="Q8" i="5"/>
  <c r="S7" i="5"/>
  <c r="Q7" i="5"/>
  <c r="R7" i="5" s="1"/>
  <c r="R10" i="3" s="1"/>
  <c r="S6" i="5"/>
  <c r="R6" i="5"/>
  <c r="Q6" i="5"/>
  <c r="S5" i="5"/>
  <c r="Q5" i="5"/>
  <c r="R5" i="5" s="1"/>
  <c r="S4" i="5"/>
  <c r="Q4" i="5"/>
  <c r="R4" i="5" s="1"/>
  <c r="S3" i="5"/>
  <c r="R3" i="5"/>
  <c r="Q3" i="5"/>
  <c r="S2" i="5"/>
  <c r="H6" i="8" s="1"/>
  <c r="R2" i="5"/>
  <c r="Q2" i="5"/>
  <c r="U231" i="3"/>
  <c r="S231" i="3"/>
  <c r="R231" i="3"/>
  <c r="Q231" i="3"/>
  <c r="P231" i="3"/>
  <c r="O231" i="3"/>
  <c r="T231" i="3" s="1"/>
  <c r="M231" i="3"/>
  <c r="U230" i="3"/>
  <c r="S230" i="3"/>
  <c r="R230" i="3"/>
  <c r="Q230" i="3"/>
  <c r="P230" i="3"/>
  <c r="O230" i="3"/>
  <c r="T230" i="3" s="1"/>
  <c r="M230" i="3"/>
  <c r="U229" i="3"/>
  <c r="T229" i="3"/>
  <c r="S229" i="3"/>
  <c r="R229" i="3"/>
  <c r="Q229" i="3"/>
  <c r="P229" i="3"/>
  <c r="O229" i="3"/>
  <c r="M229" i="3"/>
  <c r="U228" i="3"/>
  <c r="S228" i="3"/>
  <c r="R228" i="3"/>
  <c r="Q228" i="3"/>
  <c r="P228" i="3"/>
  <c r="O228" i="3"/>
  <c r="T228" i="3" s="1"/>
  <c r="M228" i="3"/>
  <c r="U227" i="3"/>
  <c r="S227" i="3"/>
  <c r="R227" i="3"/>
  <c r="Q227" i="3"/>
  <c r="P227" i="3"/>
  <c r="O227" i="3"/>
  <c r="T227" i="3" s="1"/>
  <c r="M227" i="3"/>
  <c r="U226" i="3"/>
  <c r="S226" i="3"/>
  <c r="R226" i="3"/>
  <c r="Q226" i="3"/>
  <c r="P226" i="3"/>
  <c r="O226" i="3"/>
  <c r="T226" i="3" s="1"/>
  <c r="M226" i="3"/>
  <c r="U225" i="3"/>
  <c r="S225" i="3"/>
  <c r="R225" i="3"/>
  <c r="Q225" i="3"/>
  <c r="P225" i="3"/>
  <c r="O225" i="3"/>
  <c r="T225" i="3" s="1"/>
  <c r="M225" i="3"/>
  <c r="U224" i="3"/>
  <c r="T224" i="3"/>
  <c r="S224" i="3"/>
  <c r="R224" i="3"/>
  <c r="Q224" i="3"/>
  <c r="P224" i="3"/>
  <c r="O224" i="3"/>
  <c r="M224" i="3"/>
  <c r="U223" i="3"/>
  <c r="S223" i="3"/>
  <c r="R223" i="3"/>
  <c r="Q223" i="3"/>
  <c r="P223" i="3"/>
  <c r="O223" i="3"/>
  <c r="T223" i="3" s="1"/>
  <c r="M223" i="3"/>
  <c r="U222" i="3"/>
  <c r="S222" i="3"/>
  <c r="R222" i="3"/>
  <c r="Q222" i="3"/>
  <c r="P222" i="3"/>
  <c r="O222" i="3"/>
  <c r="T222" i="3" s="1"/>
  <c r="M222" i="3"/>
  <c r="U221" i="3"/>
  <c r="S221" i="3"/>
  <c r="R221" i="3"/>
  <c r="Q221" i="3"/>
  <c r="P221" i="3"/>
  <c r="O221" i="3"/>
  <c r="T221" i="3" s="1"/>
  <c r="M221" i="3"/>
  <c r="U220" i="3"/>
  <c r="S220" i="3"/>
  <c r="R220" i="3"/>
  <c r="Q220" i="3"/>
  <c r="P220" i="3"/>
  <c r="O220" i="3"/>
  <c r="T220" i="3" s="1"/>
  <c r="M220" i="3"/>
  <c r="U219" i="3"/>
  <c r="T219" i="3"/>
  <c r="S219" i="3"/>
  <c r="R219" i="3"/>
  <c r="Q219" i="3"/>
  <c r="P219" i="3"/>
  <c r="O219" i="3"/>
  <c r="M219" i="3"/>
  <c r="U218" i="3"/>
  <c r="T218" i="3"/>
  <c r="S218" i="3"/>
  <c r="R218" i="3"/>
  <c r="Q218" i="3"/>
  <c r="P218" i="3"/>
  <c r="O218" i="3"/>
  <c r="M218" i="3"/>
  <c r="U217" i="3"/>
  <c r="S217" i="3"/>
  <c r="R217" i="3"/>
  <c r="Q217" i="3"/>
  <c r="P217" i="3"/>
  <c r="O217" i="3"/>
  <c r="T217" i="3" s="1"/>
  <c r="M217" i="3"/>
  <c r="U216" i="3"/>
  <c r="S216" i="3"/>
  <c r="R216" i="3"/>
  <c r="Q216" i="3"/>
  <c r="P216" i="3"/>
  <c r="O216" i="3"/>
  <c r="T216" i="3" s="1"/>
  <c r="M216" i="3"/>
  <c r="U215" i="3"/>
  <c r="S215" i="3"/>
  <c r="R215" i="3"/>
  <c r="Q215" i="3"/>
  <c r="P215" i="3"/>
  <c r="O215" i="3"/>
  <c r="T215" i="3" s="1"/>
  <c r="M215" i="3"/>
  <c r="U214" i="3"/>
  <c r="T214" i="3"/>
  <c r="S214" i="3"/>
  <c r="R214" i="3"/>
  <c r="Q214" i="3"/>
  <c r="P214" i="3"/>
  <c r="O214" i="3"/>
  <c r="M214" i="3"/>
  <c r="U213" i="3"/>
  <c r="T213" i="3"/>
  <c r="S213" i="3"/>
  <c r="R213" i="3"/>
  <c r="Q213" i="3"/>
  <c r="P213" i="3"/>
  <c r="O213" i="3"/>
  <c r="M213" i="3"/>
  <c r="U212" i="3"/>
  <c r="S212" i="3"/>
  <c r="R212" i="3"/>
  <c r="Q212" i="3"/>
  <c r="P212" i="3"/>
  <c r="O212" i="3"/>
  <c r="T212" i="3" s="1"/>
  <c r="M212" i="3"/>
  <c r="U211" i="3"/>
  <c r="S211" i="3"/>
  <c r="R211" i="3"/>
  <c r="Q211" i="3"/>
  <c r="P211" i="3"/>
  <c r="O211" i="3"/>
  <c r="T211" i="3" s="1"/>
  <c r="M211" i="3"/>
  <c r="U210" i="3"/>
  <c r="S210" i="3"/>
  <c r="R210" i="3"/>
  <c r="Q210" i="3"/>
  <c r="P210" i="3"/>
  <c r="O210" i="3"/>
  <c r="T210" i="3" s="1"/>
  <c r="M210" i="3"/>
  <c r="U209" i="3"/>
  <c r="T209" i="3"/>
  <c r="S209" i="3"/>
  <c r="R209" i="3"/>
  <c r="Q209" i="3"/>
  <c r="P209" i="3"/>
  <c r="O209" i="3"/>
  <c r="M209" i="3"/>
  <c r="U208" i="3"/>
  <c r="S208" i="3"/>
  <c r="R208" i="3"/>
  <c r="Q208" i="3"/>
  <c r="P208" i="3"/>
  <c r="O208" i="3"/>
  <c r="T208" i="3" s="1"/>
  <c r="M208" i="3"/>
  <c r="U207" i="3"/>
  <c r="S207" i="3"/>
  <c r="R207" i="3"/>
  <c r="Q207" i="3"/>
  <c r="P207" i="3"/>
  <c r="O207" i="3"/>
  <c r="T207" i="3" s="1"/>
  <c r="M207" i="3"/>
  <c r="U206" i="3"/>
  <c r="S206" i="3"/>
  <c r="R206" i="3"/>
  <c r="Q206" i="3"/>
  <c r="P206" i="3"/>
  <c r="O206" i="3"/>
  <c r="T206" i="3" s="1"/>
  <c r="M206" i="3"/>
  <c r="U205" i="3"/>
  <c r="S205" i="3"/>
  <c r="R205" i="3"/>
  <c r="Q205" i="3"/>
  <c r="P205" i="3"/>
  <c r="O205" i="3"/>
  <c r="T205" i="3" s="1"/>
  <c r="M205" i="3"/>
  <c r="U204" i="3"/>
  <c r="T204" i="3"/>
  <c r="S204" i="3"/>
  <c r="R204" i="3"/>
  <c r="Q204" i="3"/>
  <c r="P204" i="3"/>
  <c r="O204" i="3"/>
  <c r="M204" i="3"/>
  <c r="U203" i="3"/>
  <c r="T203" i="3"/>
  <c r="S203" i="3"/>
  <c r="R203" i="3"/>
  <c r="Q203" i="3"/>
  <c r="P203" i="3"/>
  <c r="O203" i="3"/>
  <c r="M203" i="3"/>
  <c r="U202" i="3"/>
  <c r="S202" i="3"/>
  <c r="R202" i="3"/>
  <c r="Q202" i="3"/>
  <c r="P202" i="3"/>
  <c r="O202" i="3"/>
  <c r="T202" i="3" s="1"/>
  <c r="M202" i="3"/>
  <c r="U201" i="3"/>
  <c r="S201" i="3"/>
  <c r="R201" i="3"/>
  <c r="Q201" i="3"/>
  <c r="P201" i="3"/>
  <c r="O201" i="3"/>
  <c r="T201" i="3" s="1"/>
  <c r="M201" i="3"/>
  <c r="U200" i="3"/>
  <c r="S200" i="3"/>
  <c r="R200" i="3"/>
  <c r="Q200" i="3"/>
  <c r="P200" i="3"/>
  <c r="O200" i="3"/>
  <c r="T200" i="3" s="1"/>
  <c r="M200" i="3"/>
  <c r="U199" i="3"/>
  <c r="T199" i="3"/>
  <c r="S199" i="3"/>
  <c r="R199" i="3"/>
  <c r="Q199" i="3"/>
  <c r="P199" i="3"/>
  <c r="O199" i="3"/>
  <c r="M199" i="3"/>
  <c r="U198" i="3"/>
  <c r="T198" i="3"/>
  <c r="S198" i="3"/>
  <c r="R198" i="3"/>
  <c r="Q198" i="3"/>
  <c r="P198" i="3"/>
  <c r="O198" i="3"/>
  <c r="M198" i="3"/>
  <c r="U197" i="3"/>
  <c r="S197" i="3"/>
  <c r="R197" i="3"/>
  <c r="Q197" i="3"/>
  <c r="P197" i="3"/>
  <c r="O197" i="3"/>
  <c r="T197" i="3" s="1"/>
  <c r="M197" i="3"/>
  <c r="U196" i="3"/>
  <c r="S196" i="3"/>
  <c r="R196" i="3"/>
  <c r="Q196" i="3"/>
  <c r="P196" i="3"/>
  <c r="O196" i="3"/>
  <c r="T196" i="3" s="1"/>
  <c r="M196" i="3"/>
  <c r="U195" i="3"/>
  <c r="S195" i="3"/>
  <c r="R195" i="3"/>
  <c r="Q195" i="3"/>
  <c r="P195" i="3"/>
  <c r="O195" i="3"/>
  <c r="T195" i="3" s="1"/>
  <c r="M195" i="3"/>
  <c r="U194" i="3"/>
  <c r="T194" i="3"/>
  <c r="S194" i="3"/>
  <c r="R194" i="3"/>
  <c r="Q194" i="3"/>
  <c r="P194" i="3"/>
  <c r="O194" i="3"/>
  <c r="M194" i="3"/>
  <c r="U193" i="3"/>
  <c r="S193" i="3"/>
  <c r="R193" i="3"/>
  <c r="Q193" i="3"/>
  <c r="P193" i="3"/>
  <c r="O193" i="3"/>
  <c r="T193" i="3" s="1"/>
  <c r="M193" i="3"/>
  <c r="U192" i="3"/>
  <c r="S192" i="3"/>
  <c r="R192" i="3"/>
  <c r="Q192" i="3"/>
  <c r="P192" i="3"/>
  <c r="O192" i="3"/>
  <c r="T192" i="3" s="1"/>
  <c r="M192" i="3"/>
  <c r="U191" i="3"/>
  <c r="S191" i="3"/>
  <c r="R191" i="3"/>
  <c r="Q191" i="3"/>
  <c r="P191" i="3"/>
  <c r="O191" i="3"/>
  <c r="T191" i="3" s="1"/>
  <c r="M191" i="3"/>
  <c r="U190" i="3"/>
  <c r="S190" i="3"/>
  <c r="R190" i="3"/>
  <c r="Q190" i="3"/>
  <c r="P190" i="3"/>
  <c r="O190" i="3"/>
  <c r="T190" i="3" s="1"/>
  <c r="M190" i="3"/>
  <c r="U189" i="3"/>
  <c r="T189" i="3"/>
  <c r="S189" i="3"/>
  <c r="R189" i="3"/>
  <c r="Q189" i="3"/>
  <c r="P189" i="3"/>
  <c r="O189" i="3"/>
  <c r="M189" i="3"/>
  <c r="U188" i="3"/>
  <c r="S188" i="3"/>
  <c r="R188" i="3"/>
  <c r="Q188" i="3"/>
  <c r="P188" i="3"/>
  <c r="O188" i="3"/>
  <c r="T188" i="3" s="1"/>
  <c r="M188" i="3"/>
  <c r="U187" i="3"/>
  <c r="S187" i="3"/>
  <c r="R187" i="3"/>
  <c r="Q187" i="3"/>
  <c r="P187" i="3"/>
  <c r="O187" i="3"/>
  <c r="T187" i="3" s="1"/>
  <c r="M187" i="3"/>
  <c r="U186" i="3"/>
  <c r="S186" i="3"/>
  <c r="R186" i="3"/>
  <c r="Q186" i="3"/>
  <c r="P186" i="3"/>
  <c r="O186" i="3"/>
  <c r="T186" i="3" s="1"/>
  <c r="M186" i="3"/>
  <c r="U185" i="3"/>
  <c r="S185" i="3"/>
  <c r="R185" i="3"/>
  <c r="Q185" i="3"/>
  <c r="P185" i="3"/>
  <c r="O185" i="3"/>
  <c r="T185" i="3" s="1"/>
  <c r="M185" i="3"/>
  <c r="U184" i="3"/>
  <c r="T184" i="3"/>
  <c r="S184" i="3"/>
  <c r="R184" i="3"/>
  <c r="Q184" i="3"/>
  <c r="P184" i="3"/>
  <c r="O184" i="3"/>
  <c r="M184" i="3"/>
  <c r="U183" i="3"/>
  <c r="T183" i="3"/>
  <c r="S183" i="3"/>
  <c r="R183" i="3"/>
  <c r="Q183" i="3"/>
  <c r="P183" i="3"/>
  <c r="O183" i="3"/>
  <c r="M183" i="3"/>
  <c r="U182" i="3"/>
  <c r="S182" i="3"/>
  <c r="R182" i="3"/>
  <c r="Q182" i="3"/>
  <c r="P182" i="3"/>
  <c r="O182" i="3"/>
  <c r="T182" i="3" s="1"/>
  <c r="M182" i="3"/>
  <c r="U181" i="3"/>
  <c r="S181" i="3"/>
  <c r="R181" i="3"/>
  <c r="Q181" i="3"/>
  <c r="P181" i="3"/>
  <c r="O181" i="3"/>
  <c r="T181" i="3" s="1"/>
  <c r="M181" i="3"/>
  <c r="U180" i="3"/>
  <c r="S180" i="3"/>
  <c r="R180" i="3"/>
  <c r="Q180" i="3"/>
  <c r="P180" i="3"/>
  <c r="O180" i="3"/>
  <c r="T180" i="3" s="1"/>
  <c r="M180" i="3"/>
  <c r="U179" i="3"/>
  <c r="T179" i="3"/>
  <c r="S179" i="3"/>
  <c r="R179" i="3"/>
  <c r="Q179" i="3"/>
  <c r="P179" i="3"/>
  <c r="O179" i="3"/>
  <c r="M179" i="3"/>
  <c r="U178" i="3"/>
  <c r="S178" i="3"/>
  <c r="R178" i="3"/>
  <c r="Q178" i="3"/>
  <c r="P178" i="3"/>
  <c r="O178" i="3"/>
  <c r="T178" i="3" s="1"/>
  <c r="M178" i="3"/>
  <c r="U177" i="3"/>
  <c r="S177" i="3"/>
  <c r="R177" i="3"/>
  <c r="Q177" i="3"/>
  <c r="P177" i="3"/>
  <c r="O177" i="3"/>
  <c r="T177" i="3" s="1"/>
  <c r="M177" i="3"/>
  <c r="U176" i="3"/>
  <c r="S176" i="3"/>
  <c r="R176" i="3"/>
  <c r="Q176" i="3"/>
  <c r="P176" i="3"/>
  <c r="O176" i="3"/>
  <c r="T176" i="3" s="1"/>
  <c r="M176" i="3"/>
  <c r="U175" i="3"/>
  <c r="S175" i="3"/>
  <c r="R175" i="3"/>
  <c r="Q175" i="3"/>
  <c r="P175" i="3"/>
  <c r="O175" i="3"/>
  <c r="T175" i="3" s="1"/>
  <c r="M175" i="3"/>
  <c r="U174" i="3"/>
  <c r="T174" i="3"/>
  <c r="S174" i="3"/>
  <c r="R174" i="3"/>
  <c r="Q174" i="3"/>
  <c r="P174" i="3"/>
  <c r="O174" i="3"/>
  <c r="M174" i="3"/>
  <c r="U173" i="3"/>
  <c r="S173" i="3"/>
  <c r="R173" i="3"/>
  <c r="Q173" i="3"/>
  <c r="P173" i="3"/>
  <c r="O173" i="3"/>
  <c r="T173" i="3" s="1"/>
  <c r="M173" i="3"/>
  <c r="U172" i="3"/>
  <c r="S172" i="3"/>
  <c r="R172" i="3"/>
  <c r="Q172" i="3"/>
  <c r="P172" i="3"/>
  <c r="O172" i="3"/>
  <c r="T172" i="3" s="1"/>
  <c r="M172" i="3"/>
  <c r="U171" i="3"/>
  <c r="S171" i="3"/>
  <c r="Q171" i="3"/>
  <c r="P171" i="3"/>
  <c r="O171" i="3"/>
  <c r="T171" i="3" s="1"/>
  <c r="M171" i="3"/>
  <c r="U170" i="3"/>
  <c r="S170" i="3"/>
  <c r="R170" i="3"/>
  <c r="Q170" i="3"/>
  <c r="P170" i="3"/>
  <c r="O170" i="3"/>
  <c r="T170" i="3" s="1"/>
  <c r="M170" i="3"/>
  <c r="U169" i="3"/>
  <c r="T169" i="3"/>
  <c r="S169" i="3"/>
  <c r="R169" i="3"/>
  <c r="Q169" i="3"/>
  <c r="P169" i="3"/>
  <c r="O169" i="3"/>
  <c r="M169" i="3"/>
  <c r="U168" i="3"/>
  <c r="T168" i="3"/>
  <c r="S168" i="3"/>
  <c r="R168" i="3"/>
  <c r="Q168" i="3"/>
  <c r="P168" i="3"/>
  <c r="O168" i="3"/>
  <c r="M168" i="3"/>
  <c r="U167" i="3"/>
  <c r="S167" i="3"/>
  <c r="R167" i="3"/>
  <c r="Q167" i="3"/>
  <c r="P167" i="3"/>
  <c r="O167" i="3"/>
  <c r="T167" i="3" s="1"/>
  <c r="M167" i="3"/>
  <c r="U166" i="3"/>
  <c r="S166" i="3"/>
  <c r="R166" i="3"/>
  <c r="Q166" i="3"/>
  <c r="P166" i="3"/>
  <c r="O166" i="3"/>
  <c r="T166" i="3" s="1"/>
  <c r="M166" i="3"/>
  <c r="U165" i="3"/>
  <c r="S165" i="3"/>
  <c r="R165" i="3"/>
  <c r="Q165" i="3"/>
  <c r="P165" i="3"/>
  <c r="O165" i="3"/>
  <c r="T165" i="3" s="1"/>
  <c r="M165" i="3"/>
  <c r="U164" i="3"/>
  <c r="T164" i="3"/>
  <c r="S164" i="3"/>
  <c r="R164" i="3"/>
  <c r="Q164" i="3"/>
  <c r="P164" i="3"/>
  <c r="O164" i="3"/>
  <c r="M164" i="3"/>
  <c r="U163" i="3"/>
  <c r="S163" i="3"/>
  <c r="R163" i="3"/>
  <c r="Q163" i="3"/>
  <c r="P163" i="3"/>
  <c r="O163" i="3"/>
  <c r="T163" i="3" s="1"/>
  <c r="M163" i="3"/>
  <c r="U162" i="3"/>
  <c r="S162" i="3"/>
  <c r="R162" i="3"/>
  <c r="O162" i="3"/>
  <c r="T162" i="3" s="1"/>
  <c r="M162" i="3"/>
  <c r="U161" i="3"/>
  <c r="S161" i="3"/>
  <c r="R161" i="3"/>
  <c r="Q161" i="3"/>
  <c r="P161" i="3"/>
  <c r="O161" i="3"/>
  <c r="T161" i="3" s="1"/>
  <c r="M161" i="3"/>
  <c r="U160" i="3"/>
  <c r="S160" i="3"/>
  <c r="R160" i="3"/>
  <c r="Q160" i="3"/>
  <c r="P160" i="3"/>
  <c r="O160" i="3"/>
  <c r="T160" i="3" s="1"/>
  <c r="M160" i="3"/>
  <c r="U159" i="3"/>
  <c r="T159" i="3"/>
  <c r="S159" i="3"/>
  <c r="R159" i="3"/>
  <c r="Q159" i="3"/>
  <c r="P159" i="3"/>
  <c r="O159" i="3"/>
  <c r="M159" i="3"/>
  <c r="U158" i="3"/>
  <c r="T158" i="3"/>
  <c r="S158" i="3"/>
  <c r="R158" i="3"/>
  <c r="Q158" i="3"/>
  <c r="P158" i="3"/>
  <c r="O158" i="3"/>
  <c r="M158" i="3"/>
  <c r="U157" i="3"/>
  <c r="S157" i="3"/>
  <c r="R157" i="3"/>
  <c r="Q157" i="3"/>
  <c r="P157" i="3"/>
  <c r="O157" i="3"/>
  <c r="T157" i="3" s="1"/>
  <c r="M157" i="3"/>
  <c r="U156" i="3"/>
  <c r="S156" i="3"/>
  <c r="R156" i="3"/>
  <c r="Q156" i="3"/>
  <c r="P156" i="3"/>
  <c r="O156" i="3"/>
  <c r="T156" i="3" s="1"/>
  <c r="M156" i="3"/>
  <c r="U155" i="3"/>
  <c r="S155" i="3"/>
  <c r="R155" i="3"/>
  <c r="Q155" i="3"/>
  <c r="P155" i="3"/>
  <c r="O155" i="3"/>
  <c r="T155" i="3" s="1"/>
  <c r="M155" i="3"/>
  <c r="U154" i="3"/>
  <c r="T154" i="3"/>
  <c r="S154" i="3"/>
  <c r="R154" i="3"/>
  <c r="Q154" i="3"/>
  <c r="P154" i="3"/>
  <c r="O154" i="3"/>
  <c r="M154" i="3"/>
  <c r="U153" i="3"/>
  <c r="T153" i="3"/>
  <c r="S153" i="3"/>
  <c r="R153" i="3"/>
  <c r="Q153" i="3"/>
  <c r="P153" i="3"/>
  <c r="O153" i="3"/>
  <c r="M153" i="3"/>
  <c r="U152" i="3"/>
  <c r="S152" i="3"/>
  <c r="R152" i="3"/>
  <c r="Q152" i="3"/>
  <c r="P152" i="3"/>
  <c r="O152" i="3"/>
  <c r="T152" i="3" s="1"/>
  <c r="M152" i="3"/>
  <c r="U151" i="3"/>
  <c r="S151" i="3"/>
  <c r="R151" i="3"/>
  <c r="Q151" i="3"/>
  <c r="P151" i="3"/>
  <c r="O151" i="3"/>
  <c r="T151" i="3" s="1"/>
  <c r="M151" i="3"/>
  <c r="U150" i="3"/>
  <c r="S150" i="3"/>
  <c r="R150" i="3"/>
  <c r="Q150" i="3"/>
  <c r="P150" i="3"/>
  <c r="O150" i="3"/>
  <c r="T150" i="3" s="1"/>
  <c r="M150" i="3"/>
  <c r="U149" i="3"/>
  <c r="T149" i="3"/>
  <c r="S149" i="3"/>
  <c r="R149" i="3"/>
  <c r="Q149" i="3"/>
  <c r="P149" i="3"/>
  <c r="O149" i="3"/>
  <c r="M149" i="3"/>
  <c r="U148" i="3"/>
  <c r="S148" i="3"/>
  <c r="R148" i="3"/>
  <c r="Q148" i="3"/>
  <c r="P148" i="3"/>
  <c r="O148" i="3"/>
  <c r="T148" i="3" s="1"/>
  <c r="M148" i="3"/>
  <c r="U147" i="3"/>
  <c r="S147" i="3"/>
  <c r="R147" i="3"/>
  <c r="Q147" i="3"/>
  <c r="P147" i="3"/>
  <c r="O147" i="3"/>
  <c r="T147" i="3" s="1"/>
  <c r="M147" i="3"/>
  <c r="U146" i="3"/>
  <c r="S146" i="3"/>
  <c r="R146" i="3"/>
  <c r="Q146" i="3"/>
  <c r="P146" i="3"/>
  <c r="O146" i="3"/>
  <c r="T146" i="3" s="1"/>
  <c r="M146" i="3"/>
  <c r="U145" i="3"/>
  <c r="S145" i="3"/>
  <c r="R145" i="3"/>
  <c r="Q145" i="3"/>
  <c r="P145" i="3"/>
  <c r="O145" i="3"/>
  <c r="T145" i="3" s="1"/>
  <c r="M145" i="3"/>
  <c r="U144" i="3"/>
  <c r="T144" i="3"/>
  <c r="S144" i="3"/>
  <c r="R144" i="3"/>
  <c r="Q144" i="3"/>
  <c r="P144" i="3"/>
  <c r="O144" i="3"/>
  <c r="M144" i="3"/>
  <c r="U143" i="3"/>
  <c r="S143" i="3"/>
  <c r="R143" i="3"/>
  <c r="Q143" i="3"/>
  <c r="P143" i="3"/>
  <c r="O143" i="3"/>
  <c r="T143" i="3" s="1"/>
  <c r="M143" i="3"/>
  <c r="U142" i="3"/>
  <c r="S142" i="3"/>
  <c r="R142" i="3"/>
  <c r="Q142" i="3"/>
  <c r="P142" i="3"/>
  <c r="O142" i="3"/>
  <c r="T142" i="3" s="1"/>
  <c r="M142" i="3"/>
  <c r="U141" i="3"/>
  <c r="S141" i="3"/>
  <c r="R141" i="3"/>
  <c r="Q141" i="3"/>
  <c r="P141" i="3"/>
  <c r="O141" i="3"/>
  <c r="T141" i="3" s="1"/>
  <c r="M141" i="3"/>
  <c r="U140" i="3"/>
  <c r="S140" i="3"/>
  <c r="R140" i="3"/>
  <c r="Q140" i="3"/>
  <c r="P140" i="3"/>
  <c r="O140" i="3"/>
  <c r="T140" i="3" s="1"/>
  <c r="M140" i="3"/>
  <c r="U139" i="3"/>
  <c r="T139" i="3"/>
  <c r="S139" i="3"/>
  <c r="R139" i="3"/>
  <c r="Q139" i="3"/>
  <c r="P139" i="3"/>
  <c r="O139" i="3"/>
  <c r="M139" i="3"/>
  <c r="U138" i="3"/>
  <c r="T138" i="3"/>
  <c r="S138" i="3"/>
  <c r="R138" i="3"/>
  <c r="Q138" i="3"/>
  <c r="P138" i="3"/>
  <c r="O138" i="3"/>
  <c r="M138" i="3"/>
  <c r="U137" i="3"/>
  <c r="T137" i="3"/>
  <c r="S137" i="3"/>
  <c r="R137" i="3"/>
  <c r="Q137" i="3"/>
  <c r="P137" i="3"/>
  <c r="O137" i="3"/>
  <c r="M137" i="3"/>
  <c r="U136" i="3"/>
  <c r="S136" i="3"/>
  <c r="R136" i="3"/>
  <c r="Q136" i="3"/>
  <c r="P136" i="3"/>
  <c r="O136" i="3"/>
  <c r="T136" i="3" s="1"/>
  <c r="M136" i="3"/>
  <c r="U135" i="3"/>
  <c r="S135" i="3"/>
  <c r="R135" i="3"/>
  <c r="Q135" i="3"/>
  <c r="P135" i="3"/>
  <c r="O135" i="3"/>
  <c r="T135" i="3" s="1"/>
  <c r="M135" i="3"/>
  <c r="U134" i="3"/>
  <c r="T134" i="3"/>
  <c r="S134" i="3"/>
  <c r="R134" i="3"/>
  <c r="Q134" i="3"/>
  <c r="P134" i="3"/>
  <c r="O134" i="3"/>
  <c r="M134" i="3"/>
  <c r="U133" i="3"/>
  <c r="T133" i="3"/>
  <c r="S133" i="3"/>
  <c r="R133" i="3"/>
  <c r="Q133" i="3"/>
  <c r="P133" i="3"/>
  <c r="O133" i="3"/>
  <c r="M133" i="3"/>
  <c r="U132" i="3"/>
  <c r="S132" i="3"/>
  <c r="R132" i="3"/>
  <c r="Q132" i="3"/>
  <c r="P132" i="3"/>
  <c r="O132" i="3"/>
  <c r="T132" i="3" s="1"/>
  <c r="M132" i="3"/>
  <c r="U131" i="3"/>
  <c r="S131" i="3"/>
  <c r="R131" i="3"/>
  <c r="Q131" i="3"/>
  <c r="P131" i="3"/>
  <c r="O131" i="3"/>
  <c r="T131" i="3" s="1"/>
  <c r="M131" i="3"/>
  <c r="U130" i="3"/>
  <c r="S130" i="3"/>
  <c r="R130" i="3"/>
  <c r="Q130" i="3"/>
  <c r="P130" i="3"/>
  <c r="O130" i="3"/>
  <c r="T130" i="3" s="1"/>
  <c r="M130" i="3"/>
  <c r="U129" i="3"/>
  <c r="T129" i="3"/>
  <c r="S129" i="3"/>
  <c r="R129" i="3"/>
  <c r="Q129" i="3"/>
  <c r="P129" i="3"/>
  <c r="O129" i="3"/>
  <c r="M129" i="3"/>
  <c r="U128" i="3"/>
  <c r="S128" i="3"/>
  <c r="R128" i="3"/>
  <c r="Q128" i="3"/>
  <c r="P128" i="3"/>
  <c r="O128" i="3"/>
  <c r="T128" i="3" s="1"/>
  <c r="M128" i="3"/>
  <c r="U127" i="3"/>
  <c r="S127" i="3"/>
  <c r="R127" i="3"/>
  <c r="Q127" i="3"/>
  <c r="P127" i="3"/>
  <c r="O127" i="3"/>
  <c r="T127" i="3" s="1"/>
  <c r="M127" i="3"/>
  <c r="U126" i="3"/>
  <c r="S126" i="3"/>
  <c r="R126" i="3"/>
  <c r="Q126" i="3"/>
  <c r="P126" i="3"/>
  <c r="O126" i="3"/>
  <c r="T126" i="3" s="1"/>
  <c r="M126" i="3"/>
  <c r="U125" i="3"/>
  <c r="S125" i="3"/>
  <c r="R125" i="3"/>
  <c r="Q125" i="3"/>
  <c r="P125" i="3"/>
  <c r="O125" i="3"/>
  <c r="T125" i="3" s="1"/>
  <c r="M125" i="3"/>
  <c r="U124" i="3"/>
  <c r="T124" i="3"/>
  <c r="S124" i="3"/>
  <c r="R124" i="3"/>
  <c r="Q124" i="3"/>
  <c r="P124" i="3"/>
  <c r="O124" i="3"/>
  <c r="M124" i="3"/>
  <c r="U123" i="3"/>
  <c r="S123" i="3"/>
  <c r="R123" i="3"/>
  <c r="Q123" i="3"/>
  <c r="P123" i="3"/>
  <c r="O123" i="3"/>
  <c r="T123" i="3" s="1"/>
  <c r="M123" i="3"/>
  <c r="U122" i="3"/>
  <c r="T122" i="3"/>
  <c r="S122" i="3"/>
  <c r="R122" i="3"/>
  <c r="Q122" i="3"/>
  <c r="P122" i="3"/>
  <c r="O122" i="3"/>
  <c r="M122" i="3"/>
  <c r="U121" i="3"/>
  <c r="S121" i="3"/>
  <c r="R121" i="3"/>
  <c r="Q121" i="3"/>
  <c r="P121" i="3"/>
  <c r="O121" i="3"/>
  <c r="T121" i="3" s="1"/>
  <c r="M121" i="3"/>
  <c r="U120" i="3"/>
  <c r="S120" i="3"/>
  <c r="R120" i="3"/>
  <c r="Q120" i="3"/>
  <c r="P120" i="3"/>
  <c r="O120" i="3"/>
  <c r="T120" i="3" s="1"/>
  <c r="M120" i="3"/>
  <c r="U119" i="3"/>
  <c r="T119" i="3"/>
  <c r="S119" i="3"/>
  <c r="R119" i="3"/>
  <c r="Q119" i="3"/>
  <c r="P119" i="3"/>
  <c r="O119" i="3"/>
  <c r="M119" i="3"/>
  <c r="U118" i="3"/>
  <c r="S118" i="3"/>
  <c r="R118" i="3"/>
  <c r="Q118" i="3"/>
  <c r="P118" i="3"/>
  <c r="O118" i="3"/>
  <c r="T118" i="3" s="1"/>
  <c r="M118" i="3"/>
  <c r="U117" i="3"/>
  <c r="T117" i="3"/>
  <c r="S117" i="3"/>
  <c r="R117" i="3"/>
  <c r="Q117" i="3"/>
  <c r="P117" i="3"/>
  <c r="O117" i="3"/>
  <c r="M117" i="3"/>
  <c r="U116" i="3"/>
  <c r="S116" i="3"/>
  <c r="R116" i="3"/>
  <c r="Q116" i="3"/>
  <c r="P116" i="3"/>
  <c r="O116" i="3"/>
  <c r="T116" i="3" s="1"/>
  <c r="M116" i="3"/>
  <c r="U115" i="3"/>
  <c r="S115" i="3"/>
  <c r="R115" i="3"/>
  <c r="Q115" i="3"/>
  <c r="P115" i="3"/>
  <c r="O115" i="3"/>
  <c r="T115" i="3" s="1"/>
  <c r="M115" i="3"/>
  <c r="U114" i="3"/>
  <c r="T114" i="3"/>
  <c r="S114" i="3"/>
  <c r="Q114" i="3"/>
  <c r="O114" i="3"/>
  <c r="M114" i="3"/>
  <c r="U113" i="3"/>
  <c r="S113" i="3"/>
  <c r="R113" i="3"/>
  <c r="Q113" i="3"/>
  <c r="P113" i="3"/>
  <c r="O113" i="3"/>
  <c r="T113" i="3" s="1"/>
  <c r="M113" i="3"/>
  <c r="U112" i="3"/>
  <c r="S112" i="3"/>
  <c r="R112" i="3"/>
  <c r="Q112" i="3"/>
  <c r="P112" i="3"/>
  <c r="O112" i="3"/>
  <c r="T112" i="3" s="1"/>
  <c r="M112" i="3"/>
  <c r="U111" i="3"/>
  <c r="S111" i="3"/>
  <c r="R111" i="3"/>
  <c r="Q111" i="3"/>
  <c r="P111" i="3"/>
  <c r="O111" i="3"/>
  <c r="T111" i="3" s="1"/>
  <c r="M111" i="3"/>
  <c r="U110" i="3"/>
  <c r="S110" i="3"/>
  <c r="R110" i="3"/>
  <c r="Q110" i="3"/>
  <c r="P110" i="3"/>
  <c r="O110" i="3"/>
  <c r="T110" i="3" s="1"/>
  <c r="M110" i="3"/>
  <c r="U109" i="3"/>
  <c r="T109" i="3"/>
  <c r="S109" i="3"/>
  <c r="Q109" i="3"/>
  <c r="O109" i="3"/>
  <c r="M109" i="3"/>
  <c r="U108" i="3"/>
  <c r="S108" i="3"/>
  <c r="R108" i="3"/>
  <c r="Q108" i="3"/>
  <c r="P108" i="3"/>
  <c r="O108" i="3"/>
  <c r="T108" i="3" s="1"/>
  <c r="M108" i="3"/>
  <c r="U107" i="3"/>
  <c r="S107" i="3"/>
  <c r="R107" i="3"/>
  <c r="Q107" i="3"/>
  <c r="P107" i="3"/>
  <c r="O107" i="3"/>
  <c r="T107" i="3" s="1"/>
  <c r="M107" i="3"/>
  <c r="U106" i="3"/>
  <c r="S106" i="3"/>
  <c r="R106" i="3"/>
  <c r="Q106" i="3"/>
  <c r="P106" i="3"/>
  <c r="O106" i="3"/>
  <c r="T106" i="3" s="1"/>
  <c r="M106" i="3"/>
  <c r="U105" i="3"/>
  <c r="S105" i="3"/>
  <c r="R105" i="3"/>
  <c r="Q105" i="3"/>
  <c r="P105" i="3"/>
  <c r="O105" i="3"/>
  <c r="T105" i="3" s="1"/>
  <c r="M105" i="3"/>
  <c r="U104" i="3"/>
  <c r="T104" i="3"/>
  <c r="S104" i="3"/>
  <c r="R104" i="3"/>
  <c r="Q104" i="3"/>
  <c r="P104" i="3"/>
  <c r="O104" i="3"/>
  <c r="M104" i="3"/>
  <c r="U103" i="3"/>
  <c r="S103" i="3"/>
  <c r="R103" i="3"/>
  <c r="Q103" i="3"/>
  <c r="P103" i="3"/>
  <c r="O103" i="3"/>
  <c r="T103" i="3" s="1"/>
  <c r="M103" i="3"/>
  <c r="U102" i="3"/>
  <c r="T102" i="3"/>
  <c r="S102" i="3"/>
  <c r="R102" i="3"/>
  <c r="Q102" i="3"/>
  <c r="P102" i="3"/>
  <c r="O102" i="3"/>
  <c r="M102" i="3"/>
  <c r="U101" i="3"/>
  <c r="S101" i="3"/>
  <c r="R101" i="3"/>
  <c r="Q101" i="3"/>
  <c r="P101" i="3"/>
  <c r="O101" i="3"/>
  <c r="T101" i="3" s="1"/>
  <c r="M101" i="3"/>
  <c r="U100" i="3"/>
  <c r="S100" i="3"/>
  <c r="R100" i="3"/>
  <c r="Q100" i="3"/>
  <c r="P100" i="3"/>
  <c r="O100" i="3"/>
  <c r="T100" i="3" s="1"/>
  <c r="M100" i="3"/>
  <c r="U99" i="3"/>
  <c r="T99" i="3"/>
  <c r="S99" i="3"/>
  <c r="R99" i="3"/>
  <c r="Q99" i="3"/>
  <c r="P99" i="3"/>
  <c r="O99" i="3"/>
  <c r="M99" i="3"/>
  <c r="U98" i="3"/>
  <c r="T98" i="3"/>
  <c r="S98" i="3"/>
  <c r="R98" i="3"/>
  <c r="Q98" i="3"/>
  <c r="P98" i="3"/>
  <c r="O98" i="3"/>
  <c r="M98" i="3"/>
  <c r="U97" i="3"/>
  <c r="S97" i="3"/>
  <c r="R97" i="3"/>
  <c r="Q97" i="3"/>
  <c r="P97" i="3"/>
  <c r="O97" i="3"/>
  <c r="T97" i="3" s="1"/>
  <c r="M97" i="3"/>
  <c r="U96" i="3"/>
  <c r="S96" i="3"/>
  <c r="R96" i="3"/>
  <c r="Q96" i="3"/>
  <c r="P96" i="3"/>
  <c r="O96" i="3"/>
  <c r="T96" i="3" s="1"/>
  <c r="M96" i="3"/>
  <c r="U95" i="3"/>
  <c r="S95" i="3"/>
  <c r="R95" i="3"/>
  <c r="Q95" i="3"/>
  <c r="P95" i="3"/>
  <c r="O95" i="3"/>
  <c r="T95" i="3" s="1"/>
  <c r="M95" i="3"/>
  <c r="U94" i="3"/>
  <c r="T94" i="3"/>
  <c r="S94" i="3"/>
  <c r="R94" i="3"/>
  <c r="Q94" i="3"/>
  <c r="P94" i="3"/>
  <c r="O94" i="3"/>
  <c r="M94" i="3"/>
  <c r="U93" i="3"/>
  <c r="S93" i="3"/>
  <c r="R93" i="3"/>
  <c r="Q93" i="3"/>
  <c r="P93" i="3"/>
  <c r="O93" i="3"/>
  <c r="T93" i="3" s="1"/>
  <c r="M93" i="3"/>
  <c r="U92" i="3"/>
  <c r="S92" i="3"/>
  <c r="R92" i="3"/>
  <c r="Q92" i="3"/>
  <c r="P92" i="3"/>
  <c r="O92" i="3"/>
  <c r="T92" i="3" s="1"/>
  <c r="M92" i="3"/>
  <c r="U91" i="3"/>
  <c r="S91" i="3"/>
  <c r="R91" i="3"/>
  <c r="Q91" i="3"/>
  <c r="P91" i="3"/>
  <c r="O91" i="3"/>
  <c r="T91" i="3" s="1"/>
  <c r="M91" i="3"/>
  <c r="U90" i="3"/>
  <c r="T90" i="3"/>
  <c r="S90" i="3"/>
  <c r="R90" i="3"/>
  <c r="Q90" i="3"/>
  <c r="P90" i="3"/>
  <c r="O90" i="3"/>
  <c r="M90" i="3"/>
  <c r="U89" i="3"/>
  <c r="T89" i="3"/>
  <c r="S89" i="3"/>
  <c r="R89" i="3"/>
  <c r="Q89" i="3"/>
  <c r="P89" i="3"/>
  <c r="O89" i="3"/>
  <c r="M89" i="3"/>
  <c r="U88" i="3"/>
  <c r="T88" i="3"/>
  <c r="S88" i="3"/>
  <c r="R88" i="3"/>
  <c r="Q88" i="3"/>
  <c r="P88" i="3"/>
  <c r="O88" i="3"/>
  <c r="M88" i="3"/>
  <c r="U87" i="3"/>
  <c r="S87" i="3"/>
  <c r="R87" i="3"/>
  <c r="Q87" i="3"/>
  <c r="P87" i="3"/>
  <c r="O87" i="3"/>
  <c r="T87" i="3" s="1"/>
  <c r="M87" i="3"/>
  <c r="U86" i="3"/>
  <c r="S86" i="3"/>
  <c r="R86" i="3"/>
  <c r="Q86" i="3"/>
  <c r="P86" i="3"/>
  <c r="O86" i="3"/>
  <c r="T86" i="3" s="1"/>
  <c r="M86" i="3"/>
  <c r="U85" i="3"/>
  <c r="T85" i="3"/>
  <c r="S85" i="3"/>
  <c r="R85" i="3"/>
  <c r="Q85" i="3"/>
  <c r="P85" i="3"/>
  <c r="O85" i="3"/>
  <c r="M85" i="3"/>
  <c r="U84" i="3"/>
  <c r="T84" i="3"/>
  <c r="S84" i="3"/>
  <c r="R84" i="3"/>
  <c r="Q84" i="3"/>
  <c r="O84" i="3"/>
  <c r="M84" i="3"/>
  <c r="U83" i="3"/>
  <c r="T83" i="3"/>
  <c r="S83" i="3"/>
  <c r="Q83" i="3"/>
  <c r="P83" i="3"/>
  <c r="O83" i="3"/>
  <c r="M83" i="3"/>
  <c r="U82" i="3"/>
  <c r="T82" i="3"/>
  <c r="S82" i="3"/>
  <c r="R82" i="3"/>
  <c r="Q82" i="3"/>
  <c r="O82" i="3"/>
  <c r="M82" i="3"/>
  <c r="U81" i="3"/>
  <c r="S81" i="3"/>
  <c r="R81" i="3"/>
  <c r="Q81" i="3"/>
  <c r="P81" i="3"/>
  <c r="O81" i="3"/>
  <c r="T81" i="3" s="1"/>
  <c r="M81" i="3"/>
  <c r="U80" i="3"/>
  <c r="S80" i="3"/>
  <c r="P80" i="3"/>
  <c r="O80" i="3"/>
  <c r="T80" i="3" s="1"/>
  <c r="M80" i="3"/>
  <c r="U79" i="3"/>
  <c r="T79" i="3"/>
  <c r="S79" i="3"/>
  <c r="R79" i="3"/>
  <c r="Q79" i="3"/>
  <c r="O79" i="3"/>
  <c r="M79" i="3"/>
  <c r="U78" i="3"/>
  <c r="T78" i="3"/>
  <c r="S78" i="3"/>
  <c r="R78" i="3"/>
  <c r="Q78" i="3"/>
  <c r="P78" i="3"/>
  <c r="O78" i="3"/>
  <c r="M78" i="3"/>
  <c r="U77" i="3"/>
  <c r="S77" i="3"/>
  <c r="R77" i="3"/>
  <c r="Q77" i="3"/>
  <c r="O77" i="3"/>
  <c r="T77" i="3" s="1"/>
  <c r="M77" i="3"/>
  <c r="U76" i="3"/>
  <c r="S76" i="3"/>
  <c r="O76" i="3"/>
  <c r="T76" i="3" s="1"/>
  <c r="M76" i="3"/>
  <c r="U75" i="3"/>
  <c r="T75" i="3"/>
  <c r="S75" i="3"/>
  <c r="P75" i="3"/>
  <c r="O75" i="3"/>
  <c r="M75" i="3"/>
  <c r="U74" i="3"/>
  <c r="T74" i="3"/>
  <c r="S74" i="3"/>
  <c r="Q74" i="3"/>
  <c r="O74" i="3"/>
  <c r="M74" i="3"/>
  <c r="U73" i="3"/>
  <c r="S73" i="3"/>
  <c r="Q73" i="3"/>
  <c r="P73" i="3"/>
  <c r="O73" i="3"/>
  <c r="T73" i="3" s="1"/>
  <c r="M73" i="3"/>
  <c r="U72" i="3"/>
  <c r="T72" i="3"/>
  <c r="S72" i="3"/>
  <c r="R72" i="3"/>
  <c r="Q72" i="3"/>
  <c r="O72" i="3"/>
  <c r="M72" i="3"/>
  <c r="U71" i="3"/>
  <c r="S71" i="3"/>
  <c r="R71" i="3"/>
  <c r="Q71" i="3"/>
  <c r="P71" i="3"/>
  <c r="O71" i="3"/>
  <c r="T71" i="3" s="1"/>
  <c r="M71" i="3"/>
  <c r="U70" i="3"/>
  <c r="T70" i="3"/>
  <c r="S70" i="3"/>
  <c r="P70" i="3"/>
  <c r="O70" i="3"/>
  <c r="M70" i="3"/>
  <c r="U69" i="3"/>
  <c r="T69" i="3"/>
  <c r="S69" i="3"/>
  <c r="O69" i="3"/>
  <c r="M69" i="3"/>
  <c r="U68" i="3"/>
  <c r="T68" i="3"/>
  <c r="S68" i="3"/>
  <c r="Q68" i="3"/>
  <c r="P68" i="3"/>
  <c r="O68" i="3"/>
  <c r="M68" i="3"/>
  <c r="U67" i="3"/>
  <c r="T67" i="3"/>
  <c r="S67" i="3"/>
  <c r="O67" i="3"/>
  <c r="M67" i="3"/>
  <c r="U66" i="3"/>
  <c r="S66" i="3"/>
  <c r="R66" i="3"/>
  <c r="Q66" i="3"/>
  <c r="P66" i="3"/>
  <c r="O66" i="3"/>
  <c r="T66" i="3" s="1"/>
  <c r="M66" i="3"/>
  <c r="U65" i="3"/>
  <c r="T65" i="3"/>
  <c r="S65" i="3"/>
  <c r="P65" i="3"/>
  <c r="O65" i="3"/>
  <c r="M65" i="3"/>
  <c r="U64" i="3"/>
  <c r="T64" i="3"/>
  <c r="S64" i="3"/>
  <c r="O64" i="3"/>
  <c r="M64" i="3"/>
  <c r="U63" i="3"/>
  <c r="T63" i="3"/>
  <c r="S63" i="3"/>
  <c r="O63" i="3"/>
  <c r="M63" i="3"/>
  <c r="U62" i="3"/>
  <c r="T62" i="3"/>
  <c r="S62" i="3"/>
  <c r="R62" i="3"/>
  <c r="Q62" i="3"/>
  <c r="O62" i="3"/>
  <c r="M62" i="3"/>
  <c r="U61" i="3"/>
  <c r="S61" i="3"/>
  <c r="R61" i="3"/>
  <c r="Q61" i="3"/>
  <c r="P61" i="3"/>
  <c r="O61" i="3"/>
  <c r="T61" i="3" s="1"/>
  <c r="M61" i="3"/>
  <c r="U60" i="3"/>
  <c r="T60" i="3"/>
  <c r="S60" i="3"/>
  <c r="O60" i="3"/>
  <c r="M60" i="3"/>
  <c r="U59" i="3"/>
  <c r="S59" i="3"/>
  <c r="R59" i="3"/>
  <c r="Q59" i="3"/>
  <c r="O59" i="3"/>
  <c r="T59" i="3" s="1"/>
  <c r="M59" i="3"/>
  <c r="U58" i="3"/>
  <c r="T58" i="3"/>
  <c r="S58" i="3"/>
  <c r="O58" i="3"/>
  <c r="M58" i="3"/>
  <c r="U57" i="3"/>
  <c r="T57" i="3"/>
  <c r="S57" i="3"/>
  <c r="O57" i="3"/>
  <c r="M57" i="3"/>
  <c r="U56" i="3"/>
  <c r="S56" i="3"/>
  <c r="R56" i="3"/>
  <c r="Q56" i="3"/>
  <c r="O56" i="3"/>
  <c r="T56" i="3" s="1"/>
  <c r="M56" i="3"/>
  <c r="U55" i="3"/>
  <c r="S55" i="3"/>
  <c r="P55" i="3"/>
  <c r="O55" i="3"/>
  <c r="T55" i="3" s="1"/>
  <c r="M55" i="3"/>
  <c r="U54" i="3"/>
  <c r="S54" i="3"/>
  <c r="O54" i="3"/>
  <c r="T54" i="3" s="1"/>
  <c r="M54" i="3"/>
  <c r="U53" i="3"/>
  <c r="T53" i="3"/>
  <c r="S53" i="3"/>
  <c r="Q53" i="3"/>
  <c r="P53" i="3"/>
  <c r="O53" i="3"/>
  <c r="M53" i="3"/>
  <c r="U52" i="3"/>
  <c r="T52" i="3"/>
  <c r="S52" i="3"/>
  <c r="O52" i="3"/>
  <c r="M52" i="3"/>
  <c r="U51" i="3"/>
  <c r="S51" i="3"/>
  <c r="O51" i="3"/>
  <c r="T51" i="3" s="1"/>
  <c r="M51" i="3"/>
  <c r="U50" i="3"/>
  <c r="T50" i="3"/>
  <c r="S50" i="3"/>
  <c r="P50" i="3"/>
  <c r="O50" i="3"/>
  <c r="M50" i="3"/>
  <c r="U49" i="3"/>
  <c r="S49" i="3"/>
  <c r="R49" i="3"/>
  <c r="Q49" i="3"/>
  <c r="O49" i="3"/>
  <c r="T49" i="3" s="1"/>
  <c r="M49" i="3"/>
  <c r="U48" i="3"/>
  <c r="T48" i="3"/>
  <c r="S48" i="3"/>
  <c r="O48" i="3"/>
  <c r="M48" i="3"/>
  <c r="U47" i="3"/>
  <c r="T47" i="3"/>
  <c r="S47" i="3"/>
  <c r="R47" i="3"/>
  <c r="Q47" i="3"/>
  <c r="O47" i="3"/>
  <c r="M47" i="3"/>
  <c r="U46" i="3"/>
  <c r="S46" i="3"/>
  <c r="O46" i="3"/>
  <c r="T46" i="3" s="1"/>
  <c r="M46" i="3"/>
  <c r="U45" i="3"/>
  <c r="S45" i="3"/>
  <c r="O45" i="3"/>
  <c r="T45" i="3" s="1"/>
  <c r="M45" i="3"/>
  <c r="U44" i="3"/>
  <c r="S44" i="3"/>
  <c r="Q44" i="3"/>
  <c r="O44" i="3"/>
  <c r="T44" i="3" s="1"/>
  <c r="M44" i="3"/>
  <c r="U43" i="3"/>
  <c r="S43" i="3"/>
  <c r="O43" i="3"/>
  <c r="T43" i="3" s="1"/>
  <c r="M43" i="3"/>
  <c r="U42" i="3"/>
  <c r="T42" i="3"/>
  <c r="S42" i="3"/>
  <c r="O42" i="3"/>
  <c r="M42" i="3"/>
  <c r="U41" i="3"/>
  <c r="S41" i="3"/>
  <c r="R41" i="3"/>
  <c r="Q41" i="3"/>
  <c r="P41" i="3"/>
  <c r="O41" i="3"/>
  <c r="T41" i="3" s="1"/>
  <c r="M41" i="3"/>
  <c r="U40" i="3"/>
  <c r="T40" i="3"/>
  <c r="S40" i="3"/>
  <c r="O40" i="3"/>
  <c r="M40" i="3"/>
  <c r="U39" i="3"/>
  <c r="S39" i="3"/>
  <c r="O39" i="3"/>
  <c r="T39" i="3" s="1"/>
  <c r="M39" i="3"/>
  <c r="U38" i="3"/>
  <c r="T38" i="3"/>
  <c r="S38" i="3"/>
  <c r="Q38" i="3"/>
  <c r="P38" i="3"/>
  <c r="O38" i="3"/>
  <c r="M38" i="3"/>
  <c r="U37" i="3"/>
  <c r="T37" i="3"/>
  <c r="S37" i="3"/>
  <c r="O37" i="3"/>
  <c r="M37" i="3"/>
  <c r="U36" i="3"/>
  <c r="S36" i="3"/>
  <c r="O36" i="3"/>
  <c r="T36" i="3" s="1"/>
  <c r="M36" i="3"/>
  <c r="U35" i="3"/>
  <c r="T35" i="3"/>
  <c r="S35" i="3"/>
  <c r="O35" i="3"/>
  <c r="M35" i="3"/>
  <c r="U34" i="3"/>
  <c r="S34" i="3"/>
  <c r="R34" i="3"/>
  <c r="Q34" i="3"/>
  <c r="P34" i="3"/>
  <c r="O34" i="3"/>
  <c r="T34" i="3" s="1"/>
  <c r="M34" i="3"/>
  <c r="U33" i="3"/>
  <c r="T33" i="3"/>
  <c r="S33" i="3"/>
  <c r="Q33" i="3"/>
  <c r="P33" i="3"/>
  <c r="O33" i="3"/>
  <c r="M33" i="3"/>
  <c r="U32" i="3"/>
  <c r="T32" i="3"/>
  <c r="S32" i="3"/>
  <c r="O32" i="3"/>
  <c r="M32" i="3"/>
  <c r="U31" i="3"/>
  <c r="T31" i="3"/>
  <c r="S31" i="3"/>
  <c r="R31" i="3"/>
  <c r="O31" i="3"/>
  <c r="M31" i="3"/>
  <c r="U30" i="3"/>
  <c r="T30" i="3"/>
  <c r="S30" i="3"/>
  <c r="Q30" i="3"/>
  <c r="P30" i="3"/>
  <c r="O30" i="3"/>
  <c r="M30" i="3"/>
  <c r="U29" i="3"/>
  <c r="S29" i="3"/>
  <c r="O29" i="3"/>
  <c r="T29" i="3" s="1"/>
  <c r="M29" i="3"/>
  <c r="U28" i="3"/>
  <c r="T28" i="3"/>
  <c r="S28" i="3"/>
  <c r="R28" i="3"/>
  <c r="Q28" i="3"/>
  <c r="P28" i="3"/>
  <c r="O28" i="3"/>
  <c r="M28" i="3"/>
  <c r="U27" i="3"/>
  <c r="T27" i="3"/>
  <c r="S27" i="3"/>
  <c r="R27" i="3"/>
  <c r="Q27" i="3"/>
  <c r="P27" i="3"/>
  <c r="O27" i="3"/>
  <c r="M27" i="3"/>
  <c r="U26" i="3"/>
  <c r="T26" i="3"/>
  <c r="S26" i="3"/>
  <c r="R26" i="3"/>
  <c r="Q26" i="3"/>
  <c r="P26" i="3"/>
  <c r="O26" i="3"/>
  <c r="M26" i="3"/>
  <c r="U25" i="3"/>
  <c r="T25" i="3"/>
  <c r="S25" i="3"/>
  <c r="R25" i="3"/>
  <c r="Q25" i="3"/>
  <c r="P25" i="3"/>
  <c r="O25" i="3"/>
  <c r="M25" i="3"/>
  <c r="U24" i="3"/>
  <c r="S24" i="3"/>
  <c r="R24" i="3"/>
  <c r="Q24" i="3"/>
  <c r="P24" i="3"/>
  <c r="O24" i="3"/>
  <c r="T24" i="3" s="1"/>
  <c r="M24" i="3"/>
  <c r="U23" i="3"/>
  <c r="T23" i="3"/>
  <c r="S23" i="3"/>
  <c r="R23" i="3"/>
  <c r="Q23" i="3"/>
  <c r="P23" i="3"/>
  <c r="O23" i="3"/>
  <c r="M23" i="3"/>
  <c r="U22" i="3"/>
  <c r="T22" i="3"/>
  <c r="S22" i="3"/>
  <c r="O22" i="3"/>
  <c r="M22" i="3"/>
  <c r="U21" i="3"/>
  <c r="T21" i="3"/>
  <c r="S21" i="3"/>
  <c r="R21" i="3"/>
  <c r="Q21" i="3"/>
  <c r="P21" i="3"/>
  <c r="O21" i="3"/>
  <c r="M21" i="3"/>
  <c r="U20" i="3"/>
  <c r="T20" i="3"/>
  <c r="S20" i="3"/>
  <c r="R20" i="3"/>
  <c r="Q20" i="3"/>
  <c r="P20" i="3"/>
  <c r="O20" i="3"/>
  <c r="M20" i="3"/>
  <c r="U19" i="3"/>
  <c r="S19" i="3"/>
  <c r="R19" i="3"/>
  <c r="Q19" i="3"/>
  <c r="P19" i="3"/>
  <c r="O19" i="3"/>
  <c r="T19" i="3" s="1"/>
  <c r="M19" i="3"/>
  <c r="U18" i="3"/>
  <c r="T18" i="3"/>
  <c r="S18" i="3"/>
  <c r="O18" i="3"/>
  <c r="M18" i="3"/>
  <c r="U17" i="3"/>
  <c r="T17" i="3"/>
  <c r="S17" i="3"/>
  <c r="P17" i="3"/>
  <c r="O17" i="3"/>
  <c r="M17" i="3"/>
  <c r="U16" i="3"/>
  <c r="T16" i="3"/>
  <c r="S16" i="3"/>
  <c r="R16" i="3"/>
  <c r="O16" i="3"/>
  <c r="M16" i="3"/>
  <c r="U15" i="3"/>
  <c r="T15" i="3"/>
  <c r="S15" i="3"/>
  <c r="Q15" i="3"/>
  <c r="P15" i="3"/>
  <c r="O15" i="3"/>
  <c r="M15" i="3"/>
  <c r="U14" i="3"/>
  <c r="S14" i="3"/>
  <c r="O14" i="3"/>
  <c r="T14" i="3" s="1"/>
  <c r="M14" i="3"/>
  <c r="U13" i="3"/>
  <c r="T13" i="3"/>
  <c r="S13" i="3"/>
  <c r="R13" i="3"/>
  <c r="O13" i="3"/>
  <c r="M13" i="3"/>
  <c r="U12" i="3"/>
  <c r="T12" i="3"/>
  <c r="S12" i="3"/>
  <c r="P12" i="3"/>
  <c r="O12" i="3"/>
  <c r="M12" i="3"/>
  <c r="U11" i="3"/>
  <c r="T11" i="3"/>
  <c r="S11" i="3"/>
  <c r="R11" i="3"/>
  <c r="O11" i="3"/>
  <c r="M11" i="3"/>
  <c r="U10" i="3"/>
  <c r="S10" i="3"/>
  <c r="Q10" i="3"/>
  <c r="P10" i="3"/>
  <c r="O10" i="3"/>
  <c r="T10" i="3" s="1"/>
  <c r="M10" i="3"/>
  <c r="U9" i="3"/>
  <c r="S9" i="3"/>
  <c r="O9" i="3"/>
  <c r="T9" i="3" s="1"/>
  <c r="M9" i="3"/>
  <c r="U8" i="3"/>
  <c r="T8" i="3"/>
  <c r="S8" i="3"/>
  <c r="R8" i="3"/>
  <c r="Q8" i="3"/>
  <c r="P8" i="3"/>
  <c r="O8" i="3"/>
  <c r="M8" i="3"/>
  <c r="U7" i="3"/>
  <c r="T7" i="3"/>
  <c r="S7" i="3"/>
  <c r="P7" i="3"/>
  <c r="O7" i="3"/>
  <c r="M7" i="3"/>
  <c r="U6" i="3"/>
  <c r="T6" i="3"/>
  <c r="S6" i="3"/>
  <c r="R6" i="3"/>
  <c r="Q6" i="3"/>
  <c r="P6" i="3"/>
  <c r="O6" i="3"/>
  <c r="M6" i="3"/>
  <c r="U5" i="3"/>
  <c r="S5" i="3"/>
  <c r="Q5" i="3"/>
  <c r="P5" i="3"/>
  <c r="O5" i="3"/>
  <c r="T5" i="3" s="1"/>
  <c r="M5" i="3"/>
  <c r="U4" i="3"/>
  <c r="S4" i="3"/>
  <c r="O4" i="3"/>
  <c r="T4" i="3" s="1"/>
  <c r="M4" i="3"/>
  <c r="U3" i="3"/>
  <c r="T3" i="3"/>
  <c r="S3" i="3"/>
  <c r="R3" i="3"/>
  <c r="Q3" i="3"/>
  <c r="P3" i="3"/>
  <c r="O3" i="3"/>
  <c r="M3" i="3"/>
  <c r="U2" i="3"/>
  <c r="T2" i="3"/>
  <c r="S2" i="3"/>
  <c r="R2" i="3"/>
  <c r="Q2" i="3"/>
  <c r="P2" i="3"/>
  <c r="O2" i="3"/>
  <c r="M2" i="3"/>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32" i="2"/>
  <c r="B32" i="2"/>
  <c r="A32" i="2"/>
  <c r="C31" i="2"/>
  <c r="B31" i="2"/>
  <c r="A31" i="2"/>
  <c r="C30" i="2"/>
  <c r="B30" i="2"/>
  <c r="A30" i="2"/>
  <c r="C29" i="2"/>
  <c r="B29" i="2"/>
  <c r="A29" i="2"/>
  <c r="C28" i="2"/>
  <c r="B28" i="2"/>
  <c r="A28" i="2"/>
  <c r="C27" i="2"/>
  <c r="B27" i="2"/>
  <c r="A27" i="2"/>
  <c r="C26" i="2"/>
  <c r="B26" i="2"/>
  <c r="A26" i="2"/>
  <c r="C25" i="2"/>
  <c r="B25" i="2"/>
  <c r="A25" i="2"/>
  <c r="C24" i="2"/>
  <c r="B24" i="2"/>
  <c r="A24" i="2"/>
  <c r="C23" i="2"/>
  <c r="B23" i="2"/>
  <c r="A23" i="2"/>
  <c r="C22" i="2"/>
  <c r="B22" i="2"/>
  <c r="A22" i="2"/>
  <c r="C21" i="2"/>
  <c r="B21" i="2"/>
  <c r="A21" i="2"/>
  <c r="C20" i="2"/>
  <c r="B20" i="2"/>
  <c r="A20" i="2"/>
  <c r="C19" i="2"/>
  <c r="B19" i="2"/>
  <c r="A19" i="2"/>
  <c r="C18" i="2"/>
  <c r="B18" i="2"/>
  <c r="A18" i="2"/>
  <c r="C17" i="2"/>
  <c r="B17" i="2"/>
  <c r="A17" i="2"/>
  <c r="C16" i="2"/>
  <c r="B16" i="2"/>
  <c r="A16" i="2"/>
  <c r="C15" i="2"/>
  <c r="B15" i="2"/>
  <c r="A15" i="2"/>
  <c r="C14" i="2"/>
  <c r="B14" i="2"/>
  <c r="A14" i="2"/>
  <c r="C13" i="2"/>
  <c r="B13" i="2"/>
  <c r="A13" i="2"/>
  <c r="C12" i="2"/>
  <c r="B12" i="2"/>
  <c r="A12" i="2"/>
  <c r="C11" i="2"/>
  <c r="B11" i="2"/>
  <c r="A11" i="2"/>
  <c r="C10" i="2"/>
  <c r="B10" i="2"/>
  <c r="A10" i="2"/>
  <c r="C9" i="2"/>
  <c r="B9" i="2"/>
  <c r="A9" i="2"/>
  <c r="C8" i="2"/>
  <c r="B8" i="2"/>
  <c r="A8" i="2"/>
  <c r="C7" i="2"/>
  <c r="B7" i="2"/>
  <c r="A7" i="2"/>
  <c r="C6" i="2"/>
  <c r="B6" i="2"/>
  <c r="A6" i="2"/>
  <c r="C5" i="2"/>
  <c r="B5" i="2"/>
  <c r="A5" i="2"/>
  <c r="C4" i="2"/>
  <c r="B4" i="2"/>
  <c r="A4" i="2"/>
  <c r="C3" i="2"/>
  <c r="B3" i="2"/>
  <c r="A3" i="2"/>
  <c r="D8" i="6" l="1"/>
  <c r="C8" i="6"/>
  <c r="B8" i="6"/>
  <c r="F8" i="6" s="1"/>
  <c r="E8" i="6"/>
  <c r="P14" i="3"/>
  <c r="H14" i="8"/>
  <c r="I14" i="8"/>
  <c r="R40" i="3"/>
  <c r="R65" i="3"/>
  <c r="Q65" i="3"/>
  <c r="D4" i="6"/>
  <c r="C4" i="6"/>
  <c r="B4" i="6"/>
  <c r="E4" i="6"/>
  <c r="P40" i="3"/>
  <c r="Q52" i="3"/>
  <c r="P58" i="3"/>
  <c r="Q64" i="3"/>
  <c r="Q67" i="3"/>
  <c r="I6" i="8"/>
  <c r="G6" i="8" s="1"/>
  <c r="I5" i="8"/>
  <c r="R109" i="3"/>
  <c r="P109" i="3"/>
  <c r="P52" i="3"/>
  <c r="R43" i="3"/>
  <c r="R53" i="3"/>
  <c r="R80" i="3"/>
  <c r="Q80" i="3"/>
  <c r="G14" i="8"/>
  <c r="P4" i="3"/>
  <c r="D6" i="6"/>
  <c r="C6" i="6"/>
  <c r="B6" i="6"/>
  <c r="E6" i="6"/>
  <c r="Q9" i="3"/>
  <c r="Q14" i="3"/>
  <c r="Q29" i="3"/>
  <c r="R4" i="3"/>
  <c r="R9" i="3"/>
  <c r="P13" i="3"/>
  <c r="E9" i="6"/>
  <c r="D9" i="6"/>
  <c r="C9" i="6"/>
  <c r="B9" i="6"/>
  <c r="F9" i="6" s="1"/>
  <c r="P18" i="3"/>
  <c r="R29" i="3"/>
  <c r="R37" i="3"/>
  <c r="P43" i="3"/>
  <c r="Q46" i="3"/>
  <c r="R64" i="3"/>
  <c r="P76" i="3"/>
  <c r="R55" i="3"/>
  <c r="Q55" i="3"/>
  <c r="P57" i="3"/>
  <c r="P67" i="3"/>
  <c r="P72" i="3"/>
  <c r="P84" i="3"/>
  <c r="R60" i="3"/>
  <c r="Q60" i="3"/>
  <c r="Q37" i="3"/>
  <c r="P46" i="3"/>
  <c r="Q18" i="3"/>
  <c r="P36" i="3"/>
  <c r="Q76" i="3"/>
  <c r="I15" i="8"/>
  <c r="H15" i="8"/>
  <c r="I7" i="8"/>
  <c r="G7" i="8" s="1"/>
  <c r="I10" i="8"/>
  <c r="I11" i="8"/>
  <c r="I18" i="8"/>
  <c r="H18" i="8"/>
  <c r="G18" i="8" s="1"/>
  <c r="P32" i="3"/>
  <c r="P49" i="3"/>
  <c r="P162" i="3"/>
  <c r="Q162" i="3"/>
  <c r="R58" i="3"/>
  <c r="R70" i="3"/>
  <c r="Q70" i="3"/>
  <c r="Q36" i="3"/>
  <c r="Q57" i="3"/>
  <c r="P63" i="3"/>
  <c r="Q7" i="3"/>
  <c r="Q12" i="3"/>
  <c r="Q17" i="3"/>
  <c r="Q22" i="3"/>
  <c r="R32" i="3"/>
  <c r="P35" i="3"/>
  <c r="Q39" i="3"/>
  <c r="Q42" i="3"/>
  <c r="P48" i="3"/>
  <c r="Q51" i="3"/>
  <c r="Q54" i="3"/>
  <c r="Q69" i="3"/>
  <c r="I13" i="8"/>
  <c r="H4" i="8"/>
  <c r="G4" i="8" s="1"/>
  <c r="I4" i="8"/>
  <c r="I8" i="8"/>
  <c r="I17" i="8"/>
  <c r="I19" i="8"/>
  <c r="P44" i="3"/>
  <c r="P39" i="3"/>
  <c r="P62" i="3"/>
  <c r="P74" i="3"/>
  <c r="P82" i="3"/>
  <c r="I12" i="8"/>
  <c r="H12" i="8"/>
  <c r="G12" i="8" s="1"/>
  <c r="P22" i="3"/>
  <c r="P51" i="3"/>
  <c r="P31" i="3"/>
  <c r="R48" i="3"/>
  <c r="E5" i="6"/>
  <c r="D5" i="6"/>
  <c r="C5" i="6"/>
  <c r="B5" i="6"/>
  <c r="I9" i="8"/>
  <c r="H9" i="8"/>
  <c r="G9" i="8" s="1"/>
  <c r="P60" i="3"/>
  <c r="P11" i="3"/>
  <c r="P16" i="3"/>
  <c r="Q35" i="3"/>
  <c r="R54" i="3"/>
  <c r="R114" i="3"/>
  <c r="P114" i="3"/>
  <c r="R45" i="3"/>
  <c r="Q45" i="3"/>
  <c r="R50" i="3"/>
  <c r="Q50" i="3"/>
  <c r="P42" i="3"/>
  <c r="R63" i="3"/>
  <c r="P69" i="3"/>
  <c r="R75" i="3"/>
  <c r="Q75" i="3"/>
  <c r="H5" i="8"/>
  <c r="G5" i="8" s="1"/>
  <c r="H16" i="8"/>
  <c r="G16" i="8" s="1"/>
  <c r="H17" i="8"/>
  <c r="G17" i="8" s="1"/>
  <c r="H8" i="8"/>
  <c r="G8" i="8" s="1"/>
  <c r="H19" i="8"/>
  <c r="G19" i="8" s="1"/>
  <c r="H10" i="8"/>
  <c r="G10" i="8" s="1"/>
  <c r="H11" i="8"/>
  <c r="G11" i="8" s="1"/>
  <c r="H13" i="8"/>
  <c r="G13" i="8" s="1"/>
  <c r="F6" i="6" l="1"/>
  <c r="E10" i="6"/>
  <c r="B10" i="6"/>
  <c r="F4" i="6"/>
  <c r="C10" i="6"/>
  <c r="F5" i="6"/>
  <c r="D10" i="6"/>
  <c r="G15" i="8"/>
  <c r="F10" i="6" l="1"/>
</calcChain>
</file>

<file path=xl/sharedStrings.xml><?xml version="1.0" encoding="utf-8"?>
<sst xmlns="http://schemas.openxmlformats.org/spreadsheetml/2006/main" count="38215" uniqueCount="9063">
  <si>
    <t>Canal Zone GIS - relational model (places / sources / attestations) + density + map modes</t>
  </si>
  <si>
    <t>TAB COLOURS (bottom of the window):</t>
  </si>
  <si>
    <t>Red = enter your core data here: Coordinates, places, sources, attestations.</t>
  </si>
  <si>
    <t>Orange = you add to these occasionally: Corpus, Coverage, relations, Lists, Feature Checklist.</t>
  </si>
  <si>
    <t>Grey / uncoloured = auto-calculated or reference only - do not type in these.</t>
  </si>
  <si>
    <t>- New tabs: "Map Modes + Rendering" (the 6 views as an app spec) and an updated Selection Matrix on archival visibility.</t>
  </si>
  <si>
    <t>The archival-density caution (your insight, kept central):</t>
  </si>
  <si>
    <t>Density = how visible a place is in surviving archives, NOT how historically important it was. Displaced and Afro-Caribbean</t>
  </si>
  <si>
    <t>communities were systematically under-recorded, so thin density often marks the MOST important silences. The model never</t>
  </si>
  <si>
    <t>equates density with importance - there is deliberately no "importance" score.</t>
  </si>
  <si>
    <t>"Unmapped but known" is built in:</t>
  </si>
  <si>
    <t>Any place with spatial_certainty = Unknown keeps its full record and its render_as becomes "Unplotted (unlocated panel)".</t>
  </si>
  <si>
    <t>It is a filtered view, not a deletion. Nothing drops out of the database for being unlocatable.</t>
  </si>
  <si>
    <t>"Disputed" and "Source comparison" are why we went relational:</t>
  </si>
  <si>
    <t>Each source"s own coordinate is stored on its GEOMETRY attestation. A place with two disagreeing map placements keeps</t>
  </si>
  <si>
    <t>both - set spatial_certainty = Disputed and the app plots multiple candidate points (n_geom auto-counts the geometries).</t>
  </si>
  <si>
    <t>Green columns are AUTO (formulas) - do not type in them. Coordinates stay blank until georeferenced (do not guess).</t>
  </si>
  <si>
    <t>Coordinate entry. place_id / name / scale fill IN AUTOMATICALLY from the places sheet. You only type lat + lng (yellow). Do NOT sort this sheet (rows track the places sheet by position).</t>
  </si>
  <si>
    <t>place_id</t>
  </si>
  <si>
    <t>name</t>
  </si>
  <si>
    <t>scale</t>
  </si>
  <si>
    <t>lat</t>
  </si>
  <si>
    <t>lng</t>
  </si>
  <si>
    <t>coord_source</t>
  </si>
  <si>
    <t>status</t>
  </si>
  <si>
    <t>ICC1911 property map</t>
  </si>
  <si>
    <t>surveyed from ICC1911 georef, ±400m [CORRECTED 2026-09-08: earlier paste had a transcription error]</t>
  </si>
  <si>
    <t>ICC Surveys 1905-06 Map No.2</t>
  </si>
  <si>
    <t>surveyed from SURVEYS1908 georef (bridge site), ±250m</t>
  </si>
  <si>
    <t>surveyed from SURVEYS1908 georef, ±250m</t>
  </si>
  <si>
    <t>ICC Surveys 1905-06 Map No.1</t>
  </si>
  <si>
    <t>surveyed from ICC1911 georef (label), ±500m [CORRECTED 2026-09-08: earlier paste had a transcription error]</t>
  </si>
  <si>
    <t>surveyed from ICC1911 georef (label), ±400m [CORRECTED 2026-09-08: earlier paste had a transcription error]</t>
  </si>
  <si>
    <t>1862 Rio Chagres plano</t>
  </si>
  <si>
    <t>surveyed from CHAGRES1867 georef (tract, no pueblo symbol), ±800m</t>
  </si>
  <si>
    <t>surveyed from CHAGRES1867 georef (creek label only), ±1km</t>
  </si>
  <si>
    <t>surveyed from SURVEYS1908 georef (village drawn), ±250m</t>
  </si>
  <si>
    <t>surveyed from ICC1911 georef (building cluster), ±200m</t>
  </si>
  <si>
    <t>ICC Surveys 1905-06 Map No.3</t>
  </si>
  <si>
    <t>surveyed from SURVEYS1908 Map No.3 georef (the arbitration source), ±150m; re-anchored EMPIRE plan footprint agrees within 230 m [replaced 2026-09-14: previous value was the stale pre-re-anchor EMPIRE-chain position the 2026-09-09 re-anchor never propagated to CZ-011 itself]</t>
  </si>
  <si>
    <t>Map of Gorgona 1908 (saloon)</t>
  </si>
  <si>
    <t>surveyed from GORGONA plan georef; SURVEYS1908 agrees within 100m, ±400m abs</t>
  </si>
  <si>
    <t>Map of Culebra 1910</t>
  </si>
  <si>
    <t>surveyed from CULEBRA1910 georef; K.54 reading CORROBORATED by independent 1895 sheet within ~180m, ±400m</t>
  </si>
  <si>
    <t>surveyed from ICC1911 georef (label along old line), ±500m [CORRECTED 2026-09-08: earlier paste had a transcription error]</t>
  </si>
  <si>
    <t>placeholder</t>
  </si>
  <si>
    <t>General map of Empire (re-anchored)</t>
  </si>
  <si>
    <t>surveyed from EMPIRE plan georef re-anchored to SURVEYS1908_MAP3, +-200m</t>
  </si>
  <si>
    <t>surveyed from EMPIRE plan georef re-anchored to SURVEYS1908_MAP3, +-200m (Cath. Church, 2nd-pass find)</t>
  </si>
  <si>
    <t>surveyed from ICC1911 georef, ±300m</t>
  </si>
  <si>
    <t>ICC1909 zone map</t>
  </si>
  <si>
    <t>surveyed from ICC1909 georef (town dot), ±300m [CORRECTED 2026-09-08: earlier paste had a transcription error]</t>
  </si>
  <si>
    <t>surveyed from ICC1909 georef, ±300m</t>
  </si>
  <si>
    <t>surveyed from ICC1911 georef (drawn town labeled BALBOA), ±300m</t>
  </si>
  <si>
    <t>surveyed from ICC1911 georef, ±300m [CORRECTED 2026-09-08: earlier paste had a transcription error]</t>
  </si>
  <si>
    <t>surveyed from SURVEYS1908 georef (occupied village; abandoned site also recorded), ±250m</t>
  </si>
  <si>
    <t>surveyed from SURVEYS1908 georef (probable village; label at fold), ±400m</t>
  </si>
  <si>
    <t>surveyed from ICC1911 georef; NOTE sources disagree up to 1.2km - see candidate CSVs</t>
  </si>
  <si>
    <t>surveyed from SURVEYS1908 georef, ±300m</t>
  </si>
  <si>
    <t>surveyed from SURVEYS1908 georef (Boca Mindi), ±400m</t>
  </si>
  <si>
    <t>PRR1857 (pcc00004)</t>
  </si>
  <si>
    <t>surveyed from the 1857 Totten PRR map (settlement symbol + label), ±800m - the only cartographic fix Tiger Hill has ever had</t>
  </si>
  <si>
    <t>surveyed from CHAGRES1867 georef (Estacion Mamei), ±600m</t>
  </si>
  <si>
    <t>surveyed from ICC1911 georef (relocated-line site; 1862 Gatun-river original also recorded), ±500m [CORRECTED 2026-09-08: earlier paste had a transcription error]</t>
  </si>
  <si>
    <t>M1947 zone sheet</t>
  </si>
  <si>
    <t>surveyed from M1947 georef (absence audit 2026-09-12), +-300m - FIRST FIX</t>
  </si>
  <si>
    <t>surveyed from ICC1911 georef, ±400m</t>
  </si>
  <si>
    <t>surveyed from ICC1909 georef, ±300m; coastal-compilation caveat ±1km</t>
  </si>
  <si>
    <t>surveyed from ICC1911 georef (absence audit 2026-09-12), +-800m - FIRST FIX; far off-anchor, treat as Low certainty; site under Madden Lake by 1935</t>
  </si>
  <si>
    <t>PACIFIC1947 (pcc00008)</t>
  </si>
  <si>
    <t>surveyed from the 1947 Pacific Terminal Cities georef (Administration Building), ±150m</t>
  </si>
  <si>
    <t>surveyed from ICC1911 georef (village at Chagres mouth), ±300m [CORRECTED 2026-09-08: earlier paste had a transcription error]</t>
  </si>
  <si>
    <t>CENSUS1940_PALOSECO (dwg 6100-90 boundary survey)</t>
  </si>
  <si>
    <t>tract centroid of the surveyed 346.75-acre colony boundary (graticule-true affine, residuals 3 m; internal bearing/distance checks 1-3%%). CORRECTED 2026-09-16: the M1947-derived point (8.914038,-79.557718) lies in the entrance-channel water ~1.4 km due E (its latitude was right; the longitude was off). Building compound not drawn on this boundary plot - tract-scale uncertainty +-400 m until a detailed plan surfaces.</t>
  </si>
  <si>
    <t>CZ 1947 zone map (1:100,000)</t>
  </si>
  <si>
    <t>surveyed from CZ1947 georef, +-150m</t>
  </si>
  <si>
    <t>CENSUS1940_SUMMIT (naId 5838616, graticule-true)</t>
  </si>
  <si>
    <t>station cluster (bldg 18B + Substation) on the relocated line, from the 1940 census sheet (+-15-40 m warp; unc 100 m). UPGRADED 2026-09-16 from the 1:100,000 M1947 symbol read, which sat 450 m N along the line - within 1:100k symbol slop, an upgrade not a conflict. The gardens road-web center lies 400 m E (A-2722); extent traced to footprints.geojson.</t>
  </si>
  <si>
    <t>surveyed from CZ1947 georef, +-250m</t>
  </si>
  <si>
    <t>surveyed from ICC1909 georef (absence audit 2026-09-12), +-700m - FIRST FIX; off-anchor upper Chagres</t>
  </si>
  <si>
    <t>surveyed from ICC1911 georef (absence audit 2026-09-12), +-400m - FIRST FIX</t>
  </si>
  <si>
    <t>Culebra Div. encampment plans 1907</t>
  </si>
  <si>
    <t>surveyed from CULEBRACAMPS georef, +-200m (upgraded from ICC1909 +-300m; both claims in attestations)</t>
  </si>
  <si>
    <t>CHAGRES1867 plano (1862)</t>
  </si>
  <si>
    <t>surveyed from CHAGRES1867 georef (absence audit 2026-09-13), +-800m - FIRST FIX; lower-river compression zone, treat as Low certainty</t>
  </si>
  <si>
    <t>surveyed from CULEBRACAMPS georef, +-250m (upgraded from ICC1909 +-300m; both claims in attestations)</t>
  </si>
  <si>
    <t>surveyed from ICC1909 georef (absence audit 2026-09-12), +-400m - FIRST FIX</t>
  </si>
  <si>
    <t>surveyed from CZ1947 georef, +-300m</t>
  </si>
  <si>
    <t>surveyed from the 1947 Pacific Terminal Cities georef (district label + Mil. Police Sta./Dept HQ), ±250m</t>
  </si>
  <si>
    <t>surveyed from CHAGRES1867 georef, +-800m</t>
  </si>
  <si>
    <t>surveyed from CULEBRACAMPS georef, +-200m</t>
  </si>
  <si>
    <t>GORPAN1895 sheet 2 (re-anchored 2026-09-14)</t>
  </si>
  <si>
    <t>surveyed from GORPAN1895 sheet 2 re-anchored to the Map No.3 frame, ±350m (was provisional pending this re-anchor) [SH2 refit v2 2026-09-14]</t>
  </si>
  <si>
    <t>surveyed from CULEBRACAMPS georef, +-200m (verified 2026-09-08 by south-end sheet)</t>
  </si>
  <si>
    <t>surveyed from SURVEYS1908 georef, +-250m</t>
  </si>
  <si>
    <t>surveyed from ICC1911 georef, +-400m</t>
  </si>
  <si>
    <t>surveyed from ICC1909 georef, +-400m</t>
  </si>
  <si>
    <t>surveyed from ICC1911 georef (audit read 2026-09-12), +-350m</t>
  </si>
  <si>
    <t>surveyed from ICC1911 georef, +-350m [CORRECTED 2026-09-13 footprint pass: first read mis-assigned the dot cluster ~1.1km; label-adjacent dots re-verified]</t>
  </si>
  <si>
    <t>surveyed from ICC1911 georef (audit read 2026-09-12), +-500m</t>
  </si>
  <si>
    <t>surveyed from ICC1909 georef (audit read 2026-09-12), +-500m - off-anchor upper Chagres</t>
  </si>
  <si>
    <t>surveyed from ICC1909 georef (audit read 2026-09-12), +-600m - off-anchor upper Chagres</t>
  </si>
  <si>
    <t>surveyed from ICC1909 georef (audit read 2026-09-12), +-700m - off-anchor upper Chagres</t>
  </si>
  <si>
    <t>Map of Gorgona, saloon licensing 1908</t>
  </si>
  <si>
    <t>surveyed from GORGONA 1908 plan georef via ICC1911, +-400m</t>
  </si>
  <si>
    <t>Culebra Div. encampment plans (1907)</t>
  </si>
  <si>
    <t>surveyed from CULEBRACAMPS blueprint georef (K-post datum), +-200m</t>
  </si>
  <si>
    <t>surveyed from CULEBRACAMPS blueprint georef (K-post datum), +-200m | corrected 2026-09-13 to the traced bldg-21 centroid (+-200m)</t>
  </si>
  <si>
    <t>GUACHAPALI1890 (plan anchor)</t>
  </si>
  <si>
    <t>surveyed from georeferenced sheet (GUACHAPALI1890 (plan anchor)), +-200m</t>
  </si>
  <si>
    <t>CHAGRES1867 (audit read 2026-09-13)</t>
  </si>
  <si>
    <t>surveyed from georeferenced sheet (CHAGRES1867 (audit read 2026-09-13)), +-300m</t>
  </si>
  <si>
    <t>ATLANTIC1947 (AA00038126)</t>
  </si>
  <si>
    <t>surveyed from the 1947 Cristobal-Colon-Mt.Hope georef (graticule-true), ±150m</t>
  </si>
  <si>
    <t>CULEBRA1910 (audit 2026-09-13)</t>
  </si>
  <si>
    <t>surveyed from georeferenced sheet (CULEBRA1910 (audit 2026-09-13)), +-150m</t>
  </si>
  <si>
    <t>SURVEYS1908 Map No.3</t>
  </si>
  <si>
    <t>surveyed from georeferenced sheet (SURVEYS1908 Map No.3), +-200m [Pacific re-anchor 2026-09-14 applied, ~±60 m shift]</t>
  </si>
  <si>
    <t>surveyed from the 1947 georef (GORGAS HOSP. complex; graticule-true frame). Replaces the Map No.3 2nd-pass value: M3 Pacific corner shows ~550-700 m systematic offset. ±150m</t>
  </si>
  <si>
    <t>SURVEYS1908 Map No.3 (2nd pass)</t>
  </si>
  <si>
    <t>surveyed from SURVEYS1908 Map No.3 (2nd pass), Pacific-corner re-anchored 2026-09-14 to the 1947 graticule frame - frame caveat LIFTED, ±250m (label clear, enclosure faint)</t>
  </si>
  <si>
    <t>BERTONCINI1904 (pcc00019)</t>
  </si>
  <si>
    <t>surveyed from the 1904 Bertoncini plan ('Cementerio Chino' labeled enclosure; frame chained to PACIFIC1947 graticule), ±120m. Replaces the Map No.3-frame value (M3 Pacific corner ~550-700 m off - this read confirms the offset at ~620 m).</t>
  </si>
  <si>
    <t>ICC1911 (settlement harvest)</t>
  </si>
  <si>
    <t>surveyed from georeferenced sheet (ICC1911 (settlement harvest)), +-350m</t>
  </si>
  <si>
    <t>PACIFIC1947 (2026-09-14)</t>
  </si>
  <si>
    <t>re-fixed from the sheet's own lettering, +-300m (2026-09-14); was (8.978172, -79.535677), moved 1799 m</t>
  </si>
  <si>
    <t>M1947 (read 2026-09-08)</t>
  </si>
  <si>
    <t>surveyed from georeferenced sheet (M1947 (read 2026-09-08)), +-300m</t>
  </si>
  <si>
    <t>surveyed from georeferenced sheet (M1947 (read 2026-09-08)), +-400m</t>
  </si>
  <si>
    <t>GORPAN1895 sheet 3 (audit 2026-09-13)</t>
  </si>
  <si>
    <t>surveyed from georeferenced sheet (GORPAN1895 sheet 3 (audit 2026-09-13)), +-500m</t>
  </si>
  <si>
    <t>surveyed from M1947 georef, +-300m (repointed from CZ-064)</t>
  </si>
  <si>
    <t>ICC1911 (A-0495, repointed)</t>
  </si>
  <si>
    <t>surveyed from ICC1911 georef, +-250m (repointed from CZ-023)</t>
  </si>
  <si>
    <t>Map of Culebra 1910 (S-023)</t>
  </si>
  <si>
    <t>surveyed from CULEBRA1910 georef (audit read), +-150m</t>
  </si>
  <si>
    <t>PACIFIC1947 (harvest 2026-09-14)</t>
  </si>
  <si>
    <t>surveyed from PACIFIC1947 georef (graticule-true sheet; letters+club-house spread), +-200m</t>
  </si>
  <si>
    <t>PRR1857 (harvest 2026-09-14)</t>
  </si>
  <si>
    <t>surveyed from PRR1857 georef (Totten isthmus map; interior region), +-800m</t>
  </si>
  <si>
    <t>surveyed from PRR1857 georef (Totten isthmus map), +-500m per region</t>
  </si>
  <si>
    <t>surveyed from PRR1857 georef (Totten isthmus map), +-800m per region</t>
  </si>
  <si>
    <t>BERTONCINI1904 (sweep 2026-09-14)</t>
  </si>
  <si>
    <t>surveyed from BERTONCINI1904 georef, +-150m</t>
  </si>
  <si>
    <t>PRRLANDS1857 (re-fixed 2026-09-14)</t>
  </si>
  <si>
    <t>re-fixed from the sheet's own lettering, +-150m (2026-09-14); was (8.955300, -79.547800), moved 639 m</t>
  </si>
  <si>
    <t>re-fixed from the sheet's own lettering, +-150m (2026-09-14); was (8.956000, -79.545000), moved 455 m</t>
  </si>
  <si>
    <t>PRRLANDS1857 + BERTONCINI1904 (re-fixed 2026-09-14)</t>
  </si>
  <si>
    <t>re-fixed from the sheet's own lettering, +-120m (2026-09-14); was (8.957500, -79.549500), moved 731 m</t>
  </si>
  <si>
    <t>re-fixed from the sheet's own lettering, +-150m (2026-09-14); was (8.955500, -79.545500), moved 578 m</t>
  </si>
  <si>
    <t>PRRLANDS1857 (sweep 2026-09-14)</t>
  </si>
  <si>
    <t>surveyed from PRRLANDS1857 georef, +-150m</t>
  </si>
  <si>
    <t>surveyed from georeferenced sheet (PACIFIC1947 (pcc00008)), ±100m</t>
  </si>
  <si>
    <t>CULEBRA1910 label pass 2 (2026-09-14)</t>
  </si>
  <si>
    <t>surveyed from georeferenced sheet (CULEBRA1910 label pass 2 (2026-09-14)), ±250m</t>
  </si>
  <si>
    <t>SURVEYS1908 Map No.3 (Pacific re-anchored frame)</t>
  </si>
  <si>
    <t>surveyed from georeferenced sheet (SURVEYS1908 Map No.3 (Pacific re-anchored frame)), ±300m</t>
  </si>
  <si>
    <t>ICC1911 (harvest read)</t>
  </si>
  <si>
    <t>surveyed from georeferenced sheet (ICC1911 (harvest read)), ±400m</t>
  </si>
  <si>
    <t>surveyed from georeferenced sheet (PRR1857 (pcc00004)), ±800m</t>
  </si>
  <si>
    <t>surveyed from the 1947 Cristobal-Colon-Mt.Hope georef (graticule-true), ±200m</t>
  </si>
  <si>
    <t>FDL1000 (naId 5838610, dwg 6056-5, 1:1,000)</t>
  </si>
  <si>
    <t>fort built-cluster center from the dedicated 1:1,000 Section of Surveys reservation plan (compass + graphical-scale fit anchored on the Washington Hotel; pool cross-check 19 m, battery arc vs CENSUS1940_COLON 17 m; +-20-40 m). Supersedes the 2026-09-16 label-midpoint fix.</t>
  </si>
  <si>
    <t>PK interpolation, 1886 Plan General (S-051)</t>
  </si>
  <si>
    <t>interpolated along canal kilometrage at PK ~16 between Tiger Hill and Bohio, +-2000m; approximate (canal meanders; perpendicular offset unknown) [2026-09-14]</t>
  </si>
  <si>
    <t>interpolated along canal kilometrage at PK ~30 between Frijoles and Tabernilla, +-1500m; approximate (canal meanders; perpendicular offset unknown) [2026-09-14]</t>
  </si>
  <si>
    <t>interpolated along canal kilometrage at PK ~31 between Frijoles and Tabernilla, +-1500m; approximate (canal meanders; perpendicular offset unknown) [2026-09-14]</t>
  </si>
  <si>
    <t>interpolated along canal kilometrage at PK ~34.5 between Tabernilla and San Pablo, +-1200m; approximate (canal meanders; perpendicular offset unknown) [2026-09-14]</t>
  </si>
  <si>
    <t>interpolated along canal kilometrage at PK ~33 between Tabernilla (adjacent), +-1500m; approximate (canal meanders; perpendicular offset unknown) [2026-09-14]</t>
  </si>
  <si>
    <t>CENSUS1950 office map (naId 75639631)</t>
  </si>
  <si>
    <t>the red ED 2-30 code mark E of Gatun, district scale +-2000m (not a settlement point)</t>
  </si>
  <si>
    <t>place_id (PK)</t>
  </si>
  <si>
    <t>preferred_name</t>
  </si>
  <si>
    <t>variant_names</t>
  </si>
  <si>
    <t>place_type</t>
  </si>
  <si>
    <t>erasure_type</t>
  </si>
  <si>
    <t>erasure_mechanism</t>
  </si>
  <si>
    <t>historical_theme</t>
  </si>
  <si>
    <t>population_type</t>
  </si>
  <si>
    <t>start_date</t>
  </si>
  <si>
    <t>end_date</t>
  </si>
  <si>
    <t>date_certainty</t>
  </si>
  <si>
    <t>spatial_certainty</t>
  </si>
  <si>
    <t>render_as (auto)</t>
  </si>
  <si>
    <t>uncertainty_radius_m</t>
  </si>
  <si>
    <t>archival_traces (auto)</t>
  </si>
  <si>
    <t>n_map (auto)</t>
  </si>
  <si>
    <t>n_image (auto)</t>
  </si>
  <si>
    <t>n_textual (auto)</t>
  </si>
  <si>
    <t>n_geom (auto)</t>
  </si>
  <si>
    <t>archival_visibility (auto)</t>
  </si>
  <si>
    <t>has_surveyed_coord (auto)</t>
  </si>
  <si>
    <t>shortlist_status</t>
  </si>
  <si>
    <t>priority</t>
  </si>
  <si>
    <t>notes</t>
  </si>
  <si>
    <t>parent_id (FK)</t>
  </si>
  <si>
    <t>card_note</t>
  </si>
  <si>
    <t>CZ-001</t>
  </si>
  <si>
    <t>Matachin</t>
  </si>
  <si>
    <t>Matachin; Bas Matachin</t>
  </si>
  <si>
    <t>Station</t>
  </si>
  <si>
    <t>Submerged</t>
  </si>
  <si>
    <t>Gatun Lake flooding</t>
  </si>
  <si>
    <t>Displacement</t>
  </si>
  <si>
    <t>Panamanian village</t>
  </si>
  <si>
    <t>pre-1850?</t>
  </si>
  <si>
    <t>1911-1914</t>
  </si>
  <si>
    <t>Approximate</t>
  </si>
  <si>
    <t>Low</t>
  </si>
  <si>
    <t>Candidate</t>
  </si>
  <si>
    <t>Railroad-era Chagres town.</t>
  </si>
  <si>
    <t>Town</t>
  </si>
  <si>
    <t>CZ-002</t>
  </si>
  <si>
    <t>Barbacoas</t>
  </si>
  <si>
    <t>Village</t>
  </si>
  <si>
    <t>pre-1844</t>
  </si>
  <si>
    <t>Bridge-site history.</t>
  </si>
  <si>
    <t>CZ-003</t>
  </si>
  <si>
    <t>Cruces</t>
  </si>
  <si>
    <t>Cruces; Las Cruces; Venta Cruz</t>
  </si>
  <si>
    <t>c.1530</t>
  </si>
  <si>
    <t>High</t>
  </si>
  <si>
    <t>Colonial trail terminus.</t>
  </si>
  <si>
    <t>CZ-004</t>
  </si>
  <si>
    <t>Ahorca Lagarto</t>
  </si>
  <si>
    <t>Hamlet</t>
  </si>
  <si>
    <t>Unknown</t>
  </si>
  <si>
    <t>Medium</t>
  </si>
  <si>
    <t>Name-only test case -&gt; unlocated panel.</t>
  </si>
  <si>
    <t>CZ-005</t>
  </si>
  <si>
    <t>Caimito</t>
  </si>
  <si>
    <t>CZ-006</t>
  </si>
  <si>
    <t>Santa Cruz</t>
  </si>
  <si>
    <t>CZ-007</t>
  </si>
  <si>
    <t>Bailamonos</t>
  </si>
  <si>
    <t>CZ-008</t>
  </si>
  <si>
    <t>Cruz de Juan Gallego</t>
  </si>
  <si>
    <t>CZ-009</t>
  </si>
  <si>
    <t>Old Gatun</t>
  </si>
  <si>
    <t>Gatun (old village); De Lesseps City</t>
  </si>
  <si>
    <t>Gatun Dam construction</t>
  </si>
  <si>
    <t>Mixed</t>
  </si>
  <si>
    <t>1911-1912</t>
  </si>
  <si>
    <t>Under ~80 ft dam fill. Abandoned 1908; site submerged 1911-1912 (A-0079).</t>
  </si>
  <si>
    <t>CZ-010</t>
  </si>
  <si>
    <t>New Gatun</t>
  </si>
  <si>
    <t>New Gatun; Nuevo Gatun</t>
  </si>
  <si>
    <t>Relocated</t>
  </si>
  <si>
    <t>Railroad relocation</t>
  </si>
  <si>
    <t>1908</t>
  </si>
  <si>
    <t>Receiving town.</t>
  </si>
  <si>
    <t>CZ-011</t>
  </si>
  <si>
    <t>Empire</t>
  </si>
  <si>
    <t>Empire; Emperador; Alto Emperador</t>
  </si>
  <si>
    <t>Depopulated-not flooded</t>
  </si>
  <si>
    <t>1912 depopulation order</t>
  </si>
  <si>
    <t>Labor</t>
  </si>
  <si>
    <t>c.1880s</t>
  </si>
  <si>
    <t>1912-1916</t>
  </si>
  <si>
    <t>Keystone intentional-silence case.</t>
  </si>
  <si>
    <t>CZ-012</t>
  </si>
  <si>
    <t>Gorgona</t>
  </si>
  <si>
    <t>Gorgona; New Gorgona</t>
  </si>
  <si>
    <t>1912-1915</t>
  </si>
  <si>
    <t>Well-documented depopulation.</t>
  </si>
  <si>
    <t>CZ-013</t>
  </si>
  <si>
    <t>Culebra</t>
  </si>
  <si>
    <t>U.S. administration</t>
  </si>
  <si>
    <t>Gold Roll town</t>
  </si>
  <si>
    <t>c.1879</t>
  </si>
  <si>
    <t>Town vs engineering-site edge case. Start widened to c.1879: Verbrugghe 1879 (Gallica S-040) names the Cerro de la Culebra as a Wyse-Reclus survey point. [2026-09-14]</t>
  </si>
  <si>
    <t>CZ-014</t>
  </si>
  <si>
    <t>Bas Obispo</t>
  </si>
  <si>
    <t>Bas Obispo; Haut Obispo</t>
  </si>
  <si>
    <t>Construction camp</t>
  </si>
  <si>
    <t>pre-1857</t>
  </si>
  <si>
    <t>1911-1915</t>
  </si>
  <si>
    <t>Inferred</t>
  </si>
  <si>
    <t>Classify at archive. 'Haut Obispo' equated as French-era name variant (decision 2026-09-05); its 7 CA hits from 1883-10-28 belong here. Start widened to c.1895: the 1895 GORPAN survey (A-0589) already traces a built-up footprint at Bas Obispo (French-canal-era work site / old P.R.R. line). [2026-09-13 lifespan fix] Start widened c.1895 -&gt; c.1862? 2026-09-13: the 1862 plano names 'Estacion de Obispo' at the sheet edge (A-0895) - earliest name-at-site attestation, station name only; drawn village fabric begins with the 1895 survey. | lifespan extended to dated evidence 2026-09-14 (A-1482: 'Lower Obispo' settlement drawn on the 1857 Totten map) [was: c.1862?] | end date filled 2026-09-16 (user-approved gap fix): ceased in the construction-clearance era; erasure mechanism left Unknown - the site sat higher near Gamboa and 'drowned' is not established, so no flooding is asserted</t>
  </si>
  <si>
    <t>CZ-015</t>
  </si>
  <si>
    <t>Las Cascadas</t>
  </si>
  <si>
    <t>c.1895</t>
  </si>
  <si>
    <t>Start widened to c.1895: the 1895 GORPAN survey (A-0590) shows the Las Cascadas village row on the P.R.R. [2026-09-13 lifespan fix]</t>
  </si>
  <si>
    <t>CZ-016</t>
  </si>
  <si>
    <t>Bohio</t>
  </si>
  <si>
    <t>Bohio; Bohio Soldado</t>
  </si>
  <si>
    <t>Likely flood-affected; verify. | end date filled 2026-09-16 (user-approved gap fix): drowned by Gatun Lake when it filled 1913-14; end matched to the submerged cohort (Matachin/Old Gatun/Frijoles)</t>
  </si>
  <si>
    <t>CZ-101</t>
  </si>
  <si>
    <t>Empire Hospital</t>
  </si>
  <si>
    <t>Hospital</t>
  </si>
  <si>
    <t>1906</t>
  </si>
  <si>
    <t>1916</t>
  </si>
  <si>
    <t>ICC hospital. | 2026-09-14: A-0041 retracted - the hospital has NO cartographic attestation on any sheet in hand; text-only place (Canal Record 1907). Placeholder coordinate and missing footprint are the honest record.</t>
  </si>
  <si>
    <t>Site/Institution</t>
  </si>
  <si>
    <t>CZ-102</t>
  </si>
  <si>
    <t>Empire Commissary</t>
  </si>
  <si>
    <t>Commissary/Supermarket</t>
  </si>
  <si>
    <t>ICC commissary / store. Building outline traced 2026-09-13 from the source sheet into data/footprints.geojson (building-outline pass).</t>
  </si>
  <si>
    <t>CZ-103</t>
  </si>
  <si>
    <t>Empire Clubhouse &amp; Cinema</t>
  </si>
  <si>
    <t>Cinema/Clubhouse</t>
  </si>
  <si>
    <t>1907</t>
  </si>
  <si>
    <t>Duplicate</t>
  </si>
  <si>
    <t>Gold-roll amenity. | MERGED into CZ-125 2026-09-14: the Canal Record 'Clubhouse' and the plan's Y.M.C.A. are the same institution (ICC clubhouses were YMCA-operated; full-sheet sweep found no separate Clubhouse label). Row kept for id stability - do not use.</t>
  </si>
  <si>
    <t>Building</t>
  </si>
  <si>
    <t>CZ-104</t>
  </si>
  <si>
    <t>Empire Silver Quarters</t>
  </si>
  <si>
    <t>Quarters/Housing</t>
  </si>
  <si>
    <t>West Indian / Silver Roll</t>
  </si>
  <si>
    <t>1905</t>
  </si>
  <si>
    <t>Silver-roll housing; thinly mapped.</t>
  </si>
  <si>
    <t>Neighborhood</t>
  </si>
  <si>
    <t>CZ-105</t>
  </si>
  <si>
    <t>Empire Gold Quarters</t>
  </si>
  <si>
    <t>Gold-roll housing.</t>
  </si>
  <si>
    <t>CZ-106</t>
  </si>
  <si>
    <t>Empire Plaza</t>
  </si>
  <si>
    <t>Park/Plaza</t>
  </si>
  <si>
    <t>Other</t>
  </si>
  <si>
    <t>1885</t>
  </si>
  <si>
    <t>Central open space, inferred from a 'Band Stand' label read on the MIRRORED EMPIRE warp; the corrected warp reads 'Grand Stand' at the ballpark. MERGED into CZ-120 2026-09-13; the traced grandstand outline is attached to CZ-120. Row kept for id stability - do not use.</t>
  </si>
  <si>
    <t>CZ-201</t>
  </si>
  <si>
    <t>Nuevo Emperador (present-day)</t>
  </si>
  <si>
    <t>Emperador</t>
  </si>
  <si>
    <t>Modern town</t>
  </si>
  <si>
    <t>Persists</t>
  </si>
  <si>
    <t>pre-1994?</t>
  </si>
  <si>
    <t>Present-day settlement; illustrative. | ERASED 2026-09-14: unverified illustrative example removed from the model - not a duplicate; the export's Duplicate skip is reused for row-position stability. The palimpsest now rests on the verified extant places only. Do not use. | RESTORED 2026-09-14 as honest UNLOCATED extant: the town exists - existence attested by 1990s AP datelines 'NUEVO EMPERADOR, Panama' (dLOC) - but the old record's coordinate and founding were invented, so both are withdrawn [start was: 1955]. Coordinates enter only from a citable present-day source.</t>
  </si>
  <si>
    <t>Present-day town. 1990s newspaper datelines confirm it exists, but no citable source yet gives its location or founding date.</t>
  </si>
  <si>
    <t>CZ-202</t>
  </si>
  <si>
    <t>Modern roadway segment</t>
  </si>
  <si>
    <t>Modern infrastructure</t>
  </si>
  <si>
    <t>Infrastructure</t>
  </si>
  <si>
    <t>1950</t>
  </si>
  <si>
    <t>Present-day road; illustrative. | ERASED 2026-09-14: unverified illustrative example removed from the model - not a duplicate; the export's Duplicate skip is reused for row-position stability. The palimpsest now rests on the verified extant places only. Do not use.</t>
  </si>
  <si>
    <t>CZ-107</t>
  </si>
  <si>
    <t>Empire Church / Chapel</t>
  </si>
  <si>
    <t>Church</t>
  </si>
  <si>
    <t>Afro-Caribbean life</t>
  </si>
  <si>
    <t>West Indian chapel.</t>
  </si>
  <si>
    <t>CZ-108</t>
  </si>
  <si>
    <t>Empire Cemetery</t>
  </si>
  <si>
    <t>Cemetery</t>
  </si>
  <si>
    <t>Afro-Caribbean burial ground; rarely on official maps.</t>
  </si>
  <si>
    <t>CZ-109</t>
  </si>
  <si>
    <t>Empire School</t>
  </si>
  <si>
    <t>School</t>
  </si>
  <si>
    <t>Canal Zone school. Building outline traced 2026-09-13 from the source sheet into data/footprints.geojson (building-outline pass).</t>
  </si>
  <si>
    <t>CZ-017</t>
  </si>
  <si>
    <t>Cristobal</t>
  </si>
  <si>
    <t>c.1855</t>
  </si>
  <si>
    <t>Atlantic terminal town adjoining Colon. In official CZ post-office list (Evening Star 1906-02-16). 9,994 Chronicling America hits from 1880-01-27.</t>
  </si>
  <si>
    <t>The canal's Atlantic terminal town, next to the Panamanian city of Colón.</t>
  </si>
  <si>
    <t>CZ-018</t>
  </si>
  <si>
    <t>Ancon</t>
  </si>
  <si>
    <t>c.1880</t>
  </si>
  <si>
    <t>ICC headquarters / hospital town. 1906 post-office list. 7,063 CA hits from 1880-01-07.</t>
  </si>
  <si>
    <t>Headquarters and hospital town of the Isthmian Canal Commission, the US agency that built the canal.</t>
  </si>
  <si>
    <t>CZ-019</t>
  </si>
  <si>
    <t>Rio Grande</t>
  </si>
  <si>
    <t>1912</t>
  </si>
  <si>
    <t>Commissary settlement abandoned 1912 as canal advanced (Der Seebote 1913-05-18). Absent from prior gazetteer; 2,727 CA hits. CAUTION: also a river name. | lifespan extended to dated evidence 2026-09-14 (A-1487: Rio Grande Station lettering on the 1857 Totten map) [was: c.1880?]</t>
  </si>
  <si>
    <t>CZ-020</t>
  </si>
  <si>
    <t>Pedro Miguel</t>
  </si>
  <si>
    <t>Lock town. 1906 post-office list; 1897 lock-plan article. 2,311 CA hits. | RULING 2026-09-13: split old/new - CZ-172 'Pedro Miguel (as-built)' now carries the 1911 property-block town; this id keeps the old (PRR-era) village.</t>
  </si>
  <si>
    <t>Village on the Panama Railroad line, later a lock town. The town laid out on the 1911 property map is recorded as a separate place.</t>
  </si>
  <si>
    <t>CZ-021</t>
  </si>
  <si>
    <t>La Boca</t>
  </si>
  <si>
    <t>Pacific terminal / silver town; renamed and absorbed into Balboa c.1909. 1906 post-office list; 1887 French works table. 2,173 CA hits. [2026-09-12 RULING: 1947 'La Boca' = same place resumed; end date reopened - name suppressed on official maps c.1908-1940s while site labeled Balboa, community persisted.]</t>
  </si>
  <si>
    <t>CZ-022</t>
  </si>
  <si>
    <t>Corozal</t>
  </si>
  <si>
    <t>1906 post-office list; 1887 French works table (OCR 'Corvzal'). 768 CA hits.</t>
  </si>
  <si>
    <t>CZ-023</t>
  </si>
  <si>
    <t>Frijoles</t>
  </si>
  <si>
    <t>PRR station; old site flooded by Gatun Lake, station relocated. 1882 French brigade list; 1906 post offices. CAUTION: also a river name. 370 CA hits. | RULING 2026-09-13: split old/new - CZ-173 'New Frijoles' now carries the relocated-line station (c.1909-, persists); this id keeps the drowned PRR village, lifespan c.1855-1911/14 stands. The 1940 census read moved with the split - the lifespan DATA HEALTH flag is thereby resolved.</t>
  </si>
  <si>
    <t>CZ-024</t>
  </si>
  <si>
    <t>Paraiso</t>
  </si>
  <si>
    <t>1906 post-office list; 1887 French excavation table. 213 CA hits (more under French-era coverage). Start widened to c.1879: Verbrugghe 1879 (Gallica S-040) observes basaltic hills "a Paraiso". [2026-09-14] | lifespan extended to dated evidence 2026-09-14 (A-1485: 'Paraison' Station drawn on the 1857 Totten map) [was: c.1879]</t>
  </si>
  <si>
    <t>CZ-025</t>
  </si>
  <si>
    <t>San Pablo</t>
  </si>
  <si>
    <t>PRR station on the Chagres. 1882 brigade list; 1887 works table; 1906 post offices; flooded by Gatun Lake. 145 CA hits.</t>
  </si>
  <si>
    <t>CZ-026</t>
  </si>
  <si>
    <t>Tabernilla</t>
  </si>
  <si>
    <t>Tabernilla; Tavernilla</t>
  </si>
  <si>
    <t>c.1913</t>
  </si>
  <si>
    <t>Disputed</t>
  </si>
  <si>
    <t>PRR station; commissary closed 1911 when Gatun Lake began filling (Der Seebote 1913-05-18). 1906 post offices; 'Tavernilla' from 1884. 106+61 CA hits. | lifespan extended 2026-09-14 La Estrella prints Tabernilla to 1913 [end was: 1911]</t>
  </si>
  <si>
    <t>CZ-027</t>
  </si>
  <si>
    <t>Gamboa</t>
  </si>
  <si>
    <t>c.1882</t>
  </si>
  <si>
    <t>Chagres-crossing town, later dredging division HQ. 1882 French brigade list. 2,413 CA hits.</t>
  </si>
  <si>
    <t>Town where the railroad crossed the Chagres River; later headquarters of the canal's dredging division.</t>
  </si>
  <si>
    <t>CZ-028</t>
  </si>
  <si>
    <t>Miraflores</t>
  </si>
  <si>
    <t>c.1906-1909?</t>
  </si>
  <si>
    <t>Old village displaced by Miraflores Locks works. 1897 lock-plan article; 1907 ICC dump list. 1,470 CA hits. | RESOLVED 2026-09-13: founding date stands. KWIC showed the 1897 press line ('one lock at Miraflores...') and the 1895 French drawing attest the LOCK SITE/toponym, not a settlement; toponym in press from Jan 1881 (French launch). No settlement evidenced before the US era: 1905-06 survey searched-absent, then 1907 spoil dumps, 1909 town dot, 1911 camp blocks. start was 'c.1855?' (PRR-era village claim - no support found, withdrawn). | RULING 2026-09-14 (conflict half, delegated): the A-0879 1905-06 searched-absence vs 1909 town dot is RESOLVED as corroboration of the US-era founding - absence-then-presence brackets the start; 'c.1906-1909?' stands (1907 mentions are works, not clearly settlement - no sharpening). Both questions on this place now closed.</t>
  </si>
  <si>
    <t>CZ-029</t>
  </si>
  <si>
    <t>Cucaracha</t>
  </si>
  <si>
    <t>c.1883?</t>
  </si>
  <si>
    <t>c.1914</t>
  </si>
  <si>
    <t>Settlement at Culebra Cut, namesake of the Cucaracha slide. 974 CA hits from 1883-05-11; individual pages not yet verified. | lifespan extended 2026-09-14 La Estrella prints Cucaracha to 1914 - the slide year kept the name alive in the Panamanian press [end was: c.1913?]</t>
  </si>
  <si>
    <t>CZ-030</t>
  </si>
  <si>
    <t>Mindi</t>
  </si>
  <si>
    <t>PRR station near Atlantic end. 557 CA hits from 1880-02-03. CAUTION: also a diverted-stream name (1906 table). | INVESTIGATED 2026-09-13: 1911 property map and 1905-06 survey agree within ~200 m; the 1909 label (~2.2 km SSE) is the dissenting claim and stands as a plotted candidate. No coordinate change.</t>
  </si>
  <si>
    <t>CZ-031</t>
  </si>
  <si>
    <t>Buena Vista</t>
  </si>
  <si>
    <t>PRR station near Gatun, in the flooded reach. 359 CA hits from 1903-03-16; generic name, verify hits individually. SPLIT 2026-09-13: the Pacific-side camp claims (A-0503/A-0540/A-0609 + the CULEBRACAMPS footprint) moved to CZ-155 - this row is the Atlantic old-line station/village only. Text mentions (Canal Record, newspapers, Smithsonian) are generic-name hits kept here; verify individually if either place's paper trail matters. | 2026-09-13: CZ-074 Isla Vista merged in as a probable 1862 label artifact (its single read already sat here; Canal Record: 0 pages).</t>
  </si>
  <si>
    <t>CZ-032</t>
  </si>
  <si>
    <t>Lion Hill</t>
  </si>
  <si>
    <t>PRR station flooded by Gatun Lake. 256 CA hits from 1880-02-07.</t>
  </si>
  <si>
    <t>CZ-033</t>
  </si>
  <si>
    <t>Tiger Hill</t>
  </si>
  <si>
    <t>PRR station flooded by Gatun Lake. 175 CA hits from 1882-01-06.</t>
  </si>
  <si>
    <t>CZ-034</t>
  </si>
  <si>
    <t>Mamei</t>
  </si>
  <si>
    <t>PRR station / ICC dump site (1907 list, verified). 141 CA hits from 1880-02-15.</t>
  </si>
  <si>
    <t>CZ-035</t>
  </si>
  <si>
    <t>Camp Elliott</t>
  </si>
  <si>
    <t>Military base</t>
  </si>
  <si>
    <t>c.1904</t>
  </si>
  <si>
    <t>U.S. Marine camp near Bas Obispo (cf. 1913 Seebote: Bas Obispo commissary closed for being too near the Marine camp). 209 CA hits from 1903-12-26.</t>
  </si>
  <si>
    <t>CZ-036</t>
  </si>
  <si>
    <t>Monte Lirio</t>
  </si>
  <si>
    <t>c.1909</t>
  </si>
  <si>
    <t>Town on the relocated PRR line. 23 CA hits from 1910-11-29.</t>
  </si>
  <si>
    <t>CZ-037</t>
  </si>
  <si>
    <t>Toro Point</t>
  </si>
  <si>
    <t>c.1907</t>
  </si>
  <si>
    <t>Breakwater works / later Fort Sherman site, Atlantic entrance. 289 CA hits; records not yet harvested.</t>
  </si>
  <si>
    <t>CZ-039</t>
  </si>
  <si>
    <t>Balboa</t>
  </si>
  <si>
    <t>Pacific terminal town, successor of La Boca (renamed c.1909); still exists. 1,881 CA hits from 1904-01-15.</t>
  </si>
  <si>
    <t>The canal's Pacific terminal town. It succeeded La Boca, renamed Balboa around 1909.</t>
  </si>
  <si>
    <t>CZ-040</t>
  </si>
  <si>
    <t>Mount Hope</t>
  </si>
  <si>
    <t>Mount Hope; Monkey Hill</t>
  </si>
  <si>
    <t>Atlantic-side storage/cemetery town near Cristobal (Monkey Hill until 1905). 1,867 CA hits from 1880-01-15.</t>
  </si>
  <si>
    <t>Storage and cemetery town near Cristóbal on the Atlantic side, called Monkey Hill until 1905.</t>
  </si>
  <si>
    <t>CZ-041</t>
  </si>
  <si>
    <t>Taboga</t>
  </si>
  <si>
    <t>Island town in Panama Bay; French-era sanatorium. Outside the Zone. 972 CA hits from 1882-09-11. | 2026-09-14: start pre-1850? -&gt; pre-1844 (2026-09-14): I. Taboga drawn with village marks on the 1844 Garella carte.</t>
  </si>
  <si>
    <t>Island town in the Bay of Panama, outside the Canal Zone; a sanatorium during the French canal period.</t>
  </si>
  <si>
    <t>CZ-042</t>
  </si>
  <si>
    <t>Porto Bello</t>
  </si>
  <si>
    <t>Porto Bello; Portobelo</t>
  </si>
  <si>
    <t>Colonial port outside the Zone; ICC quarry town during construction. 828 CA hits from 1880-04-15. Verified 1912 mention (rainfall record).</t>
  </si>
  <si>
    <t>Spanish colonial port outside the Canal Zone; a quarry town during canal construction.</t>
  </si>
  <si>
    <t>CZ-043</t>
  </si>
  <si>
    <t>Alhajuela</t>
  </si>
  <si>
    <t>c.1897?</t>
  </si>
  <si>
    <t>Proposed Chagres dam site upstream of the Zone (1897 plan, verified); flooded by Lake Alajuela 1935 (outside 1880-1920 window). 121 CA hits.</t>
  </si>
  <si>
    <t>CZ-044</t>
  </si>
  <si>
    <t>Juan Grande</t>
  </si>
  <si>
    <t>Name-only candidate: primarily a Chagres tributary (1906 diversion table, verified). Settlement existence unconfirmed. 48 CA hits.</t>
  </si>
  <si>
    <t>CZ-045</t>
  </si>
  <si>
    <t>Gatuncillo</t>
  </si>
  <si>
    <t>Name-only candidate: primarily a river (1884 German report, verified). Settlement existence unconfirmed. 25 CA hits. | EXEMPLARY UNLOCATED 2026-09-14: survives in text, appears on no map across 17 archives + 5 text corpora. Kept in the unlocated panel as the dissertation's showcase of honest not-knowing - not to be chased further; NARA RG 185 paper (PI-91) is the only remaining route and is deliberately declined.</t>
  </si>
  <si>
    <t>CZ-046</t>
  </si>
  <si>
    <t>Balboa Heights</t>
  </si>
  <si>
    <t>Canal administration headquarters from 1914. 2,725 Canal Record pages.</t>
  </si>
  <si>
    <t>Headquarters of the canal administration from 1914.</t>
  </si>
  <si>
    <t>CZ-047</t>
  </si>
  <si>
    <t>Chagres</t>
  </si>
  <si>
    <t>c.1916</t>
  </si>
  <si>
    <t>Historic village at the Chagres mouth (San Lorenzo). Canal Record Vol. IX (1915-16): 'To Remove the Village of Chagres... arrangements for the removal of the town.' 1,102 CR pages (river-name ambiguity). | 2026-09-14: start pre-1850? -&gt; pre-1844 (2026-09-14): CHAGRES village on the 1844 Garella carte.</t>
  </si>
  <si>
    <t>CZ-048</t>
  </si>
  <si>
    <t>Palo Seco</t>
  </si>
  <si>
    <t>Palo Seco Leper Colony</t>
  </si>
  <si>
    <t>Leper-colony settlement on the Pacific shore; community life documented ('Fireworks for Palo Seco', Vol. I). 103 CR pages. | 2026-09-13: 1940 census ED map attests it as 'Palo Seco Leper Colony', its own enumeration district (ED 1-6) - see A-1188.</t>
  </si>
  <si>
    <t>Leprosy colony on the Pacific shore, with its own community life; counted as a separate census district in 1940.</t>
  </si>
  <si>
    <t>CZ-049</t>
  </si>
  <si>
    <t>Darien</t>
  </si>
  <si>
    <t>c.1912</t>
  </si>
  <si>
    <t>Station on the relocated PRR line. 369 CR pages (Darien region ambiguity).</t>
  </si>
  <si>
    <t>CZ-050</t>
  </si>
  <si>
    <t>Summit</t>
  </si>
  <si>
    <t>Summit; New Culebra</t>
  </si>
  <si>
    <t>Relocated-line station; Canal Record: "New Culebra Named 'Summit'" - the renaming itself is documented. 128+49 CR pages. | lifespan extended 2026-09-14 Moses v00084: Cut spoil 'dumped in Summit' in 1904 [start was: c.1912]</t>
  </si>
  <si>
    <t>Station on the relocated railroad line. The Canal Record reported the renaming of New Culebra as Summit.</t>
  </si>
  <si>
    <t>CZ-051</t>
  </si>
  <si>
    <t>Red Tank</t>
  </si>
  <si>
    <t>c.1915</t>
  </si>
  <si>
    <t>Silver (West Indian) town near Pedro Miguel; commissary opened as branch of Pedro Miguel store (Vol. IX). 43 CR pages.</t>
  </si>
  <si>
    <t>CZ-052</t>
  </si>
  <si>
    <t>Camacho</t>
  </si>
  <si>
    <t>Central-division settlement/district listed between Culebra and Empire in district tables. 229 CR pages.</t>
  </si>
  <si>
    <t>CZ-053</t>
  </si>
  <si>
    <t>Naos Island</t>
  </si>
  <si>
    <t>by 1905-06</t>
  </si>
  <si>
    <t>Breakwater labor settlement served by La Boca labor trains; quarantine station. 127 CR pages. | 2026-09-14: start c.1907 -&gt; by 1905-06 (2026-09-14): NAOS I. with buildings on the 1905-06 Map No.3.</t>
  </si>
  <si>
    <t>CZ-054</t>
  </si>
  <si>
    <t>El Vigia</t>
  </si>
  <si>
    <t>Hydrographic/rain-gauge station on the Chagres; settlement status unconfirmed. 70 CR pages.</t>
  </si>
  <si>
    <t>CZ-055</t>
  </si>
  <si>
    <t>Diablo</t>
  </si>
  <si>
    <t>Diablo; Diablo Heights</t>
  </si>
  <si>
    <t>1913-1914</t>
  </si>
  <si>
    <t>Canal Record Vol. VII: 'Diablo Demolished. All of the buildings at Diablo...' Later rebuilt as Diablo Heights. 97 CR pages. 'Diablo Heights' (1940s American townsite on the site) equated as name variant 2026-09-07; post-1914 Diablo Heights mentions are toponym afterlife of the demolished village. Start widened c.1907 -&gt; by 1905-06 2026-09-13: Camp Diablo is drawn on the 1905-06 survey at the identified position (A-0860). | 2026-09-14: split old/new - CZ-182 'Diablo Heights' carries the 1940s successor townsite (1939-40 Canal Record + both 1947 sheets, repointed); this id keeps the old village/camp, lifespan by 1905-06 - 1913/14 stands.</t>
  </si>
  <si>
    <t>CZ-056</t>
  </si>
  <si>
    <t>Agua Clara</t>
  </si>
  <si>
    <t>1910-1913</t>
  </si>
  <si>
    <t>Canal Record Vol. III-IV flood reports: 'in Agua Clara, the whole village excepting two houses, are exposed.' Not previously in gazetteer. 36 CR pages. | EXEMPLARY UNLOCATED 2026-09-14: survives in text, appears on no map across 17 archives + 5 text corpora. Kept in the unlocated panel as the dissertation's showcase of honest not-knowing - not to be chased further; NARA RG 185 paper (PI-91) is the only remaining route and is deliberately declined.</t>
  </si>
  <si>
    <t>CZ-057</t>
  </si>
  <si>
    <t>Juan Mina</t>
  </si>
  <si>
    <t>Chagres village above Gamboa: 'the territory along the Chagres... including the village of Juan Mina' (Vol. VII property-map/depopulation context). Also a hydrographic station. 152 CR pages.</t>
  </si>
  <si>
    <t>CZ-058</t>
  </si>
  <si>
    <t>Enterprise</t>
  </si>
  <si>
    <t>Appears in French/early settlement lists beside San Pablo and Caimito Mulato (Vol. I). 60 CR pages.</t>
  </si>
  <si>
    <t>CZ-059</t>
  </si>
  <si>
    <t>Whitehouse</t>
  </si>
  <si>
    <t>White House; Casa Blanca</t>
  </si>
  <si>
    <t>c.1888</t>
  </si>
  <si>
    <t>French-era settlement near the Rio Camacho diversion (PI-91 Casa Blanca = Whitehouse; 15 Canal Record pages). MERGED 2026-09-09: 1907 encampment-plan camp at axis Sta 1600 (map 6, two quarters clusters) = same place; blueprint coordinate adopted, ICC1909 claim kept as attestation.</t>
  </si>
  <si>
    <t>CZ-060</t>
  </si>
  <si>
    <t>Vamos Vamos</t>
  </si>
  <si>
    <t>Chagres-side hamlet, K.21.6 area; on French sectional maps (PI-91 1:J1(c)) and diversion plans. 2 Canal Record pages. In the flooded reach. Start widened pre-1899 -&gt; c.1862 2026-09-13: the 1862 plano draws the village itself (A-0891 first fix, village marks on the Chagres).</t>
  </si>
  <si>
    <t>CZ-061</t>
  </si>
  <si>
    <t>Pena Blanca</t>
  </si>
  <si>
    <t>Pena Blanca; Peña Blanca</t>
  </si>
  <si>
    <t>c.1862</t>
  </si>
  <si>
    <t>French lock No. 1 site (1888) and Chagres diversion point, K.22.9; in the flooded reach. PI-91 refs across entries 2 and 16. 2 Canal Record pages. Start concretized from 'pre-1884' to c.1862: the 1862 Chagres cadastral tract label (A-0584, S-028) is the earliest documented use of the name at this site. [2026-09-13 lifespan fix]</t>
  </si>
  <si>
    <t>CZ-062</t>
  </si>
  <si>
    <t>Cartagenita</t>
  </si>
  <si>
    <t>Cartagena</t>
  </si>
  <si>
    <t>Pacific-side hamlet on French detailed plans (PI-91 2:F/231, F/338; 7 Canal Record pages). MERGED 2026-09-09: 1907 encampment-plan CARTAGENA hamlet at axis Sta 1890 (map 18, Rio Cartagenita valley) = same place; blueprint coordinate adopted, ICC1909 claim kept as attestation.</t>
  </si>
  <si>
    <t>CZ-063</t>
  </si>
  <si>
    <t>Palo Grande</t>
  </si>
  <si>
    <t>Upper-Chagres river settlement on French sectional maps (PI-91 1:J1(m,n)). 2 Canal Record pages.</t>
  </si>
  <si>
    <t>CZ-064</t>
  </si>
  <si>
    <t>Cocoli</t>
  </si>
  <si>
    <t>c.1881</t>
  </si>
  <si>
    <t>Pacific-side settlement on the Rio Cocoli (PI-91 2:F/306, 3:10); later a townsite. 107 Canal Record pages. | RULING 2026-09-13: split - this id keeps the OLD Cocoli village (incl. the 1911 property-map claim); the 1947 townsite read moved to CZ-171.</t>
  </si>
  <si>
    <t>Old village on the Cocolí River. The later US townsite of the same name is recorded as a separate place.</t>
  </si>
  <si>
    <t>CZ-065</t>
  </si>
  <si>
    <t>Margarita</t>
  </si>
  <si>
    <t>c.1917</t>
  </si>
  <si>
    <t>Atlantic-side Third Locks town, twin of Cocoli: 'quarters and other facilities in the new locks towns of Margarita and Cocoli' (Gov. Ann. Rep. 1941, IA). 1951 report pairs it with Paraiso as existing townsites. Added 2026-09-07. | lifespan extended to dated evidence 2026-09-13 [was: c.1940]</t>
  </si>
  <si>
    <t>Atlantic-side town of the Third Locks project (an unfinished 1940s plan to add a third set of locks), twin of Cocolí on the Pacific side.</t>
  </si>
  <si>
    <t>CZ-066</t>
  </si>
  <si>
    <t>Coco Solo</t>
  </si>
  <si>
    <t>c.1918</t>
  </si>
  <si>
    <t>Submarine base + town, Atlantic side (184 IA texts; ECU oral histories). N.A.S. Coco Solo; hospital; transferred to Panama 1999, now part of Colon port area. Added 2026-09-07.</t>
  </si>
  <si>
    <t>US Navy submarine base and town on the Atlantic side. Transferred to Panama in 1999; now part of the port of Colón.</t>
  </si>
  <si>
    <t>CZ-067</t>
  </si>
  <si>
    <t>Fort Clayton</t>
  </si>
  <si>
    <t>c.1919</t>
  </si>
  <si>
    <t>US Army post, Pacific side. Handed to Panama 1999; now Ciudad del Saber (City of Knowledge). Added 2026-09-07 (military-post class; Camp Elliott precedent).</t>
  </si>
  <si>
    <t>US Army post on the Pacific side. Transferred to Panama in 1999; now the City of Knowledge (Ciudad del Saber).</t>
  </si>
  <si>
    <t>CZ-068</t>
  </si>
  <si>
    <t>Fort Davis</t>
  </si>
  <si>
    <t>US Army post 'between Gatun and Cristobal' with its own PRR station (Gov. Ann. Rep. 1919, IA). Handed to Panama 1999. Added 2026-09-07.</t>
  </si>
  <si>
    <t>US Army post between Gatún and Cristóbal, with its own railroad station. Transferred to Panama in 1999.</t>
  </si>
  <si>
    <t>CZ-069</t>
  </si>
  <si>
    <t>Fort Sherman</t>
  </si>
  <si>
    <t>US Army coast-artillery post at Toro Point, Atlantic entrance. Jungle warfare school; handed to Panama 1999. Added 2026-09-07.</t>
  </si>
  <si>
    <t>US Army coastal artillery post at the canal's Atlantic entrance, later a jungle warfare school. Transferred to Panama in 1999.</t>
  </si>
  <si>
    <t>CZ-070</t>
  </si>
  <si>
    <t>Fort Amador</t>
  </si>
  <si>
    <t>US Army post at Pacific entrance causeway (earlier Fort Grant complex). Handed to Panama 1999; now Amador Causeway leisure area. Added 2026-09-07.</t>
  </si>
  <si>
    <t>US Army post at the canal's Pacific entrance. Transferred to Panama in 1999; now the Amador Causeway leisure area.</t>
  </si>
  <si>
    <t>CZ-071</t>
  </si>
  <si>
    <t>Albrook Field</t>
  </si>
  <si>
    <t>c.1928</t>
  </si>
  <si>
    <t>US Army Air Corps field beside Balboa (Gov. Ann. Rep. 1935, IA). Handed to Panama 1999; now Marcos A. Gelabert airport. Added 2026-09-07. | lifespan extended to dated evidence 2026-09-13 [was: c.1932]</t>
  </si>
  <si>
    <t>US Army Air Corps airfield beside Balboa. Transferred to Panama in 1999; now Marcos A. Gelabert Airport.</t>
  </si>
  <si>
    <t>CZ-072</t>
  </si>
  <si>
    <t>Quarry Heights</t>
  </si>
  <si>
    <t>c.1909?</t>
  </si>
  <si>
    <t>US military HQ on Ancon Hill slopes (Department/SOUTHCOM command). Handed to Panama 1999. Added 2026-09-07. | lifespan extended 2026-09-14 Butcher v00025: the quarry shipping La Boca fill 1909-12; the c.1916 date is the Army post on the same heights [start was: c.1916]</t>
  </si>
  <si>
    <t>US military headquarters on the slopes of Ancón Hill, on the site of an earlier quarry. Transferred to Panama in 1999.</t>
  </si>
  <si>
    <t>CZ-073</t>
  </si>
  <si>
    <t>Barro Colorado Island</t>
  </si>
  <si>
    <t>Barro Colorado</t>
  </si>
  <si>
    <t>Landscape feature</t>
  </si>
  <si>
    <t>Flooding (Gatun Lake)</t>
  </si>
  <si>
    <t>Hilltop turned island by the Gatun Lake flooding (1913-14); biological reserve 1923, STRI station. Flood-created feature, not an erased town; included 2026-09-07. pop_type blank: uninhabited research reserve. | 2026-09-14: the 1857 'Barro Colorado Abajo' village read moved to CZ-183; this id keeps the island (c.1914-). Name ancestry runs village -&gt; hill -&gt; island (R-18).</t>
  </si>
  <si>
    <t>A hilltop that became an island when Gatún Lake was flooded in 1913–14; a biological reserve since 1923. The 1857 village of Barro Colorado Abajo is recorded as a separate place.</t>
  </si>
  <si>
    <t>CZ-074</t>
  </si>
  <si>
    <t>Isla Vista</t>
  </si>
  <si>
    <t>El Pueblo Isla Vista</t>
  </si>
  <si>
    <t>pre-1862</t>
  </si>
  <si>
    <t>before 1905?</t>
  </si>
  <si>
    <t>Pueblo on the Chagres below Bohio, drawn on the 1862 PRR land-claims plano; absent from every later map consulted. | MERGED into CZ-031 2026-09-13: probable reading artifact - the 1862 'El Pueblo de [..]ista Vista' label; appears on no later map; 0 Canal Record pages. Row kept for id stability - do not use.</t>
  </si>
  <si>
    <t>CZ-075</t>
  </si>
  <si>
    <t>Haut Obispo</t>
  </si>
  <si>
    <t>Haut Obispo; Alto Obispo</t>
  </si>
  <si>
    <t>c.1912-1914</t>
  </si>
  <si>
    <t>Hamlet NE of Bas Obispo; 1895 French sheet and 1907 Culebra Division encampment plans. | lifespan extended to dated evidence 2026-09-13 [was: pre-1895; 1883 ChronAm read]</t>
  </si>
  <si>
    <t>CZ-076</t>
  </si>
  <si>
    <t>Alto Emperador</t>
  </si>
  <si>
    <t>pre-1895</t>
  </si>
  <si>
    <t>c.1912?</t>
  </si>
  <si>
    <t>District SE of Emperador on the 1895 French sheet.</t>
  </si>
  <si>
    <t>CZ-077</t>
  </si>
  <si>
    <t>Corosita</t>
  </si>
  <si>
    <t>Camp Corosita</t>
  </si>
  <si>
    <t>c.1905</t>
  </si>
  <si>
    <t>ICC construction camp near the Obispo River; sheet 2 of the 1907 Culebra Division encampment plans.</t>
  </si>
  <si>
    <t>CZ-078</t>
  </si>
  <si>
    <t>Cunette</t>
  </si>
  <si>
    <t>Cunette camp</t>
  </si>
  <si>
    <t>ICC camp for cunette excavation crews; sheets 7-8 (N+S ends) of the 1907 encampment plans. Position VERIFIED 2026-09-08: south-end sheet (O-line, Sta 1580) is continuous with the north sheet's Sta 1550 - one camp band Sta 1544-1590 between Buena Vista and Las Cascadas. | RULING 2026-09-13: position conflict (blueprint camp band vs 1909+1911 site ~3 km N of Empire) stays UNRESOLVED by design - all claims plotted as candidates; the zone-map site may be a distinct 'Cunette' settlement (the term is also the Cut's drainage trench).</t>
  </si>
  <si>
    <t>CZ-079</t>
  </si>
  <si>
    <t>Cerro</t>
  </si>
  <si>
    <t>Cerro camp</t>
  </si>
  <si>
    <t>Camp on the hill E of Empire; sheet 9 of the 1907 encampment plans. | lifespan extended to dated evidence 2026-09-13 [was: c.1913]</t>
  </si>
  <si>
    <t>CZ-080</t>
  </si>
  <si>
    <t>Lirio</t>
  </si>
  <si>
    <t>Lirio camp</t>
  </si>
  <si>
    <t>Camp between Empire and Culebra; sheet 11 of the 1907 encampment plans; Lirio labels also on ICC1911. | RULING 2026-09-13: the three-way position scatter (1905-06 / 1909 / hill names) stays as candidate points - no winner chosen. | End extended c.1913 -&gt; c.1916 2026-09-14: Canal Record census rows carry Lirio Camp (309 persons in 1913-14) through Vol IX 1915-16 (A-1388, variant-name probe).</t>
  </si>
  <si>
    <t>CZ-081</t>
  </si>
  <si>
    <t>Caballo Viejo</t>
  </si>
  <si>
    <t>Old-line village by Juan Grande; 1905-06 ICC survey and ICC1911. | lifespan extended to dated evidence 2026-09-13 [was: pre-1905]</t>
  </si>
  <si>
    <t>CZ-082</t>
  </si>
  <si>
    <t>Chagresito</t>
  </si>
  <si>
    <t>pre-1904</t>
  </si>
  <si>
    <t>Chagres hamlet below Frijoles; ICC1909 and ICC1911. | lifespan extended 2026-09-15 (retro audit National Archives leg): 'Chagrecito' lettered with house dots on the c.1904 occupation map (S-053) [was: pre-1908]</t>
  </si>
  <si>
    <t>CZ-083</t>
  </si>
  <si>
    <t>Mulato</t>
  </si>
  <si>
    <t>pre-1857?</t>
  </si>
  <si>
    <t>Chagres hamlet near Caimito; 1862 plano and ICC1911. | lifespan extended to dated evidence 2026-09-14 (A-1488: 1857 riverside lettering, reading confidence LOW - '?' kept) [was: pre-1862]</t>
  </si>
  <si>
    <t>CZ-084</t>
  </si>
  <si>
    <t>Las Penitas</t>
  </si>
  <si>
    <t>pre-1886</t>
  </si>
  <si>
    <t>Chagres-bank hamlet between Ahorca Lagarto and Bohio; ICC1909. | 2026-09-14: start pre-1904 -&gt; pre-1886 (2026-09-14): 'Las Penitas' with building marks on the 1886 Plan General.</t>
  </si>
  <si>
    <t>CZ-085</t>
  </si>
  <si>
    <t>Palo Matias Viejo</t>
  </si>
  <si>
    <t>Palo Matias</t>
  </si>
  <si>
    <t>Chagres-bank hamlet; ICC1909; Palo Matias tract on the 1862 plano.</t>
  </si>
  <si>
    <t>CZ-086</t>
  </si>
  <si>
    <t>White House</t>
  </si>
  <si>
    <t>c.1906</t>
  </si>
  <si>
    <t>DUPLICATE of CZ-059 Whitehouse (merged 2026-09-09) - row kept only for position stability; do not use</t>
  </si>
  <si>
    <t>CZ-087</t>
  </si>
  <si>
    <t>pre-1907</t>
  </si>
  <si>
    <t>c.1913?</t>
  </si>
  <si>
    <t>DUPLICATE of CZ-062 Cartagenita (merged 2026-09-09) - row kept only for position stability; do not use</t>
  </si>
  <si>
    <t>CZ-110</t>
  </si>
  <si>
    <t>Spanish Town</t>
  </si>
  <si>
    <t>Labor camp</t>
  </si>
  <si>
    <t>c.1906?</t>
  </si>
  <si>
    <t>c.1916?</t>
  </si>
  <si>
    <t>Labour settlement NE of Paraiso, labeled with dot cluster on the 1911 property map (the only sheet that names it - absent from zone-scale cartography). Name suggests European/Spanish labourers, unverified. Registered 2026-09-13 from the ICC1911 absence audit; absent from the 1947 sheet. | lifespan extended to dated evidence 2026-09-13 [was: c.1913?]</t>
  </si>
  <si>
    <t>CZ-111</t>
  </si>
  <si>
    <t>Golden Green</t>
  </si>
  <si>
    <t>c.1907?</t>
  </si>
  <si>
    <t>after 1917?</t>
  </si>
  <si>
    <t>Camp labeled with dots between Empire Sta. and Lirio on the 1911 property map; not on the 1909 zone map or any later sheet. Population unverified. Registered 2026-09-13 from the ICC1911 absence audit. | lifespan extended to dated evidence 2026-09-13 [was: c.1913?]</t>
  </si>
  <si>
    <t>CZ-112</t>
  </si>
  <si>
    <t>Carabali</t>
  </si>
  <si>
    <t>Carabali Reservation</t>
  </si>
  <si>
    <t>pre-1895?</t>
  </si>
  <si>
    <t>'CARABALI RESERV[ATION]' lettering at Gorgona on the 1911 property map - label only, no structure marks; nature uncertain (a land reservation named for an Afro-descended community?). Carabali is an Afro-colonial ethnonym: chase in RG 185 land records and the Silver Men archive. Registered 2026-09-13. | lifespan extended to dated evidence 2026-09-13 [was: pre-1911?]</t>
  </si>
  <si>
    <t>CZ-113</t>
  </si>
  <si>
    <t>Casa Larga</t>
  </si>
  <si>
    <t>pre-1908</t>
  </si>
  <si>
    <t>Marks + label on the old Cruces trail, ICC1909 sheet - read consistently in two audit windows. South of the later Madden dam, so not drowned; fate unknown. Registered 2026-09-13 from the ICC1909 absence audit.</t>
  </si>
  <si>
    <t>CZ-114</t>
  </si>
  <si>
    <t>San Juan</t>
  </si>
  <si>
    <t>c.1935?</t>
  </si>
  <si>
    <t>Building cluster + label on the upper Chagres, ICC1909 sheet. Possibly San Juan de Pequeni (unverified); position lies inside the 1935 Madden pool - the 1947 sheet shows open water here. Modern Nuevo San Juan on the Transistmica may be its successor. Registered 2026-09-13.</t>
  </si>
  <si>
    <t>CZ-115</t>
  </si>
  <si>
    <t>Tranquilla</t>
  </si>
  <si>
    <t>Marks + label on the upper Chagres, ICC1909 sheet; position inside the 1935 Madden pool. A lakeside community 'La Tranquilla' exists on the modern shore - possible successor (unverified). Registered 2026-09-13.</t>
  </si>
  <si>
    <t>CZ-116</t>
  </si>
  <si>
    <t>Dos Bocas</t>
  </si>
  <si>
    <t>Label only (no marks read) at a trail/boundary junction on the upper Chagres, ICC1909 sheet; 'Dos Bocas' is also a generic confluence name - settlement status less secure than its neighbours. Position inside the 1935 Madden pool. Registered 2026-09-13.</t>
  </si>
  <si>
    <t>CZ-117</t>
  </si>
  <si>
    <t>Campanas</t>
  </si>
  <si>
    <t>Marks + label NW of El Vigia on the ICC1909 sheet, with an adjacent circle-cross symbol (church?). Near the western edge of the later Madden pool; drowning not verified. Registered 2026-09-13.</t>
  </si>
  <si>
    <t>CZ-118</t>
  </si>
  <si>
    <t>Empire Court House</t>
  </si>
  <si>
    <t>Administrative building</t>
  </si>
  <si>
    <t>Labeled 'Court House' on the EMPIRE plan. Registered 2026-09-13 (infrastructure mapping batch). Building outline traced 2026-09-13 from the source sheet into data/footprints.geojson (building-outline pass).</t>
  </si>
  <si>
    <t>CZ-119</t>
  </si>
  <si>
    <t>Empire Freight House</t>
  </si>
  <si>
    <t>Road/Infrastructure</t>
  </si>
  <si>
    <t>PRR freight house beside the station. Registered 2026-09-13 (infrastructure mapping batch). Building outline traced 2026-09-13 from the source sheet into data/footprints.geojson (building-outline pass).</t>
  </si>
  <si>
    <t>CZ-120</t>
  </si>
  <si>
    <t>Empire Base Ball Park</t>
  </si>
  <si>
    <t>Labeled 'Base Ball Park' on the EMPIRE plan; the CULEBRACAMPS Empire-Sabana sheet draws the same grounds (A-0600, repointed here) - two independent sources. Registered 2026-09-13 (infrastructure mapping batch). Extent traced 2026-09-13 from CULEBRACAMPS sheet 011 ('Base Ball Grounds' enclosure, Grand Stand at NW corner) into data/footprints.geojson. Start widened to 'by 1905-06' 2026-09-13: the SURVEYS1908 Map No.3 reads (A-0864 B.B. FIELD / A-0837 MACHINE SHOPS) attest it already standing at the 1905-06 survey. Grand Stand outline traced 2026-09-13 from the corrected EMPIRE re-warp (second footprint feature alongside the sheet-011 ball-grounds extent). | 2026-09-13: the structure the mirrored warp misread as 'Band Stand' is this field's Grand Stand (traced); CZ-106 merged in.</t>
  </si>
  <si>
    <t>CZ-121</t>
  </si>
  <si>
    <t>Empire I.C.C. Hotel</t>
  </si>
  <si>
    <t>by 1906</t>
  </si>
  <si>
    <t>ICC hotel (gold-roll mess/lodging), labeled 'I.C.C. Hotel'. Registered 2026-09-13 (infrastructure mapping batch). Building outline traced 2026-09-13 from the source sheet into data/footprints.geojson (building-outline pass). | 2026-09-16: start pulled back from 'pre-1907' to 'by 1906'. Silver People letter v00048 has the writer painting 'the new hotel at Empire' at Roosevelt's November 1906 visit.</t>
  </si>
  <si>
    <t>CZ-122</t>
  </si>
  <si>
    <t>Empire Police Station</t>
  </si>
  <si>
    <t>Label only partially legible on the degraded photostat - identification tentative. Registered 2026-09-13 (infrastructure mapping batch). Building outline traced 2026-09-13 from the source sheet into data/footprints.geojson (building-outline pass). | lifespan extended to dated evidence 2026-09-13 [was: pre-1907]</t>
  </si>
  <si>
    <t>CZ-123</t>
  </si>
  <si>
    <t>Empire Municipal Building</t>
  </si>
  <si>
    <t>Labeled; found on the 2nd pass 2026-09-09. Registered 2026-09-13 (infrastructure mapping batch). Building outline traced 2026-09-13 from the source sheet into data/footprints.geojson (building-outline pass).</t>
  </si>
  <si>
    <t>CZ-124</t>
  </si>
  <si>
    <t>Empire Railroad Shops</t>
  </si>
  <si>
    <t>by 1904?</t>
  </si>
  <si>
    <t>PRR/ICC shops complex NE of town: Machine Shop, Boiler Shop, Blacksmith's Shop, Erecting Shed, Transfer Table, Storehouse - six labeled buildings, one attestation each; place coordinate is their centroid. Registered 2026-09-13 (infrastructure mapping batch). Extent traced 2026-09-13 from the re-anchored EMPIRE plan (shops complex band) into data/footprints.geojson. Start widened to 'by 1905-06' 2026-09-13: the SURVEYS1908 Map No.3 reads (A-0864 B.B. FIELD / A-0837 MACHINE SHOPS) attest it already standing at the 1905-06 survey. Shops complex re-traced 2026-09-13 on the corrected EMPIRE re-warp (the 2026-09-13 trace was digitised off the mirrored raster). | lifespan extended 2026-09-15 (retro audit National Archives leg): railroad-side dot rows and a walled works compound at Emperador on the c.1904 occupation map (Low, unlabeled) [was: by 1905-06]</t>
  </si>
  <si>
    <t>CZ-125</t>
  </si>
  <si>
    <t>Empire YMCA</t>
  </si>
  <si>
    <t>Labeled Y.M.C.A. - gold-roll (white) clubhouse; silver-roll workers excluded. Registered 2026-09-13 (infrastructure mapping batch). Building outline traced 2026-09-13 from the source sheet into data/footprints.geojson (building-outline pass). | 2026-09-14: CZ-103 Clubhouse &amp; Cinema merged in - the 1907 Canal Record clubhouse/cinema mentions and the zone/property-map negatives now attest this building.</t>
  </si>
  <si>
    <t>CZ-126</t>
  </si>
  <si>
    <t>Empire Fire Station</t>
  </si>
  <si>
    <t>Labeled Fire Station. Registered 2026-09-13 (infrastructure mapping batch). Building outline traced 2026-09-13 from the source sheet into data/footprints.geojson (building-outline pass).</t>
  </si>
  <si>
    <t>CZ-127</t>
  </si>
  <si>
    <t>Empire Bank</t>
  </si>
  <si>
    <t>Labeled Bank. Registered 2026-09-13 (infrastructure mapping batch). Building outline traced 2026-09-13 from the source sheet into data/footprints.geojson (building-outline pass).</t>
  </si>
  <si>
    <t>CZ-128</t>
  </si>
  <si>
    <t>Empire Post Office</t>
  </si>
  <si>
    <t>Labeled Post Office. Registered 2026-09-13 (infrastructure mapping batch). Building outline traced 2026-09-13 from the source sheet into data/footprints.geojson (building-outline pass).</t>
  </si>
  <si>
    <t>CZ-129</t>
  </si>
  <si>
    <t>Empire Dispensary</t>
  </si>
  <si>
    <t>by 1905</t>
  </si>
  <si>
    <t>Labeled Dispensary (vertical lettering). The 2nd pass found NO hospital label on the sheet - this was the town's mapped medical facility (CZ-101 Empire Hospital remains a separate, textually-attested place with a placeholder location). Registered 2026-09-13 (infrastructure mapping batch). Building outline traced 2026-09-13 from the source sheet into data/footprints.geojson (building-outline pass). | 2026-09-16: start pulled back from 'pre-1907' to 'by 1905'. Letter v00036 puts the hospitals/rest houses 'built at Empire, Culebra, and Paraiso' in the 1905-06 malaria emergency.</t>
  </si>
  <si>
    <t>CZ-130</t>
  </si>
  <si>
    <t>Gorgona Market</t>
  </si>
  <si>
    <t>Market</t>
  </si>
  <si>
    <t>by 1907</t>
  </si>
  <si>
    <t>Labeled MARKET on the 1908 saloon-licensing plan. Registered 2026-09-13 (infrastructure mapping batch). Building outline traced 2026-09-13 from the source sheet into data/footprints.geojson (building-outline pass). | 2026-09-16 Internet Archive leg: start pre-1908 -&gt; by 1907. Canal Record 1907 reports vacant stalls at the Empire market and three markets, one each at Empire, Gorgona and Cristobal.</t>
  </si>
  <si>
    <t>CZ-131</t>
  </si>
  <si>
    <t>Gorgona YMCA</t>
  </si>
  <si>
    <t>Labeled Y.M.C.A. - gold-roll clubhouse. Registered 2026-09-13 (infrastructure mapping batch). Building outline traced 2026-09-13 from the source sheet into data/footprints.geojson (building-outline pass). | 2026-09-16 Internet Archive leg: start pre-1908 -&gt; by 1907. One of the four Commission Club Houses named complete in 1907.</t>
  </si>
  <si>
    <t>CZ-132</t>
  </si>
  <si>
    <t>Gorgona Band Stand</t>
  </si>
  <si>
    <t>Labeled Band Stand - plaza/recreation ground inferred around it. Registered 2026-09-13 (infrastructure mapping batch). Building outline traced 2026-09-13 from the source sheet into data/footprints.geojson (building-outline pass). | 2026-09-16 Internet Archive leg: start pre-1908 -&gt; by 1907. The 1907 building schedule counts a band stand in the town's return.</t>
  </si>
  <si>
    <t>CZ-133</t>
  </si>
  <si>
    <t>Gorgona I.C.C. Hotel</t>
  </si>
  <si>
    <t>Labeled I.C.C. HOTEL (gold-roll mess/lodging). Registered 2026-09-13 (infrastructure mapping batch). Building outline traced 2026-09-13 from the source sheet into data/footprints.geojson (building-outline pass). | 2026-09-16 Internet Archive leg: start pre-1908 -&gt; by 1906. The 1906 investigation records the new Gorgona reservoir made necessary by the authorisation of the hotel building.</t>
  </si>
  <si>
    <t>CZ-134</t>
  </si>
  <si>
    <t>Gorgona Hotel (private)</t>
  </si>
  <si>
    <t>Other / Unknown</t>
  </si>
  <si>
    <t>Labeled HOTEL, separate from the I.C.C. Hotel - a private (likely Panamanian-run) business; the only non-ICC commercial building labeled on the sheet. Registered 2026-09-13 (infrastructure mapping batch). Building outline traced 2026-09-13 from the source sheet into data/footprints.geojson (building-outline pass).</t>
  </si>
  <si>
    <t>CZ-135</t>
  </si>
  <si>
    <t>Culebra YMCA Club House</t>
  </si>
  <si>
    <t>Labeled YMCA Club House, sheet 014 (map 13 'CULEBRA'). Registered 2026-09-13 (infrastructure mapping batch). Building outline traced 2026-09-13 from the source sheet into data/footprints.geojson (building-outline pass).</t>
  </si>
  <si>
    <t>CZ-136</t>
  </si>
  <si>
    <t>Culebra Hotel</t>
  </si>
  <si>
    <t>Labeled Culebra Hotel, sheet 014 - the ICC hotel of the crown town. Registered 2026-09-13 (infrastructure mapping batch). Building outline traced 2026-09-13 from the source sheet into data/footprints.geojson (building-outline pass). | 2026-09-16 Internet Archive leg: start pre-1907 -&gt; by 1905. The 1905 annual report: dormitories or 'hotels' erected at Corozal and Culebra.</t>
  </si>
  <si>
    <t>CZ-137</t>
  </si>
  <si>
    <t>Culebra Post Office</t>
  </si>
  <si>
    <t>Labeled Post Office (building 3), sheet 014. Registered 2026-09-13 (infrastructure mapping batch). Building outline traced 2026-09-13 from the source sheet into data/footprints.geojson (building-outline pass).</t>
  </si>
  <si>
    <t>CZ-138</t>
  </si>
  <si>
    <t>Culebra Church &amp; Lodge Hall</t>
  </si>
  <si>
    <t>Labeled Church &amp; Lodge Hall, sheet 014 - shared religious/fraternal building. Registered 2026-09-13 (infrastructure mapping batch). Building outline traced 2026-09-13 from the source sheet into data/footprints.geojson (building-outline pass). | 2026-09-16 Internet Archive leg: start pre-1907 -&gt; by 1905. The 1905 annual report has the Jamaican Missionary Society keeping an English clergyman at Culebra for five or six years already, so the ministry runs back to about 1899.</t>
  </si>
  <si>
    <t>CZ-139</t>
  </si>
  <si>
    <t>Culebra Colored School</t>
  </si>
  <si>
    <t>1914-1915</t>
  </si>
  <si>
    <t>Labeled 'Colored School' (building 73), sheet 014 - the segregated school, named as such on the official blueprint: direct erasure-mechanism evidence for the racial ordering of zone towns. Registered 2026-09-13 (infrastructure mapping batch). Building outline traced 2026-09-13 from the source sheet into data/footprints.geojson (building-outline pass). | 2026-09-16 Internet Archive leg: end 1912-1915 -&gt; 1914-1915. The 1914 annual report still tabulates enrolment for the colored schools, Culebra among them, so the school outlived 1912.</t>
  </si>
  <si>
    <t>CZ-140</t>
  </si>
  <si>
    <t>Culebra Commissary</t>
  </si>
  <si>
    <t>Labeled Commissary (building 69), sheet 014. Registered 2026-09-13 (infrastructure mapping batch). Building outline traced 2026-09-13 from the source sheet into data/footprints.geojson (building-outline pass). | lifespan extended to dated evidence 2026-09-13 [was: 1912-1915]</t>
  </si>
  <si>
    <t>CZ-141</t>
  </si>
  <si>
    <t>Culebra Fire Department</t>
  </si>
  <si>
    <t>Labeled Fire Department, sheet 014. Registered 2026-09-13 (infrastructure mapping batch). Building outline traced 2026-09-13 from the source sheet into data/footprints.geojson (building-outline pass).</t>
  </si>
  <si>
    <t>CZ-142</t>
  </si>
  <si>
    <t>Culebra Dispensary</t>
  </si>
  <si>
    <t>by 1904</t>
  </si>
  <si>
    <t>Labeled Dispensary (building 231), sheet 014; District Physician adjacent. Registered 2026-09-13 (infrastructure mapping batch). Building outline traced 2026-09-13 from the source sheet into data/footprints.geojson (building-outline pass). | 2026-09-16: start pulled back from 'pre-1907' to 'by 1905'. Same 1905-06 malaria-emergency sentence (v00036), plus the twelve-day stay in the Culebra rest house (v00048). | 2026-09-16 Internet Archive leg: start by 1905 -&gt; by 1904. The 1905 annual report dates it exactly: 'On October 22, 1904, an emergency hospital was opened at Culebra.'</t>
  </si>
  <si>
    <t>CZ-143</t>
  </si>
  <si>
    <t>Culebra Planing Mill</t>
  </si>
  <si>
    <t>Labeled Planing Mill (building 80), sheet 014. Registered 2026-09-13 (infrastructure mapping batch). Building outline traced 2026-09-13 from the source sheet into data/footprints.geojson (building-outline pass).</t>
  </si>
  <si>
    <t>CZ-144</t>
  </si>
  <si>
    <t>Culebra Corral</t>
  </si>
  <si>
    <t>Labeled Corral - southern outlier of the town, sheet 014. Registered 2026-09-13 (infrastructure mapping batch). Building outline traced 2026-09-13 from the source sheet into data/footprints.geojson (building-outline pass). | 2026-09-16 Internet Archive leg: start pre-1907 -&gt; by 1905. The 1905 appropriation list has corrals at Ancon, Corozal, Culebra and Cristobal.</t>
  </si>
  <si>
    <t>CZ-145</t>
  </si>
  <si>
    <t>Culebra Lumber Mill</t>
  </si>
  <si>
    <t>Labeled Lumber Mill, sheet 013 (map 12 'Culebra on Dump') - industrial yard W of town; Planing Mill Storehouse adjacent (px 3910,5200). Registered 2026-09-13 (infrastructure mapping batch). Building outline traced 2026-09-13 from the source sheet into data/footprints.geojson (building-outline pass). | 2026-09-16: start pulled back from 'pre-1907' to 'by 1905'. Letter v00044: Finn arrived in 1905 and 'started working for the Building &amp; Construction Division In Culebra Lumber Yard as checker'.</t>
  </si>
  <si>
    <t>CZ-146</t>
  </si>
  <si>
    <t>Culebra PRR Depot</t>
  </si>
  <si>
    <t>Building labeled Depot, sheet 013 - the town's PRR depot. Registered 2026-09-13 (infrastructure mapping batch). Building outline traced 2026-09-13 from the source sheet into data/footprints.geojson (building-outline pass).</t>
  </si>
  <si>
    <t>CZ-147</t>
  </si>
  <si>
    <t>Culebra Magazine</t>
  </si>
  <si>
    <t>Labeled Magazine (explosives store), sheet 013 - dynamite infrastructure of the Cut. Registered 2026-09-13 (infrastructure mapping batch). Building outline traced 2026-09-13 from the source sheet into data/footprints.geojson (building-outline pass). | 2026-09-16 Internet Archive leg: start pre-1907 -&gt; by 1906. The 1906 storehouse schedule lists a dynamite magazine at Culebra.</t>
  </si>
  <si>
    <t>CZ-148</t>
  </si>
  <si>
    <t>Las Cascadas Engine House</t>
  </si>
  <si>
    <t>Labeled Engine House, sheet 006 (map 5 'LAS CASCADAS'). Registered 2026-09-13 (infrastructure mapping batch). Building outline traced 2026-09-13 from the source sheet into data/footprints.geojson (building-outline pass).</t>
  </si>
  <si>
    <t>CZ-149</t>
  </si>
  <si>
    <t>Las Cascadas Post Office</t>
  </si>
  <si>
    <t>Labeled Post Office, sheet 006. Registered 2026-09-13 (infrastructure mapping batch). Building outline traced 2026-09-13 from the source sheet into data/footprints.geojson (building-outline pass).</t>
  </si>
  <si>
    <t>CZ-150</t>
  </si>
  <si>
    <t>Paraiso Shops (French-era complex)</t>
  </si>
  <si>
    <t>Machine Shop / Boiler-Blacksmith / Storehouse complex SE of town along the OLD PRR - the French-era shops still standing June 1907, sheet 019 (map 17 'PARAISO'). Registered 2026-09-13 (infrastructure mapping batch). Extent traced 2026-09-13 from CULEBRACAMPS sheet 019 (five labeled shop buildings + lavatory) into data/footprints.geojson.</t>
  </si>
  <si>
    <t>CZ-151</t>
  </si>
  <si>
    <t>Paraiso Hotel</t>
  </si>
  <si>
    <t>Labeled Hotel, sheet 019. Registered 2026-09-13 (infrastructure mapping batch). Building outline traced 2026-09-13 from the source sheet into data/footprints.geojson (building-outline pass). | 2026-09-16: start pulled back from 'pre-1907' to 'by 1906'. Letter v00057: Hodges worked eight months at the Paraiso hotel before moving to the Empire hotel in December 1907.</t>
  </si>
  <si>
    <t>CZ-152</t>
  </si>
  <si>
    <t>Pedro Miguel Labor Camp</t>
  </si>
  <si>
    <t>Rows labeled LABOR CAMP on sheet 021 (map 19 'P.MIGUEL') - laborers' housing drawn and named apart from the town proper. Roll composition not stated on the sheet (ICC labor camps were typically silver-roll); no textual source yet. Registered 2026-09-13 (infrastructure mapping batch). Extent traced 2026-09-13 from CULEBRACAMPS sheet 021 (LABOR CAMP rows, numbered quarters 44-61) into data/footprints.geojson. | 2026-09-14: start pre-1907 -&gt; by 1905-06 (2026-09-14): quarters rows on the 1905-06 Map No.3.</t>
  </si>
  <si>
    <t>CZ-153</t>
  </si>
  <si>
    <t>Pedro Miguel Shops / Roundhouse</t>
  </si>
  <si>
    <t>Shops/roundhouse area SE of town, sheet 021 - labels only partially legible, identification tentative. Registered 2026-09-13 (infrastructure mapping batch). Complex extent traced 2026-09-13 (sheet 021; labels faint) into data/footprints.geojson - extent of the shops group, not one building. | 2026-09-14: start pre-1907 -&gt; by 1905-06 (2026-09-14): PEDRO MIGUEL YARD lettered on the 1905-06 Map No.3.</t>
  </si>
  <si>
    <t>CZ-154</t>
  </si>
  <si>
    <t>Paraiso Police Station</t>
  </si>
  <si>
    <t>Labeled 'Police Sta.' in Paraiso town, CULEBRACAMPS sheet 019 - found 2026-09-13 while tracing the shops footprint (the 2026-09-08 harvest missed it). Registered (infrastructure mapping batch). Coordinate corrected 2026-09-13: register script had stored a point ~135 m ESE of the drawn building; now set to the traced bldg-21 centroid. Building outline traced into data/footprints.geojson.</t>
  </si>
  <si>
    <t>CZ-155</t>
  </si>
  <si>
    <t>Buena Vista (Pacific camp)</t>
  </si>
  <si>
    <t>SPLIT from CZ-031 2026-09-13: the Pacific-side camp between Buena Vista hill and Las Cascadas, a namesake of the drowned Atlantic PRR-station village. Drawn building-level on CULEBRACAMPS sheet 005 (1907), labeled on ICC1909 ('marks; erased' read) and ICC1911. Dates modeled on the other Culebra-cut camps (Corosita, Cunette, Cerro, Lirio).</t>
  </si>
  <si>
    <t>CZ-156</t>
  </si>
  <si>
    <t>Guachapali</t>
  </si>
  <si>
    <t>Village de Guachapali</t>
  </si>
  <si>
    <t>Not removed</t>
  </si>
  <si>
    <t>pre-1890</t>
  </si>
  <si>
    <t>Panama City arrabal, subject of the georeferenced 1890 French plan (S-026, +-50 m fit to the surviving Av Central). Registered 2026-09-13 - the plan waited a week for its own town to exist. Persists within modern Calidonia/Guachapali. Identity CONFIRMED as the Panama City district 2026-09-14; Canal Record (33 page hits, 1907-16, incl. the 1909-11 sanitary demolitions and the West Indian churches) and Evening Star 1910 imported from the variant-name probe.</t>
  </si>
  <si>
    <t>Neighbourhood on the edge of Panama City, drawn in detail on an 1890 French plan and partly demolished in the sanitation works of 1909–11. Survives within the Calidonia district.</t>
  </si>
  <si>
    <t>CZ-157</t>
  </si>
  <si>
    <t>Cansaloma</t>
  </si>
  <si>
    <t>1862 village opposite Gorgona on the PRR land-claims plano (S-028): village marks + label. On no later sheet consulted. Registered 2026-09-13. | lifespan extended to dated evidence 2026-09-14 (the cluster is drawn 1857) [was: pre-1862]</t>
  </si>
  <si>
    <t>CZ-158</t>
  </si>
  <si>
    <t>Silver City</t>
  </si>
  <si>
    <t>Rainbow City (later); Rainbow City (from 1961)</t>
  </si>
  <si>
    <t>Named silver-roll town on the 1947 sheet (S-031), adjacent to Mount Hope; later Rainbow City. Founding c.1919-20 VERIFIED in the Canal Record: page hits from Vol XIV (1920-21), 'Grading at Silver City, Mount Hope' recurring through Vol XV 1921-22 (A-1390, variant-name probe). Start set c.1920 2026-09-14. Registered 2026-09-13 at sub-town scale under CZ-040. | 2026-09-14: CZ-211 'Silver City' merged in (2026-09-14) - same place registered twice.</t>
  </si>
  <si>
    <t>Town for Silver Roll workers (mostly West Indian and Black) beside Mount Hope, founded around 1920; later renamed Rainbow City.</t>
  </si>
  <si>
    <t>CZ-159</t>
  </si>
  <si>
    <t>Culebra Baptist Mission Church</t>
  </si>
  <si>
    <t>Baptist Mission church 164A</t>
  </si>
  <si>
    <t>by 1907?</t>
  </si>
  <si>
    <t>Building 164A on the official 1910 Map of Culebra (S-023) - a West Indian congregation ON the official map, counterpoint to the Colored School's textual silence. Registered 2026-09-13. Police Station 147 / Penitentiary 173 / Pumping Station 146 from the same sheet remain unregistered in CULEBRA1910_features.csv. | 2026-09-14: start pre-1910 -&gt; by 1909 (2026-09-14): Canal Record 'Culebra Baptist' 1909 (Low, unverified OCR). | lifespan extended 2026-09-15 (retro audit National Archives leg): a 1907-1909 marriage-license volume carries 'Culebra Baptist' (Low, not read at item level) [was: by 1909]</t>
  </si>
  <si>
    <t>CZ-160</t>
  </si>
  <si>
    <t>Mt Zion (Culebra)</t>
  </si>
  <si>
    <t>Zion Hill (Record Group 185)</t>
  </si>
  <si>
    <t>pre-1905</t>
  </si>
  <si>
    <t>Labeled on the 1905-06 survey (S-027) SE of Culebra - church/reserve; likely West Indian congregation. Registered 2026-09-13.</t>
  </si>
  <si>
    <t>CZ-161</t>
  </si>
  <si>
    <t>Ancon Hospital</t>
  </si>
  <si>
    <t>Complex labeled on the 1905-06 survey Map No.3 (S-027; French-era foundation, later Gorgas). Coordinates await the Map No.3 second pass - registered unlocated 2026-09-13 rather than given a guessed point. | 2026-09-14: start pre-1904 -&gt; pre-1886 (2026-09-14): 'Hopital' building group on the 1886 Plan General.</t>
  </si>
  <si>
    <t>Hospital founded during the French canal period, later Gorgas Hospital.</t>
  </si>
  <si>
    <t>CZ-162</t>
  </si>
  <si>
    <t>Ancon Cemetery</t>
  </si>
  <si>
    <t>Labeled on the 1905-06 survey Map No.3 (S-027). Coordinates await the Map No.3 second pass. Registered 2026-09-13. | LOCATION LEAD 2026-09-14 (Butcher letter v00025, S-036): 'the cemetery... was on the site of the present Administration Building'; removal of the dead began 1912, reburied at Corozal. Landmark-derived coordinate read queued (Admin Building is a fixed modern landmark); a dated erasure event in its own right. | LOCATED 2026-09-14 by landmark identification - see the S-036 geometry attestation. | RULING 2026-09-16: spatial certainty Unknown -&gt; Medium, radius 200 m. The S-027 map label (8.95876, -79.553928, +/-200 m) and the S-036 landmark fix (8.95968, -79.554833, +/-150 m) lie ~140 m apart, inside both uncertainties - two independent sources agreeing, not a conflict. Neither point moved.</t>
  </si>
  <si>
    <t>CZ-163</t>
  </si>
  <si>
    <t>Chinese Cemetery (Ancon)</t>
  </si>
  <si>
    <t>Labeled on the 1905-06 survey Map No.3 (S-027); pairs with the Museo del Canal Chinese-presence attestations (S-032) - a non-US, non-West-Indian community trace. Coordinates await the Map No.3 second pass. Registered 2026-09-13. | lifespan extended 2026-09-14 (-31): the Chinese Cemetery is drawn on the 1905-06 survey and read back to 1895; predates the 1904 claim [was: pre-1904]</t>
  </si>
  <si>
    <t>CZ-164</t>
  </si>
  <si>
    <t>New Empire</t>
  </si>
  <si>
    <t>c.1910?</t>
  </si>
  <si>
    <t>c.1913-1916?</t>
  </si>
  <si>
    <t>Label + dots by Empire Sta. on the 1911 property map (S-005) - a relocated Empire settlement distinct from the town core. Registered 2026-09-13.</t>
  </si>
  <si>
    <t>CZ-165</t>
  </si>
  <si>
    <t>Cerro Gordo camp</t>
  </si>
  <si>
    <t>CERRO GORDO + camp dots on the 1911 property map (S-005); distinct from CZ-079 Cerro. Registered 2026-09-13. | lifespan extended 2026-09-14 (-31): Cerro Gordo camp read to 1914 on the property map; just past the 1913 claim [was: c.1913?]</t>
  </si>
  <si>
    <t>CZ-166</t>
  </si>
  <si>
    <t>Curundu</t>
  </si>
  <si>
    <t>Curundú</t>
  </si>
  <si>
    <t>Labeled on the 1947 sheet (S-031); persists as a Panama City district. Registered 2026-09-13 (1947 civilian settlements; military bases stay in the CSV). | 2026-09-14: coordinate re-fixed from lettering on PACIFIC1947, moved 1799 m (2026-09-14). | lifespan extended 2026-09-15 (retro audit National Archives leg): 'Curundu' in La Estrella from 1904 and in the US press 1913 - probably the river, so the start is marked uncertain [was: pre-1947?]</t>
  </si>
  <si>
    <t>Named on the 1947 Canal Zone map; today a district of Panama City.</t>
  </si>
  <si>
    <t>CZ-167</t>
  </si>
  <si>
    <t>Coco Solito</t>
  </si>
  <si>
    <t>by 1942</t>
  </si>
  <si>
    <t>Labeled on the 1947 sheet (S-031) near Coco Solo; community identity (likely West Indian) unverified - chase in the Silver Men archive. Registered 2026-09-13. | lifespan extended 2026-09-15 (retro audit National Archives leg): Coco Solito given as residence in 1942-1966 marriage-license volumes [was: pre-1947?]</t>
  </si>
  <si>
    <t>CZ-168</t>
  </si>
  <si>
    <t>New Cristobal</t>
  </si>
  <si>
    <t>by 1914</t>
  </si>
  <si>
    <t>Labeled on the 1947 sheet (S-031), beside Colon. Registered 2026-09-13. | lifespan extended 2026-09-14 (-31): New Cristobal attested from 1917 (predates the 1947-sheet claim - the town existed decades before the census map) [was: pre-1947?] | lifespan extended 2026-09-15 (retro audit National Archives leg): 16 US newspaper pages for 'New Cristobal' from 1914-10-11 [was: c.1917]</t>
  </si>
  <si>
    <t>CZ-169</t>
  </si>
  <si>
    <t>Lacona</t>
  </si>
  <si>
    <t>Labeled on the 1947 sheet (S-031); CSV note reads 'housing area near Cocoli?'. Low confidence. Registered 2026-09-13. | lifespan extended 2026-09-15 (retro audit National Archives leg): Lacona given as residence in 1942-1955 marriage-license volumes [was: pre-1947?]</t>
  </si>
  <si>
    <t>CZ-170</t>
  </si>
  <si>
    <t>Cartagenita (La Boca)</t>
  </si>
  <si>
    <t>Cartasenita</t>
  </si>
  <si>
    <t>CARTAGENITA label + black buildings near the Rio Curundu on the 1895 French Panama sheet (S-029, sheet 3). Ruling 2026-09-13: registered as a separate place - namesake of CZ-062 Cartagenita unless relocation evidence appears (a dated relation can tie them later). | IDENTITY LEAD 2026-09-14 (Suazo letter v00004, S-036): La Boca's multi-ethnic commercial quarter (industrial gate to Pier 17; Chinese shops) 'le llamaban Cartasenita' - plausibly the same place the 1895 sheet draws near the Rio Curundu. Ruling queued: identify CZ-170 with Suazo's quarter? | IDENTITY RULED 2026-09-14: one place - the 1895 sheet's drawn CARTAGENITA (~1.1 km up the Curundu from La Boca's point) and Suazo's lived commercial quarter are the same barrio; renamed 'Cartagenita (La Boca)'; namesake note vs CZ-062 stands.</t>
  </si>
  <si>
    <t>CZ-171</t>
  </si>
  <si>
    <t>Cocoli (townsite)</t>
  </si>
  <si>
    <t>pre-1947?</t>
  </si>
  <si>
    <t>Ruling 2026-09-13: Cocoli is two places. This is the late-era US townsite the 1947 sheet labels (Third Locks era); the S-031 geometry read is repointed here from CZ-064, which keeps the old village (incl. its 1911 property-map claim).</t>
  </si>
  <si>
    <t>US townsite of the 1940s Third Locks project. The older village of Cocolí is recorded as a separate place.</t>
  </si>
  <si>
    <t>CZ-172</t>
  </si>
  <si>
    <t>Pedro Miguel (as-built)</t>
  </si>
  <si>
    <t>Ruling 2026-09-13: Pedro Miguel splits old/new (like Culebra). This is the as-built canal-era town whose property blocks the 1911 sheet draws ~1.2 km W of the old CZ-020 dot. Coordinates await the ICC1911 pixel read - registered unlocated rather than guessed.</t>
  </si>
  <si>
    <t>CZ-173</t>
  </si>
  <si>
    <t>New Frijoles</t>
  </si>
  <si>
    <t>Frijoles (relocated station)</t>
  </si>
  <si>
    <t>Ruling 2026-09-13: Frijoles splits old/new (pattern of Pedro Miguel CZ-172 and Cocoli CZ-171). This is the relocated PRR-line station above Gatun Lake level - 'New Frijoles' in the Canal Record 1909-10, the ICC1911 new-line station read, the 1940 census ED map; persists as the Barro Colorado access halt. CZ-023 keeps the drowned old-line village. Undated both-era aggregates (PI-91 A-0273, Smithsonian A-0321) stay on CZ-023.</t>
  </si>
  <si>
    <t>Station on the relocated railroad above the level of Gatún Lake. The original village of Frijoles, now under the lake, is recorded as a separate place.</t>
  </si>
  <si>
    <t>CZ-174</t>
  </si>
  <si>
    <t>Jamaica Town (Gorgona)</t>
  </si>
  <si>
    <t>Jamaica Town</t>
  </si>
  <si>
    <t>West Indian quarter of Gorgona on no map held: McDonald (Silver People letter v00072) - 'the Gorgona Shops South of Gorgona near Jamaica Town a colored section'; repair shops 'North of Jamaica town'. Registered 2026-09-14, honestly unlocated; directed re-read of the 1908 saloon map's southern quarter queued. | POSITION CANDIDATE 2026-09-14 from the queued saloon-map re-read: the drawn-but-unnamed south-of-rail cluster (A-1367, Low, +-200 m). The official map's silence on the quarter's name is itself the finding - the name survives only in McDonald's letter. | 2026-09-16 Internet Archive leg: start pre-1908 -&gt; by 1905. The 1905 annual report has the Gorgona reservoir supplying Gorgona, Jamaica Town and Matachin.</t>
  </si>
  <si>
    <t>CZ-175</t>
  </si>
  <si>
    <t>Camacho (Empire)</t>
  </si>
  <si>
    <t>Big Camacho; Small Camacho; Camacha</t>
  </si>
  <si>
    <t>Empire satellite section: commissary delivery districts 'Big Camacho, Small Camacho' (McDonald v00072); Gard worked 'Camacha kitchen' under Mr J Poole, 1907 (v00048). One place 2026-09-14; Big/Small split awaits a drawn source.</t>
  </si>
  <si>
    <t>CZ-176</t>
  </si>
  <si>
    <t>Bishop's Hollow (Ancon)</t>
  </si>
  <si>
    <t>pre-1906</t>
  </si>
  <si>
    <t>c.1913-1915?</t>
  </si>
  <si>
    <t>Butcher (v00025), 1906 Ancon: toward Gorgas lay 'the community then known as Bishop's Hollow where the U.S. citizens resided'. Absorbed in the Balboa Heights build-out. Registered 2026-09-14.</t>
  </si>
  <si>
    <t>CZ-177</t>
  </si>
  <si>
    <t>Banana Walk (Matachin)</t>
  </si>
  <si>
    <t>pre-1911</t>
  </si>
  <si>
    <t>White (v00112), April 1911: lodged at 'a little place called Banana Walk' in crowded Matachin. Registered 2026-09-14.</t>
  </si>
  <si>
    <t>CZ-178</t>
  </si>
  <si>
    <t>Rio Grande works (Culebra)</t>
  </si>
  <si>
    <t>Culebra Rio Grandi; Rio Grande</t>
  </si>
  <si>
    <t>Works area SW of Culebra: Gard's 1906 'Culebra Rio Grandi' camp (3-tier bunks, v00048), Hodges' 'Rio Grande Car Repairing' (v00057), De la Rosa breaking rock (v00040). Ties to CULEBRACAMPS sheet 017 (Rock Crusher, quarters 325-328) - that sheet's deferred georef now has a customer. Registered 2026-09-14.</t>
  </si>
  <si>
    <t>CZ-179</t>
  </si>
  <si>
    <t>Culebra Police Station (145)</t>
  </si>
  <si>
    <t>Building 145 on the official 1910 Map of Culebra (S-023); first registered as 147, corrected 2026-09-14 from an 8x read of the sheet label. Pairs with Paraiso's police station (CZ-154). Registered 2026-09-14. | lifespan extended 2026-09-15 (retro audit National Archives leg): La Estrella names a police station at Culebra, 1907-03-03 (Low, page not read) [was: pre-1910]</t>
  </si>
  <si>
    <t>CZ-180</t>
  </si>
  <si>
    <t>Culebra Penitentiary (173)</t>
  </si>
  <si>
    <t>Building 173 on the 1910 town map (S-023) - the Zone's confinement rendered as a building at its administrative heart; pairs with Palo Seco (CZ-048). Registered 2026-09-14. | lifespan extended 2026-09-14 (-31): Culebra Penitentiary in the Canal Record 1907-1914, before the 1910 town-map claim [was: pre-1910] | lifespan extended 2026-09-15 (retro audit National Archives leg): photograph 'Canal Zone Penitentiary at Culebra CZ 1905' [was: c.1907]</t>
  </si>
  <si>
    <t>CZ-181</t>
  </si>
  <si>
    <t>Culebra Pumping Station (146)</t>
  </si>
  <si>
    <t>pre-1910</t>
  </si>
  <si>
    <t>Building 146 on the 1910 town map (S-023). Registered 2026-09-14. | lifespan extended 2026-09-14 (triaged by session -31): the pumping station outlasts the town's 1912-15 depopulation - Canal Record names it 1919 (A-2119); infrastructure persists past removal [was: 1912-1915]</t>
  </si>
  <si>
    <t>CZ-182</t>
  </si>
  <si>
    <t>Diablo Heights</t>
  </si>
  <si>
    <t>c.1939?</t>
  </si>
  <si>
    <t>2026-09-14: Diablo splits old/new (pattern of Frijoles CZ-173, Cocoli CZ-171, Pedro Miguel CZ-172). This is the 1940s US successor townsite on the heights - earliest 'Diablo Heights' in the Canal Record 1939-40, PACIFIC1947 letters + Club House + named streets (Davis, Endicott, Walker Ave...), 1947 zone-sheet label. CZ-055 keeps the old village/camp (by 1905-06 - 1913/14). Also closes the pending 1947 'Diablo Heights' feature question.</t>
  </si>
  <si>
    <t>US townsite built from the late 1930s. The earlier village and camp of Diablo is recorded as a separate place.</t>
  </si>
  <si>
    <t>CZ-183</t>
  </si>
  <si>
    <t>Barro Colorado (village)</t>
  </si>
  <si>
    <t>Barro Colorado Abajo (1857)</t>
  </si>
  <si>
    <t>1857 Totten map draws 'Barro Colorado Abajo' with village dots on the Chagres left bank - the pre-lake village whose hill later names Barro Colorado Island (CZ-073). On no later sheet consulted; drowned by Gatun Lake. Registered 2026-09-14 (pattern of Cansaloma CZ-157). Uncertainty +-800 m per the sheet's interior accuracy (0.4-1.5 km). | 2026-09-16 Internet Archive leg: end 1911-1914 -&gt; 1913-1914. The Canal Record's 1913 condemnation award for the estate of Barro Colorado Abajo shows the estate still being taken in 1913.</t>
  </si>
  <si>
    <t>CZ-184</t>
  </si>
  <si>
    <t>Rio Indio Settlement</t>
  </si>
  <si>
    <t>c.1844</t>
  </si>
  <si>
    <t>Drawn/labeled on the 1857 Totten map (S-042) - single-source 1857 name; on no later sheet consulted. End date and fate UNKNOWN by design: an 1857-only read must not claim survival to the canal era. Registered 2026-09-14 (PRR1857). 'Rio Indio Settlement' label W of the river, toward the Caribbean coast. | lifespan extended 2026-09-14 (triaged by session -31): 'Casa Rio de Indio' existence mention 1844 (A-2061, S-048) - a real pre-canal settlement attestation, not a Name-type row; start predates the 1857 claim [was: pre-1857]</t>
  </si>
  <si>
    <t>CZ-185</t>
  </si>
  <si>
    <t>Palo Matias Nuevo</t>
  </si>
  <si>
    <t>Drawn/labeled on the 1857 Totten map (S-042) - single-source 1857 name; on no later sheet consulted. End date and fate UNKNOWN by design: an 1857-only read must not claim survival to the canal era. Registered 2026-09-14 (PRR1857). Label + symbol downstream of Palo Matias Viejo (CZ-085, also drawn 1857): the Viejo/Nuevo pair existed by 1857, and the 1862 plano's Palo Matias Nuevo tract gives the name a second source. Site falls in/near the Gatun flood pool.</t>
  </si>
  <si>
    <t>CZ-186</t>
  </si>
  <si>
    <t>Palo Horqueta</t>
  </si>
  <si>
    <t>Drawn/labeled on the 1857 Totten map (S-042) - single-source 1857 name; on no later sheet consulted. End date and fate UNKNOWN by design: an 1857-only read must not claim survival to the canal era. Registered 2026-09-14 (PRR1857). Riverside LABEL ONLY - no dots or symbol; the weakest registration of this set, kept reviewable. Site falls in/near the Gatun flood pool.</t>
  </si>
  <si>
    <t>CZ-187</t>
  </si>
  <si>
    <t>Palenquillo</t>
  </si>
  <si>
    <t>Palenquilla</t>
  </si>
  <si>
    <t>Drawn/labeled on the 1857 Totten map (S-042) - single-source 1857 name; on no later sheet consulted. End date and fate UNKNOWN by design: an 1857-only read must not claim survival to the canal era. Registered 2026-09-14 (PRR1857). Village dots + 'Qua./Sierra de Palenquillo'. Site falls in/near the Gatun flood pool. | 2026-09-14: CZ-217 'Palenquilla' merged in (2026-09-14) - same place registered twice. POSITION CONFLICT kept as candidate points: the 1857 read sits by Palo Matias, ~11 km downstream of the 1886 kilometrage point near Frijoles; 1844 'Loma de Palenquilla' and the Canal Record estate 'Palenquilla and Frijol Grande near the village of Frijoles' side with the Frijoles position. | RULING 2026-09-16: keep both candidate positions, no primary. A third name was found and is NOT adopted as a position - see the S-021 Name attestation for Palenquilla Point, a coastal feature near Corozo Island.</t>
  </si>
  <si>
    <t>CZ-188</t>
  </si>
  <si>
    <t>Pedro Bernal's Settlement</t>
  </si>
  <si>
    <t>Pedro Bernal</t>
  </si>
  <si>
    <t>Drawn/labeled on the 1857 Totten map (S-042) - single-source 1857 name; on no later sheet consulted. End date and fate UNKNOWN by design: an 1857-only read must not claim survival to the canal era. Registered 2026-09-14 (PRR1857). Named settlement S of Tabernilla (CZ-026, drowned) - in the Gatun flood basin if it persisted. | 2026-09-14: CZ-220 'Pedro Bernal' merged in (2026-09-14) - same place registered twice.</t>
  </si>
  <si>
    <t>CZ-189</t>
  </si>
  <si>
    <t>Mari Posa</t>
  </si>
  <si>
    <t>Mariposa?</t>
  </si>
  <si>
    <t>Drawn/labeled on the 1857 Totten map (S-042) - single-source 1857 name; on no later sheet consulted. End date and fate UNKNOWN by design: an 1857-only read must not claim survival to the canal era. Registered 2026-09-14 (PRR1857). Settlement label W of the Obispo valley.</t>
  </si>
  <si>
    <t>CZ-190</t>
  </si>
  <si>
    <t>Noreza</t>
  </si>
  <si>
    <t>Drawn/labeled on the 1857 Totten map (S-042) - single-source 1857 name; on no later sheet consulted. End date and fate UNKNOWN by design: an 1857-only read must not claim survival to the canal era. Registered 2026-09-14 (PRR1857). Settlement label + dots.</t>
  </si>
  <si>
    <t>CZ-191</t>
  </si>
  <si>
    <t>Dominica</t>
  </si>
  <si>
    <t>Drawn/labeled on the 1857 Totten map (S-042) - single-source 1857 name; on no later sheet consulted. End date and fate UNKNOWN by design: an 1857-only read must not claim survival to the canal era. Registered 2026-09-14 (PRR1857). Settlement E of the Rio Caimitillo.</t>
  </si>
  <si>
    <t>CZ-192</t>
  </si>
  <si>
    <t>Cardenas</t>
  </si>
  <si>
    <t>Cárdenas</t>
  </si>
  <si>
    <t>Drawn/labeled on the 1857 Totten map (S-042) - single-source 1857 name; on no later sheet consulted. End date and fate UNKNOWN by design: an 1857-only read must not claim survival to the canal era. Registered 2026-09-14 (PRR1857). Village label at the sheet edge; a Cardenas village exists in the same sector today - POSSIBLE continuity, verify before claiming Persists.</t>
  </si>
  <si>
    <t>CZ-193</t>
  </si>
  <si>
    <t>La Vuella (Half Way House)</t>
  </si>
  <si>
    <t>La Vuella; Half way house</t>
  </si>
  <si>
    <t>Drawn/labeled on the 1857 Totten map (S-042) - single-source 1857 name; on no later sheet consulted. End date and fate UNKNOWN by design: an 1857-only read must not claim survival to the canal era. Registered 2026-09-14 (PRR1857). Named waypoint/roadhouse on the Gorgona lower road - road infrastructure with a settlement name.</t>
  </si>
  <si>
    <t>CZ-194</t>
  </si>
  <si>
    <t>Miraflores (Atlantic)</t>
  </si>
  <si>
    <t>Miraflores (Chagres)</t>
  </si>
  <si>
    <t>Drawn/labeled on the 1857 Totten map (S-042) - single-source 1857 name; on no later sheet consulted. End date and fate UNKNOWN by design: an 1857-only read must not claim survival to the canal era. Registered 2026-09-14 (PRR1857). Village label near Gatun on the lower Chagres - a SECOND Miraflores. NEVER conflate with CZ-028 Miraflores (Pacific, US-era). | 2026-09-14: CZ-210 'Miraflores (Chagres)' merged in (2026-09-14) - same place registered twice.</t>
  </si>
  <si>
    <t>CZ-195</t>
  </si>
  <si>
    <t>Marañón</t>
  </si>
  <si>
    <t>Maranon</t>
  </si>
  <si>
    <t>Registered 2026-09-14. MARANON district label on the 1904 Panamanian plan (S-038) - the West Indian tenement district beside Guachapali (CZ-156). Persists as a Calidonia sector - verify modern extent before citing. | demoted to Neighborhood under CZ-199 2026-09-14: the quarters were the barrios of the arrabal de Santa Ana - nested so the Pacific corner reads at town zoom; reachable from the features toggle and the CZ-199 card.</t>
  </si>
  <si>
    <t>CZ-199</t>
  </si>
  <si>
    <t>Neighbourhood of West Indian tenements beside Guachapali, named on a 1904 Panamanian map. Survives within the Calidonia district.</t>
  </si>
  <si>
    <t>CZ-196</t>
  </si>
  <si>
    <t>Cocoa Grove</t>
  </si>
  <si>
    <t>Cocoagrove</t>
  </si>
  <si>
    <t>pre-1889</t>
  </si>
  <si>
    <t>Registered 2026-09-14. COCOAGROVE label on the 1904 plan - the famous district on the Zone-boundary edge (site of the 1912/1915 riots that drove US liquor/vice policy - dates from secondary literature, verify before citing). Fate after the 1910s unknown - absorbed into Santa Ana/El Chorrillo. | demoted to Neighborhood under CZ-199 2026-09-14: the quarters were the barrios of the arrabal de Santa Ana - nested so the Pacific corner reads at town zoom; reachable from the features toggle and the CZ-199 card. | lifespan extended 2026-09-15 (retro audit National Archives leg): the US press 1889-02-15 places Panama's five cemeteries 'at Cocoa Grove' - the district is named 15 years before the 1904 city plan [was: pre-1904]</t>
  </si>
  <si>
    <t>CZ-197</t>
  </si>
  <si>
    <t>Chorrillo del Rey</t>
  </si>
  <si>
    <t>Registered 2026-09-14. Chorrillo del Rey label + spring/stream on the 1904 plan - the spring site whose name the later El Chorrillo district takes (canal-labor housing built after 1906; name-and-site continuity, verify). Persists as El Chorrillo. | demoted to Neighborhood under CZ-199 2026-09-14: the quarters were the barrios of the arrabal de Santa Ana - nested so the Pacific corner reads at town zoom; reachable from the features toggle and the CZ-199 card.</t>
  </si>
  <si>
    <t>Spring and neighbourhood named on a 1904 map. It gave its name to the later El Chorrillo district.</t>
  </si>
  <si>
    <t>CZ-198</t>
  </si>
  <si>
    <t>Cementerios (Camino de La Boca)</t>
  </si>
  <si>
    <t>La Boca Road cemetery row</t>
  </si>
  <si>
    <t>Registered 2026-09-14. The municipal cemetery row on the Camino de La Boca: Catolico nuevo / de Estrangeros / Hebreo antiguo / Militar / Crematorio (1904, S-038), with the Cementerio Chino (CZ-163) one enclosure within it (R-19). Start pre-1857? via the 'Burial Ground (Enclosed)' ~330 m S on the same corridor (S-043) - the row's ancestor site, recorded as mention not position. Genealogy: burial ground 1857 -&gt; Cementerio Chino labeled 1904 -&gt; Map No.3 label 1906 -&gt; unlabeled on the 1947 city sheet. | parented under CZ-199 2026-09-14 (with the quarter demotions): gates with the arrabal set; scale stays Site/Institution.</t>
  </si>
  <si>
    <t>Santa Ana (arrabal)</t>
  </si>
  <si>
    <t>Faubourg de Santa Ana</t>
  </si>
  <si>
    <t>Registered 2026-09-14. FAUBOURG DE SANTA ANA + Plaza of Santa Anna + named calles (Pescaderias, Agua, Maladero), drawn house-by-house on the 1857 company plan (S-043). The arrabal's core; persists as the Santa Ana district. | 2026-09-14: anchors the arrabal set - the other eight quarters are now Neighborhood-scale children of this place. | 2026-09-14: coordinate re-fixed from lettering on PRRLANDS1857, moved 639 m (2026-09-14).</t>
  </si>
  <si>
    <t>The Santa Ana quarter just outside old Panama City, drawn house by house on an 1857 railroad company plan. Survives as the Santa Ana district.</t>
  </si>
  <si>
    <t>CZ-200</t>
  </si>
  <si>
    <t>La Ciénega</t>
  </si>
  <si>
    <t>The Cienega</t>
  </si>
  <si>
    <t>Registered 2026-09-14. THE CIENEGA lettering + shoreline quarter drawn in 'Bamboo &amp; Palmetto' (vernacular-material) houses on the 1857 company plan - the popular tidal quarter, house-by-house with building-material coding. Shore later filled; fate unknown. | demoted to Neighborhood under CZ-199 2026-09-14: the quarters were the barrios of the arrabal de Santa Ana - nested so the Pacific corner reads at town zoom; reachable from the features toggle and the CZ-199 card. | 2026-09-14: coordinate re-fixed from lettering on PRRLANDS1857, moved 455 m (2026-09-14).</t>
  </si>
  <si>
    <t>CZ-203</t>
  </si>
  <si>
    <t>Malambo</t>
  </si>
  <si>
    <t>Registered 2026-09-14. Church of Malambo + Calle de Malambo + district on the 1857 company plan. The name persists in the city - continuity unverified. | demoted to Neighborhood under CZ-199 2026-09-14: the quarters were the barrios of the arrabal de Santa Ana - nested so the Pacific corner reads at town zoom; reachable from the features toggle and the CZ-199 card. | 2026-09-14: coordinate re-fixed from lettering on PRRLANDS1857 + BERTONCINI1904, moved 731 m (2026-09-14).</t>
  </si>
  <si>
    <t>CZ-204</t>
  </si>
  <si>
    <t>Salsipuedes</t>
  </si>
  <si>
    <t>Registered 2026-09-14. Salsipuedes street label on the 1857 company plan - LABEL-ONLY read; the street and its market persist famously today (verify extent). | demoted to Neighborhood under CZ-199 2026-09-14: the quarters were the barrios of the arrabal de Santa Ana - nested so the Pacific corner reads at town zoom; reachable from the features toggle and the CZ-199 card. | 2026-09-14: coordinate re-fixed from lettering on PRRLANDS1857, moved 578 m (2026-09-14).</t>
  </si>
  <si>
    <t>Street named on an 1857 railroad company plan; the street and its market survive today.</t>
  </si>
  <si>
    <t>CZ-205</t>
  </si>
  <si>
    <t>Guinea</t>
  </si>
  <si>
    <t>Guinea Grove; Guinea Creek; Guinea Point</t>
  </si>
  <si>
    <t>Declined</t>
  </si>
  <si>
    <t>Registered 2026-09-14. Guinea Grove / Guinea Creek shore district W of the walls on the 1857 company plan; PRR1857 adds Guinea Point (2 sheets). The African toponym cluster names a colonial Afro-Panamanian shore district - counter-archive geography predating the canal by half a century. | demoted to Neighborhood under CZ-199 2026-09-14: the quarters were the barrios of the arrabal de Santa Ana - nested so the Pacific corner reads at town zoom; reachable from the features toggle and the CZ-199 card. | 2026-09-14 FLAG (2026-09-14): the 1857 plan's 'Guinea' lettering near La Huerta de Jaramillo reads 'Guinea Grass' (a pasture label), so the arrabal-quarter reading may be a misread. The toponym otherwise names a SHORE POINT: 1844 'Punta Guinea', 1857 'Guinea Point', Canal Record 1916 'Line joining Guinea Point with inner end of causeway'. Point NOT moved - identity unresolved. | DECLINED 2026-09-14: disregarded - registration rested on a misread ('Guinea Grass'); Guinea Point is a shore toponym, not a place in this model. Row kept for id stability - do not use.</t>
  </si>
  <si>
    <t>CZ-206</t>
  </si>
  <si>
    <t>Tivoli Hotel</t>
  </si>
  <si>
    <t>The ICC/PanCanal hotel at the E foot of Ancon hill: building + vertical TIVOLI label on the 1905-06 Map No.3, 'TIVOLI HOTEL' on PACIFIC1947 - two-source register. (Demolished 1971 per secondary literature - end left open pending an attested source.) Registered 2026-09-14. | lifespan extended 2026-09-15 (retro audit National Archives leg): 561 La Estrella pages for the Tivoli from 1905-02-16 - the hotel is in the press before its 1906 opening (construction and planning) [was: c.1906]</t>
  </si>
  <si>
    <t>CZ-207</t>
  </si>
  <si>
    <t>Mt. Zion Reservoir</t>
  </si>
  <si>
    <t>Zion Hill Reservoir (Record Group 185)</t>
  </si>
  <si>
    <t>Waterworks</t>
  </si>
  <si>
    <t>The Culebra town reservoir hill, NAMED 'Mt. Zion Reservoir' on the 1910 waterworks map - the West Indian congregation's toponym migrated onto official infrastructure. SPLIT from CZ-160 2026-09-14: the 1905-06 Mt Zion feature (likely the chapel) sits 1.1 km NW. Registered 2026-09-14. | 2026-09-16 Internet Archive leg: start pre-1910 -&gt; by 1907. The 1907 annual report records the pumping station installed that year to the Mount Zion reservoir at 545 feet.</t>
  </si>
  <si>
    <t>CZ-208</t>
  </si>
  <si>
    <t>Gerig (La Boca shore camp)</t>
  </si>
  <si>
    <t>Gerig</t>
  </si>
  <si>
    <t>The residential shore cluster below Sosa Low on the 1905-06 Map No.3 - the only drawn La Boca-area housing on that sheet, labeled GERIG (after ICC division engineer Wm. Gerig) while La Boca itself appears only as wharf/dump labels. Buried under the Balboa fill (R-20 replaced_by CZ-039). Registered 2026-09-14.</t>
  </si>
  <si>
    <t>CZ-209</t>
  </si>
  <si>
    <t>W. Culebra</t>
  </si>
  <si>
    <t>West Culebra</t>
  </si>
  <si>
    <t>by 1908</t>
  </si>
  <si>
    <t>'W. Culebra' label + dots on the 1911 property map (western Culebra settlement cluster); named with Golden Green and Cowpens in the Canal Record's displaced-lot-holders offer (KWIC 2026-09-13) - land offered TO the displaced. Registered 2026-09-14. | lifespan extended 2026-09-14 (triaged by session -31): Canal Record names 'West Culebra' 1909 (A-2112), before the 1911 property-map claim [was: c.1911?] | lifespan extended 2026-09-15 (retro audit National Archives leg): 5 US newspaper pages for 'West Culebra' from 1908-02-14 [was: c.1909]</t>
  </si>
  <si>
    <t>CZ-210</t>
  </si>
  <si>
    <t>A SECOND Miraflores: village labeled on the 1857 Totten map on the lower Chagres left bank near Gatun - distinct from CZ-028 (Pacific). Single-source 1857 name; end/fate UNKNOWN by design. Registered 2026-09-14. | MERGED into CZ-194 2026-09-14 (2026-09-14). Row kept for id stability - do not use.</t>
  </si>
  <si>
    <t>CZ-211</t>
  </si>
  <si>
    <t>Rainbow City (from 1961)</t>
  </si>
  <si>
    <t>Labor settlement</t>
  </si>
  <si>
    <t>The Atlantic silver-rate town, drawn building-by-building on the 1947 city sheet with its street grid named for the islands: ST. KITTS, BARBADOS, MARTINIQUE, ST. LUCIA, TRINIDAD - the exact Atlantic mirror of La Boca's Caribbean street plan. Renamed Rainbow City 1961 (secondary literature). Registered 2026-09-14. Extent traced to footprints.geojson. | MERGED into CZ-158 2026-09-14 (2026-09-14). Row kept for id stability - do not use.</t>
  </si>
  <si>
    <t>CZ-212</t>
  </si>
  <si>
    <t>Camp Bierd</t>
  </si>
  <si>
    <t>CAMP BIERD labeled barracks rows between the Cristobal yards and Silver City - the silver labor camp (named for a PRR official). Registered 2026-09-14. Extent traced. | lifespan extended 2026-09-14 (triaged by session -31): Camp Bierd in the Canal Record 1907-1914 (A-2113) - the construction-era camp predates the 1919 claim (the 1947 reads may be a later reuse of the name; kept as-is) [was: c.1919?]</t>
  </si>
  <si>
    <t>CZ-213</t>
  </si>
  <si>
    <t>Mount Hope Cemetery</t>
  </si>
  <si>
    <t>Monkey Hill Cemetery</t>
  </si>
  <si>
    <t>Shortlist</t>
  </si>
  <si>
    <t>The Atlantic burial ground at Mt. Hope (the old Monkey Hill cemetery - see the 1857 'Monkey Hill' name ancestry on CZ-040), labeled CEMETERY on the 1947 sheet. Where the silver dead went. Registered 2026-09-14. Extent TRACED 2026-09-16 (the earlier tank-farm skip was over-cautious: the southern cemetery drive is itself the tank-farm boundary and the enclosure closes).</t>
  </si>
  <si>
    <t>CZ-214</t>
  </si>
  <si>
    <t>Fort de Lesseps</t>
  </si>
  <si>
    <t>Military post</t>
  </si>
  <si>
    <t>Militarization</t>
  </si>
  <si>
    <t>c.1911?</t>
  </si>
  <si>
    <t>DE LESSEPS labeled on the Colon point by the Cristobal tennis courts - matches the unmatched 'Fort de Lesseps' name from the 1940 census sweep. Registered 2026-09-14. CORRECTED 2026-09-16: the registration read had anchored on De Lesseps PARK (tennis courts, Manzanillo shore); the fort itself is the NW Limon Bay point beside the Washington Hotel (1947 'FT. DE LESSEPS' + Post HQ/Provost Marshal labels; 1940 census ED-47 stamp; Battery Morgan site).</t>
  </si>
  <si>
    <t>CZ-215</t>
  </si>
  <si>
    <t>Jamaica Town (Gatún)</t>
  </si>
  <si>
    <t>1908-1913</t>
  </si>
  <si>
    <t>Gatún's West Indian quarter, distinct from the Gorgona Jamaica Town (CZ-174): Clarke (Silver People letter v00032) arrived Dec 1906 and 'got off the train at Gatun NORTH of Jamaica town, a section where people lived east of the Panama Rail Road track'; v00075 records that when the railroad was moved 'there was a town of colored people residing there, so called Jamaica Town, THE CEMETERY WAS DUG UP &amp; the remains carried away' to fill elsewhere. 'Jamaica Town' was the generic name for the colored section town-to-town - the recurrence is itself the finding. Unlocated; submerged under Gatún Lake. Registered 2026-09-14. | 2026-09-15: the Canal Record 1913-14 names it 'the former village known as Jamaica-town', its site a borrow pit west of Gatun Locks where foundations of French-era workers' buildings still stood (A-2306) - a second, official account of its erasure, and a hint that the quarter began in the French period (start not changed).</t>
  </si>
  <si>
    <t>CZ-216</t>
  </si>
  <si>
    <t>Dos Hermanas</t>
  </si>
  <si>
    <t>Chagres-valley hamlet on the 1886 Plan General profile at PK ~16.0 (Gallica S-051); drowned by Gatun Lake 1913-14. Added 2026-09-14 from the French Compagnie map - not in the US record. Not yet georeferenced to lat/long. French-only: searched-absent from the US corpora (S-003/S-009/S-021/S-004).</t>
  </si>
  <si>
    <t>CZ-217</t>
  </si>
  <si>
    <t>Chagres-valley hamlet on the 1886 Plan General profile at PK ~30.0 (Gallica S-051); drowned by Gatun Lake 1913-14. Added 2026-09-14 from the French Compagnie map - not in the US record. Not yet georeferenced to lat/long. ALSO in the US Canal Record land condemnations (S-003) - not French-only. | MERGED into CZ-187 2026-09-14 (2026-09-14). Row kept for id stability - do not use.</t>
  </si>
  <si>
    <t>CZ-218</t>
  </si>
  <si>
    <t>Juan Maria</t>
  </si>
  <si>
    <t>Juana Maria (ICC 1911 tract 5090)</t>
  </si>
  <si>
    <t>Chagres-valley hamlet on the 1886 Plan General profile at PK ~31.0 (Gallica S-051); drowned by Gatun Lake 1913-14. Added 2026-09-14 from the French Compagnie map - not in the US record. Not yet georeferenced to lat/long. ALSO in the US Canal Record land condemnations (S-003) - not French-only. | 2026-09-16 retro audit: the ICC 1911 property map carries the name as land tract 5090 JUANA MARIA - the village is not drawn, the name survives only in the land register, and the official spelling is Juana, not Juan.</t>
  </si>
  <si>
    <t>CZ-219</t>
  </si>
  <si>
    <t>Agua Bendita</t>
  </si>
  <si>
    <t>Chagres-valley hamlet on the 1886 Plan General profile at PK ~34.5 (Gallica S-051); drowned by Gatun Lake 1913-14. Added 2026-09-14 from the French Compagnie map - not in the US record. Not yet georeferenced to lat/long. French-only: searched-absent from the US corpora (S-003/S-009/S-021/S-004).</t>
  </si>
  <si>
    <t>CZ-220</t>
  </si>
  <si>
    <t>Chagres-valley hamlet on the 1886 Plan General profile at PK ~33.0 (Gallica S-051); drowned by Gatun Lake 1913-14. Added 2026-09-14 from the French Compagnie map - not in the US record. Not yet georeferenced to lat/long. French-only: searched-absent from the US corpora (S-003/S-009/S-021/S-004). | MERGED into CZ-188 2026-09-14 (2026-09-14). Row kept for id stability - do not use.</t>
  </si>
  <si>
    <t>CZ-221</t>
  </si>
  <si>
    <t>Jamaica Town (Pacific)</t>
  </si>
  <si>
    <t>by 1915</t>
  </si>
  <si>
    <t>A THIRD 'Jamaica Town': a West Indian quarter of Paraiso, listed under the PARAISO district beside Spanish Town in the Canal Record's 1915-16 population table (v00008/p476) - distinct from Gorgona's (CZ-174) and Gatun's (CZ-215). Single source; unlocated; end and fate unknown. Registered 2026-09-14; corrected 2026-09-15 after a full-page read (the 1913 page first attached here is Gatun's former village, now on CZ-215; start by 1913 -&gt; by 1915; parent CZ-024).</t>
  </si>
  <si>
    <t>CZ-222</t>
  </si>
  <si>
    <t>Culebra White School</t>
  </si>
  <si>
    <t>Registered 2026-09-16 by user ruling, from the retroactive audit. Named by a West Indian writer in his own words - Isthmian Historical Society letter v00072 group, v00037: 'janitor at the Culebra white school' - and carried in the 1914 enrolment tables ('White schools: ... Culebra 61'). Registered as the counterpart that makes the segregated pair legible: CZ-139 is the colored school, which the same corpus of letters never names.</t>
  </si>
  <si>
    <t>CZ-223</t>
  </si>
  <si>
    <t>Culebra Ball Park</t>
  </si>
  <si>
    <t>pre-1912</t>
  </si>
  <si>
    <t>Registered 2026-09-16 by user ruling. Isthmian Historical Society letter v00044: 'I knew the ball park in Culebra in front of the Railroad Station.' Position lead, not yet read off a sheet: in front of Culebra Station (CZ-146). Queued in data/georef/MISSING_TOWNS_ON_MAPS.md. | DECLINED 2026-09-16 by user ruling: a place named in only one document is a citation, not yet a place. only the Isthmian Historical Society letters (v00044) name it. Evidence preserved in data/FLAGGED_FOR_FUTURE.md for when the project expands; the row stays on disk and can be reinstated.</t>
  </si>
  <si>
    <t>CZ-224</t>
  </si>
  <si>
    <t>Gorgona Railroad Shops</t>
  </si>
  <si>
    <t>Gorgona Shops</t>
  </si>
  <si>
    <t>1913</t>
  </si>
  <si>
    <t>Registered 2026-09-16 by user ruling. Lettered GORGONA SHOPS on Map No.2 of the 1905-06 surveys, a shop complex with a fan of sidings on the Panama Railroad south-east of the town. Canal Record 1907: 'The large mechanical shops on the Isthmus are located at Empire, Gorgona, and Cristobal.' Letter v00068: an air brake man worked 'on the cylinders of all the railroad cars that came in the shop' at Gorgona before transfer to Pedro Miguel. Footprint not yet traced - queued in data/georef/MISSING_TOWNS_ON_MAPS.md. | 2026-09-16: end tightened from the town's 1912-1915 to 1913. The Canal Record: 'when it was decided that the shops should be moved to Balboa in 1913, the history of Gorgona shops was a record of the concentration of [work]' - the works were moved, not closed with the town. Letter v00072 places them: 'the Gorgona Shops South of Gorgona near Jamaica Town', which corroborates the 1905-06 survey read and puts the works beside the West Indian quarter (CZ-174).</t>
  </si>
  <si>
    <t>CZ-225</t>
  </si>
  <si>
    <t>Cerro Salado</t>
  </si>
  <si>
    <t>pre-1913</t>
  </si>
  <si>
    <t>Registered 2026-09-16 by user ruling. Named in the Canal Record's 1913 depopulation canvass among the places 'completely depopulated' in under five months, beside Cartagenita, Cerro Gordo, Buena Vista, Caballo Viejo and the Pedro Miguel rural districts. Unlocated - queued in data/georef/MISSING_TOWNS_ON_MAPS.md. | DECLINED 2026-09-16 by user ruling: a place named in only one document is a citation, not yet a place. only the Canal Record's 1913 depopulation canvass names it; the S-003 and S-021 rows are the same passage in two digitisations. Evidence preserved in data/FLAGGED_FOR_FUTURE.md for when the project expands; the row stays on disk and can be reinstated.</t>
  </si>
  <si>
    <t>CZ-226</t>
  </si>
  <si>
    <t>Japanese Village</t>
  </si>
  <si>
    <t>Registered 2026-09-16 by user ruling. Named in the Canal Record's 1913 depopulation canvass. The name is the Commission's own and marks a labour settlement the model held no record of; the canvass is the only mention found in any corpus. Unlocated - queued in data/georef/MISSING_TOWNS_ON_MAPS.md. | DECLINED 2026-09-16 by user ruling: a place named in only one document is a citation, not yet a place. only the Canal Record's 1913 depopulation canvass names it. Evidence preserved in data/FLAGGED_FOR_FUTURE.md for when the project expands; the row stays on disk and can be reinstated.</t>
  </si>
  <si>
    <t>CZ-227</t>
  </si>
  <si>
    <t>Hongkong</t>
  </si>
  <si>
    <t>Hong Kong</t>
  </si>
  <si>
    <t>Registered 2026-09-16 by user ruling. Named in the Canal Record's 1913 depopulation canvass, beside Japanese Village - two settlements named for the origins of the people in them, both emptied in 1913. Unlocated - queued in data/georef/MISSING_TOWNS_ON_MAPS.md. | DECLINED 2026-09-16 by user ruling: a place named in only one document is a citation, not yet a place. only the Canal Record's 1913 depopulation canvass names it; every other hit in every corpus is the port of Hong Kong. Evidence preserved in data/FLAGGED_FOR_FUTURE.md for when the project expands; the row stays on disk and can be reinstated.</t>
  </si>
  <si>
    <t>CZ-228</t>
  </si>
  <si>
    <t>Virgin</t>
  </si>
  <si>
    <t>Registered 2026-09-16 by user ruling. Named in the Canal Record's 1913 depopulation canvass. Unlocated - queued in data/georef/MISSING_TOWNS_ON_MAPS.md. | DECLINED 2026-09-16 by user ruling: a place named in only one document is a citation, not yet a place. only the Canal Record's 1913 depopulation canvass names it; every other hit is the Virgin Islands or a botanical name. Evidence preserved in data/FLAGGED_FOR_FUTURE.md for when the project expands; the row stays on disk and can be reinstated.</t>
  </si>
  <si>
    <t>CZ-229</t>
  </si>
  <si>
    <t>Waterloo</t>
  </si>
  <si>
    <t>None</t>
  </si>
  <si>
    <t>pre-1919</t>
  </si>
  <si>
    <t>Registered 2026-09-16 by user ruling. An estate name from the 1919 annual report of the Governor, in a Joint Land Commission case: a map was prepared of 'the adjacent estate of Santa Cruz, Cansaloma and Waterloo'. Like Cansaloma (CZ-157), a place surviving only inside a land title. Unlocated - queued in data/georef/MISSING_TOWNS_ON_MAPS.md.</t>
  </si>
  <si>
    <t>CZ-230</t>
  </si>
  <si>
    <t>Cerro Pelado Ammunition Depot</t>
  </si>
  <si>
    <t>by 1950</t>
  </si>
  <si>
    <t>Registered 2026-09-16 by user ruling. Enumeration district 1-32 on the 1950 census enumeration district map (S-034), listed as a military reservation. | DECLINED 2026-09-16 by user ruling. Registered earlier the same day from the 1950 census district roster (or the 1964 Pacific housing list), then withdrawn on review: one line of a roster is the whole evidence base, the place is not drawn or located anywhere in the corpus, and it was not erased - the National Archives holds 283 records for Madden Dam, 188 for France Field and photographs captioned 'Los Rios Townsite'. The four Panamanian rural districts on the same roster - Escondido, La Chinina, Trinidad, Escobal - are kept.</t>
  </si>
  <si>
    <t>CZ-231</t>
  </si>
  <si>
    <t>Cerro Tigre Ordnance Depot</t>
  </si>
  <si>
    <t>Registered 2026-09-16 by user ruling. Enumeration district 1-20 on the 1950 census enumeration district map (S-034), listed as a military reservation. | DECLINED 2026-09-16 by user ruling. Registered earlier the same day from the 1950 census district roster (or the 1964 Pacific housing list), then withdrawn on review: one line of a roster is the whole evidence base, the place is not drawn or located anywhere in the corpus, and it was not erased - the National Archives holds 283 records for Madden Dam, 188 for France Field and photographs captioned 'Los Rios Townsite'. The four Panamanian rural districts on the same roster - Escondido, La Chinina, Trinidad, Escobal - are kept.</t>
  </si>
  <si>
    <t>CZ-232</t>
  </si>
  <si>
    <t>Escondido</t>
  </si>
  <si>
    <t>Escondido Rural</t>
  </si>
  <si>
    <t>Registered 2026-09-16 by user ruling. Enumeration district 2-3 on the 1950 census map (S-034), one of six rural districts that between them covered the countryside of the Zone. Unlocated - queued in data/georef/MISSING_TOWNS_ON_MAPS.md. | DECLINED 2026-09-16 by user ruling: a place named in only one document is a citation, not yet a place. only the 1950 census enumeration district roster names it; the Canal Record's Escondido is Puerto Escondido, a different place. Evidence preserved in data/FLAGGED_FOR_FUTURE.md for when the project expands; the row stays on disk and can be reinstated. | REINSTATED 2026-09-16 by user ruling (this conversation: "record la chinima, escondido, coco solito" - ED modifiers kept as mention-info only). Still unlocated: the 2-3 code mark was not found in a five-quadrant sweep (likely under the Gatun-area annotation cluster); the district is plausibly the northwest Zone strip (Rio Escondido country, Pina-Lagarto side). | DECLINED 2026-09-16 by user ruling: a place named in only one document is a citation, not yet a place. only the 1950 census enumeration district roster names it; the Canal Record's Escondido is Puerto Escondido, a different place. Evidence preserved in data/FLAGGED_FOR_FUTURE.md for when the project expands; the row stays on disk and can be reinstated. | REINSTATED 2026-09-16 by user ruling (record Escondido / La Chinina, ED modifiers as mention-info only). NOTE: this reinstatement was applied once already and lost to a stale-workbook overwrite around commit 3dc510373 - re-applied; if it reverts again the writing session is holding stale places-sheet state. Still unlocated (2-3 code not found in the five-quadrant sweep; plausibly the NW Zone strip).</t>
  </si>
  <si>
    <t>CZ-233</t>
  </si>
  <si>
    <t>La Chinina</t>
  </si>
  <si>
    <t>La Chinina Rural</t>
  </si>
  <si>
    <t>Registered 2026-09-16 by user ruling. Enumeration district 2-30 on the 1950 census map (S-034). Unlocated - queued in data/georef/MISSING_TOWNS_ON_MAPS.md. | DECLINED 2026-09-16 by user ruling: a place named in only one document is a citation, not yet a place. only the 1950 census enumeration district roster names it; the Smithsonian hits are a fly genus. Evidence preserved in data/FLAGGED_FOR_FUTURE.md for when the project expands; the row stays on disk and can be reinstated. | REINSTATED 2026-09-16 by user ruling (this conversation: "record la chinima, escondido, coco solito" - ED modifiers kept as mention-info only). Coordinate set from the red ED 2-30 code mark E of Gatun on the office map (district scale, +-2 km). | DECLINED 2026-09-16 by user ruling: a place named in only one document is a citation, not yet a place. only the 1950 census enumeration district roster names it; the Smithsonian hits are a fly genus. Evidence preserved in data/FLAGGED_FOR_FUTURE.md for when the project expands; the row stays on disk and can be reinstated. | REINSTATED 2026-09-16 by user ruling (record Escondido / La Chinina, ED modifiers as mention-info only). NOTE: this reinstatement was applied once already and lost to a stale-workbook overwrite around commit 3dc510373 - re-applied; if it reverts again the writing session is holding stale places-sheet state. Coordinate stands (ED 2-30 code mark, +-2 km).</t>
  </si>
  <si>
    <t>CZ-234</t>
  </si>
  <si>
    <t>Trinidad</t>
  </si>
  <si>
    <t>Trinidad Rural</t>
  </si>
  <si>
    <t>Registered 2026-09-16 by user ruling. Enumeration district 2-34 on the 1950 census map (S-034). Unlocated - queued in data/georef/MISSING_TOWNS_ON_MAPS.md.</t>
  </si>
  <si>
    <t>CZ-235</t>
  </si>
  <si>
    <t>Escobal</t>
  </si>
  <si>
    <t>Escobal Rural</t>
  </si>
  <si>
    <t>Registered 2026-09-16 by user ruling. Enumeration district 2-1 on the 1950 census map (S-034). Unlocated - queued in data/georef/MISSING_TOWNS_ON_MAPS.md.</t>
  </si>
  <si>
    <t>CZ-236</t>
  </si>
  <si>
    <t>Madden Dam Town</t>
  </si>
  <si>
    <t>Registered 2026-09-16 by user ruling. Enumeration district 1-43 on the 1950 census map (S-034) - a dam-builders' town of the 1930s, enumerated separately from its rural district. | DECLINED 2026-09-16 by user ruling. Registered earlier the same day from the 1950 census district roster (or the 1964 Pacific housing list), then withdrawn on review: one line of a roster is the whole evidence base, the place is not drawn or located anywhere in the corpus, and it was not erased - the National Archives holds 283 records for Madden Dam, 188 for France Field and photographs captioned 'Los Rios Townsite'. The four Panamanian rural districts on the same roster - Escondido, La Chinina, Trinidad, Escobal - are kept.</t>
  </si>
  <si>
    <t>CZ-237</t>
  </si>
  <si>
    <t>Madden Dam Rural</t>
  </si>
  <si>
    <t>Registered 2026-09-16 by user ruling. Enumeration district 1-42 on the 1950 census map (S-034), the rural district around Madden Dam Town. | DECLINED 2026-09-16 by user ruling. Registered earlier the same day from the 1950 census district roster (or the 1964 Pacific housing list), then withdrawn on review: one line of a roster is the whole evidence base, the place is not drawn or located anywhere in the corpus, and it was not erased - the National Archives holds 283 records for Madden Dam, 188 for France Field and photographs captioned 'Los Rios Townsite'. The four Panamanian rural districts on the same roster - Escondido, La Chinina, Trinidad, Escobal - are kept.</t>
  </si>
  <si>
    <t>CZ-238</t>
  </si>
  <si>
    <t>North Gamboa Town</t>
  </si>
  <si>
    <t>Registered 2026-09-16 by user ruling. Enumeration districts 1-33 to 1-35 on the 1950 census map (S-034). Gamboa was enumerated as two towns, north and south, with the prison in the town. | DECLINED 2026-09-16 by user ruling. Registered earlier the same day from the 1950 census district roster (or the 1964 Pacific housing list), then withdrawn on review: one line of a roster is the whole evidence base, the place is not drawn or located anywhere in the corpus, and it was not erased - the National Archives holds 283 records for Madden Dam, 188 for France Field and photographs captioned 'Los Rios Townsite'. The four Panamanian rural districts on the same roster - Escondido, La Chinina, Trinidad, Escobal - are kept.</t>
  </si>
  <si>
    <t>CZ-239</t>
  </si>
  <si>
    <t>South Gamboa Town</t>
  </si>
  <si>
    <t>Registered 2026-09-16 by user ruling. Enumeration district 1-21 on the 1950 census map (S-034), the southern half of the divided Gamboa. | DECLINED 2026-09-16 by user ruling. Registered earlier the same day from the 1950 census district roster (or the 1964 Pacific housing list), then withdrawn on review: one line of a roster is the whole evidence base, the place is not drawn or located anywhere in the corpus, and it was not erased - the National Archives holds 283 records for Madden Dam, 188 for France Field and photographs captioned 'Los Rios Townsite'. The four Panamanian rural districts on the same roster - Escondido, La Chinina, Trinidad, Escobal - are kept.</t>
  </si>
  <si>
    <t>CZ-240</t>
  </si>
  <si>
    <t>Guarapo Islands Military Reservation</t>
  </si>
  <si>
    <t>Registered 2026-09-16 by user ruling. Enumeration district 2-2 on the 1950 census map (S-034). | DECLINED 2026-09-16 by user ruling. Registered earlier the same day from the 1950 census district roster (or the 1964 Pacific housing list), then withdrawn on review: one line of a roster is the whole evidence base, the place is not drawn or located anywhere in the corpus, and it was not erased - the National Archives holds 283 records for Madden Dam, 188 for France Field and photographs captioned 'Los Rios Townsite'. The four Panamanian rural districts on the same roster - Escondido, La Chinina, Trinidad, Escobal - are kept.</t>
  </si>
  <si>
    <t>CZ-241</t>
  </si>
  <si>
    <t>France Air Force Base</t>
  </si>
  <si>
    <t>France Field</t>
  </si>
  <si>
    <t>Registered 2026-09-16 by user ruling. Enumeration district 2-13 on the 1950 census map (S-034); the same installation the corpus elsewhere calls France Field. | DECLINED 2026-09-16 by user ruling. Registered earlier the same day from the 1950 census district roster (or the 1964 Pacific housing list), then withdrawn on review: one line of a roster is the whole evidence base, the place is not drawn or located anywhere in the corpus, and it was not erased - the National Archives holds 283 records for Madden Dam, 188 for France Field and photographs captioned 'Los Rios Townsite'. The four Panamanian rural districts on the same roster - Escondido, La Chinina, Trinidad, Escobal - are kept.</t>
  </si>
  <si>
    <t>CZ-242</t>
  </si>
  <si>
    <t>Curundu Heights</t>
  </si>
  <si>
    <t>by 1964</t>
  </si>
  <si>
    <t>Registered 2026-09-16 by user ruling. Listed among the Pacific-sector housing areas in a 1964 report: 'Ancon, Balboa, Balboa Heights, Curundu Heights, Diablo Heights, Gamboa, La Boca, Lacona, Los Rios, Paraiso, and Pedro Miguel. These areas are used mostly by Panama Canal Company employees.' | DECLINED 2026-09-16 by user ruling. Registered earlier the same day from the 1950 census district roster (or the 1964 Pacific housing list), then withdrawn on review: one line of a roster is the whole evidence base, the place is not drawn or located anywhere in the corpus, and it was not erased - the National Archives holds 283 records for Madden Dam, 188 for France Field and photographs captioned 'Los Rios Townsite'. The four Panamanian rural districts on the same roster - Escondido, La Chinina, Trinidad, Escobal - are kept.</t>
  </si>
  <si>
    <t>CZ-243</t>
  </si>
  <si>
    <t>Los Rios</t>
  </si>
  <si>
    <t>Registered 2026-09-16 by user ruling. Listed in the same 1964 roster of Pacific-sector housing areas as Curundu Heights and Lacona. | DECLINED 2026-09-16 by user ruling. Registered earlier the same day from the 1950 census district roster (or the 1964 Pacific housing list), then withdrawn on review: one line of a roster is the whole evidence base, the place is not drawn or located anywhere in the corpus, and it was not erased - the National Archives holds 283 records for Madden Dam, 188 for France Field and photographs captioned 'Los Rios Townsite'. The four Panamanian rural districts on the same roster - Escondido, La Chinina, Trinidad, Escobal - are kept.</t>
  </si>
  <si>
    <t>CZ-244</t>
  </si>
  <si>
    <t>Pennsylvania Hotel (Empire)</t>
  </si>
  <si>
    <t>Hotel Empire</t>
  </si>
  <si>
    <t>Registered 2026-09-16 by user ruling (Empire hotels: TWO places). A Canal Zone guidebook advertisement: 'PENNSYLVANIA HOTEL, EMPIRE, CANAL ZONE. A. Rome, Proprietor. ONLY hotel in Empire where travelers can obtain strictly first-class accommodation.' A private house, distinct from the I.C.C. hotel (CZ-121) that the workers' letters describe; the advertisement's claim to be the only one is a commercial claim, not a survey. Unlocated - queued in data/georef/MISSING_TOWNS_ON_MAPS.md. | DECLINED 2026-09-16 by user ruling: a place named in only one document is a citation, not yet a place. only a guidebook advertisement names it. Evidence preserved in data/FLAGGED_FOR_FUTURE.md for when the project expands; the row stays on disk and can be reinstated.</t>
  </si>
  <si>
    <t>source_id (PK)</t>
  </si>
  <si>
    <t>medium</t>
  </si>
  <si>
    <t>title</t>
  </si>
  <si>
    <t>creator / author</t>
  </si>
  <si>
    <t>source_date</t>
  </si>
  <si>
    <t>repository</t>
  </si>
  <si>
    <t>archive_ref</t>
  </si>
  <si>
    <t>url</t>
  </si>
  <si>
    <t>source_origin</t>
  </si>
  <si>
    <t>reliability</t>
  </si>
  <si>
    <t>georeferenced</t>
  </si>
  <si>
    <t>rms_error_m</t>
  </si>
  <si>
    <t>ext_uri (Wikidata/GeoNames)</t>
  </si>
  <si>
    <t>archive_id</t>
  </si>
  <si>
    <t>S-001</t>
  </si>
  <si>
    <t>Web compilation</t>
  </si>
  <si>
    <t>czbrats "Villages Underwater" pages</t>
  </si>
  <si>
    <t>Canal Zone Brats</t>
  </si>
  <si>
    <t>n.d.</t>
  </si>
  <si>
    <t>czbrats.com</t>
  </si>
  <si>
    <t>-</t>
  </si>
  <si>
    <t>https://www.czbrats.com/Builders/earlytowns.htm</t>
  </si>
  <si>
    <t>NA</t>
  </si>
  <si>
    <t>Lead-generator; verify every name.</t>
  </si>
  <si>
    <t>ARC-06</t>
  </si>
  <si>
    <t>S-002</t>
  </si>
  <si>
    <t>Secondary</t>
  </si>
  <si>
    <t>Erased: The Untold Story of the Panama Canal</t>
  </si>
  <si>
    <t>Marixa Lasso</t>
  </si>
  <si>
    <t>2019</t>
  </si>
  <si>
    <t>Harvard University Press</t>
  </si>
  <si>
    <t>ISBN 9780674984448</t>
  </si>
  <si>
    <t>Depopulation as policy. Maps by T. Stallman.</t>
  </si>
  <si>
    <t>ARC-20</t>
  </si>
  <si>
    <t>S-003</t>
  </si>
  <si>
    <t>Report</t>
  </si>
  <si>
    <t>The Canal Record (official weekly)</t>
  </si>
  <si>
    <t>Isthmian Canal Commission</t>
  </si>
  <si>
    <t>1907-1941</t>
  </si>
  <si>
    <t>UF Smathers / Internet Archive</t>
  </si>
  <si>
    <t>https://ufdc.ufl.edu/UF00097368</t>
  </si>
  <si>
    <t>US official</t>
  </si>
  <si>
    <t>Week-by-week relocations. Full-text searchable at UFDC (bibid UF00097368, 28 digitized volumes 1907-1941); also on Internet Archive. Page-level harvest 2026-09: data/ufdc/.</t>
  </si>
  <si>
    <t>ARC-03</t>
  </si>
  <si>
    <t>S-004</t>
  </si>
  <si>
    <t>Administrative</t>
  </si>
  <si>
    <t>Records of the Panama Canal (Record Group 185)</t>
  </si>
  <si>
    <t>US National Archives</t>
  </si>
  <si>
    <t>1904-1979</t>
  </si>
  <si>
    <t>NARA, College Park</t>
  </si>
  <si>
    <t>RG 185</t>
  </si>
  <si>
    <t>https://www.archives.gov</t>
  </si>
  <si>
    <t>Maps, ICC records, labor series.</t>
  </si>
  <si>
    <t>ARC-01</t>
  </si>
  <si>
    <t>S-005</t>
  </si>
  <si>
    <t>Map</t>
  </si>
  <si>
    <t>Property Map of the Canal Zone</t>
  </si>
  <si>
    <t>ICC, Dept. of Law</t>
  </si>
  <si>
    <t>1911</t>
  </si>
  <si>
    <t>Library of Congress G&amp;M</t>
  </si>
  <si>
    <t>g4872c.pcc00006</t>
  </si>
  <si>
    <t>https://www.loc.gov/item/2...</t>
  </si>
  <si>
    <t>Y</t>
  </si>
  <si>
    <t>Who was dispossessed.</t>
  </si>
  <si>
    <t>ARC-02</t>
  </si>
  <si>
    <t>S-006</t>
  </si>
  <si>
    <t>Isthmian Canal Commission Map of the Canal Zone (Annual Report)</t>
  </si>
  <si>
    <t>1910</t>
  </si>
  <si>
    <t>LOC / NARA</t>
  </si>
  <si>
    <t>Towns + topography; georeference.</t>
  </si>
  <si>
    <t>S-007</t>
  </si>
  <si>
    <t>Museo del Canal Interoceánico de Panamá — Centro de Documentación y Archivo (including the Archivo de Historia Oral)</t>
  </si>
  <si>
    <t>Museo del Canal Interoceánico de Panamá</t>
  </si>
  <si>
    <t>c.1850-present</t>
  </si>
  <si>
    <t>Museo del Canal, Casco Antiguo, Panama City</t>
  </si>
  <si>
    <t>Koha OPAC (biblio); reserve + oral archive onsite</t>
  </si>
  <si>
    <t>typismuci.museodelcanal.com</t>
  </si>
  <si>
    <t>Panamanian</t>
  </si>
  <si>
    <t>Panamanian-side counter-archive. Documentary Center holds &gt;150 linear m of books, &gt;32,000 archival folios, and an Archivo de Historia Oral (interviews with protagonistas de la historia de Panamá; UNESCO Memory of the World for the postal collection). Swept 2026-09-13 via the Koha OPAC (Spanish: Emperador, Gorgona, poblados, Chagres, + town names). CRITICAL ACCESS NOTE: catalog is metadata-only; ZERO digital objects served (cover images come from Amazon). Reserve cartography/photos/postcards and oral-history transcripts are ONSITE ONLY. Remote use beyond catalog metadata would require an email scan request to the Centro de Documentación or an on-site visit — not yet made. See data/museo/.</t>
  </si>
  <si>
    <t>ARC-04</t>
  </si>
  <si>
    <t>S-008</t>
  </si>
  <si>
    <t>Silver Men: West Indian Labourers archive</t>
  </si>
  <si>
    <t>UNESCO Memory of the World</t>
  </si>
  <si>
    <t>1880-1914</t>
  </si>
  <si>
    <t>Multi-repository</t>
  </si>
  <si>
    <t>https://www.unesco.org/en/memory-world</t>
  </si>
  <si>
    <t>Caribbean community</t>
  </si>
  <si>
    <t>Silver Roll labor geography.</t>
  </si>
  <si>
    <t>ARC-05</t>
  </si>
  <si>
    <t>S-009</t>
  </si>
  <si>
    <t>Newspaper</t>
  </si>
  <si>
    <t>Chronicling America digitized newspapers (searched in full text)</t>
  </si>
  <si>
    <t>various U.S. newspapers</t>
  </si>
  <si>
    <t>1880-1920</t>
  </si>
  <si>
    <t>Library of Congress</t>
  </si>
  <si>
    <t>https://www.loc.gov/collections/chronicling-america/</t>
  </si>
  <si>
    <t>US press</t>
  </si>
  <si>
    <t>Umbrella source for harvested newspaper mentions (2026-09); per-issue LOC URL in each attestation note. Harvest files: data/chronicling-america/.</t>
  </si>
  <si>
    <t>ARC-10</t>
  </si>
  <si>
    <t>S-010</t>
  </si>
  <si>
    <t>Post offices in the Canal Zone (list), Evening Star, 16 February 1906, page 2</t>
  </si>
  <si>
    <t>Evening Star (Washington, D.C.)</t>
  </si>
  <si>
    <t>1906-02-16</t>
  </si>
  <si>
    <t>LOC Chronicling America</t>
  </si>
  <si>
    <t>sn83045462</t>
  </si>
  <si>
    <t>https://www.loc.gov/resource/sn83045462/1906-02-16/ed-1/?sp=2</t>
  </si>
  <si>
    <t>Official list of CZ post offices in operation 5 Feb 1906.</t>
  </si>
  <si>
    <t>S-011</t>
  </si>
  <si>
    <t>Commissary-closure chronology, Der Sonntagsbote und der Seebote, 18 May 1913, page 1</t>
  </si>
  <si>
    <t>Der Sonntagsbote und der Seebote (Milwaukee)</t>
  </si>
  <si>
    <t>1913-05-18</t>
  </si>
  <si>
    <t>sn87082456</t>
  </si>
  <si>
    <t>https://www.loc.gov/resource/sn87082456/1913-05-18/ed-1/?sp=1</t>
  </si>
  <si>
    <t>German-language. Dates the closure of ten commissary settlements 1911-1913.</t>
  </si>
  <si>
    <t>S-012</t>
  </si>
  <si>
    <t>Canal Record 'vanishing villages' syndication (December 1911 - April 1912)</t>
  </si>
  <si>
    <t>The Canal Record via U.S. wire services</t>
  </si>
  <si>
    <t>sn92070417 et al.</t>
  </si>
  <si>
    <t>https://www.loc.gov/resource/sn92070417/1912-01-10/ed-1/?sp=2</t>
  </si>
  <si>
    <t>Names all Gatun Lake drowned villages; &gt;=10 printings found. Richest: Las Vegas Optic 1912-01-10 p.2 (includes etymologies).</t>
  </si>
  <si>
    <t>S-013</t>
  </si>
  <si>
    <t>St. Croix Avis French-era canal reports (1882-1887)</t>
  </si>
  <si>
    <t>St. Croix Avis (Christiansted)</t>
  </si>
  <si>
    <t>1882-1887</t>
  </si>
  <si>
    <t>sn84037526</t>
  </si>
  <si>
    <t>https://www.loc.gov/resource/sn84037526/1887-06-18/ed-1/?sp=4</t>
  </si>
  <si>
    <t>Brigade list 1882-06-10 p.2; per-site excavation table 1887-06-18 p.4.</t>
  </si>
  <si>
    <t>S-014</t>
  </si>
  <si>
    <t>Photograph</t>
  </si>
  <si>
    <t>Record Group 185 digitized photographs (United States National Archives catalog)</t>
  </si>
  <si>
    <t>Isthmian Canal Commission / The Panama Canal</t>
  </si>
  <si>
    <t>1887-1960</t>
  </si>
  <si>
    <t>NARA, College Park (Still Pictures)</t>
  </si>
  <si>
    <t>RG 185 (185-G, 185-CZ et al.)</t>
  </si>
  <si>
    <t>https://catalog.archives.gov/search?q=panama%20canal&amp;recordGroupNumber=185</t>
  </si>
  <si>
    <t>Digitized items in catalog.archives.gov; series 185-G 'Photographs of the Construction of the Panama Canal 1887-1940' partially digitized. Harvest 2026-09: data/nara/.</t>
  </si>
  <si>
    <t>S-015</t>
  </si>
  <si>
    <t>Preliminary Inventory of the Cartographic Records of The Panama Canal (Preliminary Inventory 91, 1956)</t>
  </si>
  <si>
    <t>James Berton Rhoads / National Archives</t>
  </si>
  <si>
    <t>1956</t>
  </si>
  <si>
    <t>NARA, College Park (Cartographic)</t>
  </si>
  <si>
    <t>RG 185, ~9,240 items / 125 cu. ft.</t>
  </si>
  <si>
    <t>https://www.archives.gov/files/research/cartographic/pi-91-panama-canal.pdf</t>
  </si>
  <si>
    <t>Finding aid, read cover-to-cover 2026-09. Appendix II is a place-name index; attestations cite its file designations. The maps themselves are PAPER, onsite-only - not full-text searchable.</t>
  </si>
  <si>
    <t>S-016</t>
  </si>
  <si>
    <t>Smithsonian Open Access collections</t>
  </si>
  <si>
    <t>Smithsonian Institution (NMNH, NPM, SIL et al.)</t>
  </si>
  <si>
    <t>1850-1940s</t>
  </si>
  <si>
    <t>Smithsonian Institution</t>
  </si>
  <si>
    <t>EDAN edanmdm records</t>
  </si>
  <si>
    <t>https://collections.si.edu/search/</t>
  </si>
  <si>
    <t>20,798 town-name matches in 45,040 records (2026-09 harvest, data/smithsonian/). Mostly NMNH specimens whose collecting locality is a Zone town - type-locality attestations. Dates in notes are year_guess only (may be taxon-description year); verify per record before citing as attested time.</t>
  </si>
  <si>
    <t>ARC-08</t>
  </si>
  <si>
    <t>S-017</t>
  </si>
  <si>
    <t>W. A. Fishbaugh Panama Canal Photograph Album</t>
  </si>
  <si>
    <t>W. A. Fishbaugh (Empire, C.Z.); assembled by A. Bruce Minear</t>
  </si>
  <si>
    <t>1905-1908</t>
  </si>
  <si>
    <t>Archives Center, NMAH (NMAH.AC.1021)</t>
  </si>
  <si>
    <t>27 of 100 views digitized</t>
  </si>
  <si>
    <t>https://sova.si.edu/record/nmah.ac.1021</t>
  </si>
  <si>
    <t>Commercial construction-era views, captions printed in the negative; all 27 digitized views read 2026-09. Fishbaugh's studio imprint 'Empire C.Z.' on every print.</t>
  </si>
  <si>
    <t>S-018</t>
  </si>
  <si>
    <t>The Panama Canal, plate from Shepherd's Historical Atlas (1911)</t>
  </si>
  <si>
    <t>William R. Shepherd</t>
  </si>
  <si>
    <t>PCL Map Collection, UT Austin</t>
  </si>
  <si>
    <t>shepherd-c-216 / panama_canal_shepherd.jpg</t>
  </si>
  <si>
    <t>https://maps.lib.utexas.edu/maps/historical/shepherd/panama_canal_shepherd.jpg</t>
  </si>
  <si>
    <t>N</t>
  </si>
  <si>
    <t>1:400,000 map + canal profile placing each line settlement at its statute mile. Tertiary source but the full village sequence on one sheet; read 2026-09, saved to ~/Desktop/PCL Canal Zone Maps.</t>
  </si>
  <si>
    <t>ARC-13</t>
  </si>
  <si>
    <t>S-019</t>
  </si>
  <si>
    <t>Eastern Reflector (Greenville, North Carolina)</t>
  </si>
  <si>
    <t>1879-1919</t>
  </si>
  <si>
    <t>ECU Digital Collections (Joyner Library)</t>
  </si>
  <si>
    <t>digital.lib.ecu.edu</t>
  </si>
  <si>
    <t>https://digital.lib.ecu.edu/</t>
  </si>
  <si>
    <t>Greenville NC weekly; full-text OCR embedded in ECU item pages. Carries window-era canal coverage incl. Old Gatun removal (1 May 1908). Harvest: data/ecu/ (2026-09-07).</t>
  </si>
  <si>
    <t>ARC-12</t>
  </si>
  <si>
    <t>S-020</t>
  </si>
  <si>
    <t>East Carolina University Digital Collections: Canal Zone material (Daily Reflector, oral histories, yearbooks)</t>
  </si>
  <si>
    <t>1920-1990</t>
  </si>
  <si>
    <t>Umbrella source for post-window ECU material: Daily Reflector, Navy/veteran oral histories, university records. 1,026 items scanned; 196 canal-context mentions. Harvest: data/ecu/.</t>
  </si>
  <si>
    <t>S-021</t>
  </si>
  <si>
    <t>Internet Archive canal-era texts (1,315 digitized volumes)</t>
  </si>
  <si>
    <t>1880-1980</t>
  </si>
  <si>
    <t>Internet Archive</t>
  </si>
  <si>
    <t>archive.org</t>
  </si>
  <si>
    <t>https://archive.org/</t>
  </si>
  <si>
    <t>Umbrella source for IA full-text harvest (data/internet-archive/): ICC hearings, Governor annual reports, Canal Zone pilot 1908, memoirs, natural-history surveys. Each attestation names its text in page/plate. Overlaps Canal Record (S-003) for official serials; picks prefer non-duplicate texts.</t>
  </si>
  <si>
    <t>ARC-11</t>
  </si>
  <si>
    <t>S-022</t>
  </si>
  <si>
    <t>General map of Empire (pcc00020)</t>
  </si>
  <si>
    <t>Office of Res. Engr., Empire</t>
  </si>
  <si>
    <t>c.1907-08</t>
  </si>
  <si>
    <t>g4872e.pcc00020</t>
  </si>
  <si>
    <t>https://www.loc.gov/item/2007627522/</t>
  </si>
  <si>
    <t>Empire pilot-town plan, 1:992 fitted; chained via ICC1911</t>
  </si>
  <si>
    <t>S-023</t>
  </si>
  <si>
    <t>Map of Culebra (pcc00016)</t>
  </si>
  <si>
    <t>ICC Central Division, Office of Res. Engr.</t>
  </si>
  <si>
    <t>g4874c.pcc00016</t>
  </si>
  <si>
    <t>https://www.loc.gov/item/2007627520/</t>
  </si>
  <si>
    <t>Faint photostat; along-canal anchor = K.54 arrow reading (corroborated by 1895 sheet)</t>
  </si>
  <si>
    <t>S-024</t>
  </si>
  <si>
    <t>Map of new town near Culebra, 1:1000 (pcc00015)</t>
  </si>
  <si>
    <t>ICC</t>
  </si>
  <si>
    <t>g4874c.pcc00015</t>
  </si>
  <si>
    <t>https://www.loc.gov/item/2007627519/</t>
  </si>
  <si>
    <t>Planned New Culebra grid; centerline monuments Sta 1740/1750; fitted 1:996</t>
  </si>
  <si>
    <t>S-025</t>
  </si>
  <si>
    <t>Map of Gorgona saloon-licensing areas, 1:2000 (pcc00017)</t>
  </si>
  <si>
    <t>g4874g.pcc00017</t>
  </si>
  <si>
    <t>https://www.loc.gov/item/2007627521/</t>
  </si>
  <si>
    <t>Building-level Gorgona; Tier-1 anchored</t>
  </si>
  <si>
    <t>S-026</t>
  </si>
  <si>
    <t>Plan du village de Guachapali, 1:500 (pcc00018)</t>
  </si>
  <si>
    <t>Cie Universelle du Canal</t>
  </si>
  <si>
    <t>g4874g.pcc00018</t>
  </si>
  <si>
    <t>https://www.loc.gov/item/2007627523/</t>
  </si>
  <si>
    <t>French company</t>
  </si>
  <si>
    <t>Guachapali village plan; anchored to surviving Av Central / old PRR station</t>
  </si>
  <si>
    <t>S-027</t>
  </si>
  <si>
    <t>Surveys of the Panama Canal, Maps Numbers 1-2 (Isthmian Canal Commission 1905-06, published 1908)</t>
  </si>
  <si>
    <t>(2 sheets, 1:12,000)</t>
  </si>
  <si>
    <t>https://www.loc.gov/</t>
  </si>
  <si>
    <t>Pre-flood village survey Colon-Gorgona; Map No.3 (Pacific reach) not held - hunt at LOC</t>
  </si>
  <si>
    <t>S-028</t>
  </si>
  <si>
    <t>Plano de tierras del Rio Chagres (pcc00023, dated May 1862)</t>
  </si>
  <si>
    <t>Panama Rail Road land survey</t>
  </si>
  <si>
    <t>g4872c.pcc00023</t>
  </si>
  <si>
    <t>https://www.loc.gov/item/2007627526/</t>
  </si>
  <si>
    <t>PRR company</t>
  </si>
  <si>
    <t>Land-claims plano; lower river compressed ~45% - per-region honesty in GEOREF_LOG</t>
  </si>
  <si>
    <t>S-029</t>
  </si>
  <si>
    <t>Maps of proposed canal, Gorgona to Panama, 1895 (3 sheets)</t>
  </si>
  <si>
    <t>Cie Nouvelle du Canal de Panama</t>
  </si>
  <si>
    <t>https://www.loc.gov/item/93680805/</t>
  </si>
  <si>
    <t>French K-posts drawn; K.54 corroborates CULEBRA1910 anchor</t>
  </si>
  <si>
    <t>S-030</t>
  </si>
  <si>
    <t>Plans showing location of buildings in the encampments, Culebra Division (21 sheets, 1:1000)</t>
  </si>
  <si>
    <t>https://www.loc.gov/item/83694727/</t>
  </si>
  <si>
    <t>Building-level camp/town plans Bas Obispo-Pedro Miguel; 20 of 21 sheets fitted via K-datum stationing</t>
  </si>
  <si>
    <t>S-031</t>
  </si>
  <si>
    <t>Canal Zone and Vicinity, 1:100,000 (pcc00002)</t>
  </si>
  <si>
    <t>Panama Canal / Corps of Engineers</t>
  </si>
  <si>
    <t>g4872c.pcc00002</t>
  </si>
  <si>
    <t>https://www.loc.gov/item/2007626685/</t>
  </si>
  <si>
    <t>Epilogue-era zone sheet; graticule affine RMS 21-31 m; locks check 50-130 m</t>
  </si>
  <si>
    <t>S-032</t>
  </si>
  <si>
    <t>Presencia china en las construcciones del ferrocarril y del Canal de Panamá (1852-1914)</t>
  </si>
  <si>
    <t>Chen, Berta Alicia</t>
  </si>
  <si>
    <t>2014</t>
  </si>
  <si>
    <t>Museo del Canal Interoceánico (BiblioMUCI, biblio 6326)</t>
  </si>
  <si>
    <t>L 972.875 / ISBN 978-9962-633-39-6</t>
  </si>
  <si>
    <t>http://typismuci.museodelcanal.com/cgi-bin/koha/opac-detail.pl?biblionumber=6326</t>
  </si>
  <si>
    <t>Panamanian scholarship (MDC, 2014) documenting the Chinese community in the railroad and canal construction zones. Cited via its catalogued contents/figure list at Museo del Canal (physical book, no digital copy). Includes Cuadro 2: 'Censo de la población china en la Zona del Canal por pueblo (1908)' and captioned images of Chinese commerce in Emperador, Gorgona, Matachín, Cerro Paraíso. Counter-archive to the US official record's silence on the Asian population of these towns.</t>
  </si>
  <si>
    <t>S-033</t>
  </si>
  <si>
    <t>1940 Census Enumeration District Maps - Panama Canal Zone (A3378)</t>
  </si>
  <si>
    <t>U.S. Census Bureau</t>
  </si>
  <si>
    <t>1940</t>
  </si>
  <si>
    <t>NARA (RG 29, via catalog.archives.gov)</t>
  </si>
  <si>
    <t>A3378/PC; naIds 5838606-5838626</t>
  </si>
  <si>
    <t>https://catalog.archives.gov/id/5838606</t>
  </si>
  <si>
    <t>Building-level photostat town plans, hand-stamped 1940, one item per town/ED (Balboa + Cristobal counties). Downloaded 2026-09-05 into the NARA Desktop folder; recognised and mined 2026-09-13 (data/census/). Georeferencing candidates.</t>
  </si>
  <si>
    <t>ARC-14</t>
  </si>
  <si>
    <t>S-034</t>
  </si>
  <si>
    <t>1950 Census Enumeration District Maps - Panama Canal Zone</t>
  </si>
  <si>
    <t>naId 75639631</t>
  </si>
  <si>
    <t>https://catalog.archives.gov/id/75639631</t>
  </si>
  <si>
    <t>Zone-wide ED map set (ED 1-1..1-55, 2-1..2-52); no single-place items - registered for era context, attests no individual place yet.</t>
  </si>
  <si>
    <t>S-035</t>
  </si>
  <si>
    <t>Digital Library of the Caribbean, searched in full text (Caribbean Newspaper Digital Library and related collections)</t>
  </si>
  <si>
    <t>Digital Library of the Caribbean (UF/FIU consortium)</t>
  </si>
  <si>
    <t>1880-1950</t>
  </si>
  <si>
    <t>dLOC (open patron API, aggregation dloc1)</t>
  </si>
  <si>
    <t>aggregation dloc1</t>
  </si>
  <si>
    <t>https://dloc.com</t>
  </si>
  <si>
    <t>Bridgetown/Nassau/Hamilton/Kingston press + Caribbean serials, full-text. Swept 2026-09-13 (data/silvermen/): item-level probe, name + panama co-occurrence; KWIC verification pending per name. The Silver Men consortium's registers themselves are NOT online - see ARC-05.</t>
  </si>
  <si>
    <t>ARC-09</t>
  </si>
  <si>
    <t>S-036</t>
  </si>
  <si>
    <t>Isthmian Historical Society competition letters ('Silver People', 1963)</t>
  </si>
  <si>
    <t>West Indian canal workers (85+ first-person accounts); IHS</t>
  </si>
  <si>
    <t>1963 (recalling 1904-14)</t>
  </si>
  <si>
    <t>dLOC (Digital Library of the Caribbean)</t>
  </si>
  <si>
    <t>bibid AA00016037</t>
  </si>
  <si>
    <t>https://dloc.com/AA00016037</t>
  </si>
  <si>
    <t>THE first-person counter-archive: competition for 'best true stories of life and work' by surviving West Indian canal workers, full-text searchable on dLOC. Found 2026-09-13 during the Silver Men KWIC pass. Follow-up queued: probe all 157 place names against this bibid's page text. | Full-roster probe run 2026-09-13 (data/silvermen/silverpeople_probe.csv): 122 names, 62 present / 60 absent; positives + town-scale expected-absences imported as attestations. Building-scale absences NOT claimed (phrase-brittle: letters say 'comsy of Empire'); 'Cerro' excluded as generic Spanish. | Scope 2026-09-14: Colon-fringe places the letters name (Coolie Town, Pueblo Nuevo) DECLINED as outside the Zone model - documented in LETTER_GEOMETRY_NOTES.md; testimony preserved in town notes.</t>
  </si>
  <si>
    <t>S-037</t>
  </si>
  <si>
    <t>Map of Pacific Terminal Cities (Engineer Base Reproduction Plant, Panama Canal Department)</t>
  </si>
  <si>
    <t>Office of the Department Engineer; reprinted 7465th AU Engineers, Corozal C.Z.</t>
  </si>
  <si>
    <t>1947-10 (printed 1952-53)</t>
  </si>
  <si>
    <t>pcc00008</t>
  </si>
  <si>
    <t>US military</t>
  </si>
  <si>
    <t>Yes</t>
  </si>
  <si>
    <t>S-038</t>
  </si>
  <si>
    <t>Plano de la Ciudad de Panama en 1904 (C. Bertoncini, 1:5000)</t>
  </si>
  <si>
    <t>C. Bertoncini</t>
  </si>
  <si>
    <t>1904</t>
  </si>
  <si>
    <t>pcc00019</t>
  </si>
  <si>
    <t>S-039</t>
  </si>
  <si>
    <t>Note sur la constitution geologique de l'isthme de Panama, au point de vue de l'execution du canal interoceanique</t>
  </si>
  <si>
    <t>Boutan, E.</t>
  </si>
  <si>
    <t>1880</t>
  </si>
  <si>
    <t>Bibliotheque nationale de France (Gallica)</t>
  </si>
  <si>
    <t>ark:/12148/bd6t5777148r</t>
  </si>
  <si>
    <t>https://gallica.bnf.fr/ark:/12148/bd6t5777148r</t>
  </si>
  <si>
    <t>Harvested 2026-09-14 via Gallica open APIs (SRU + ContentSearch); French canal-era (pre-US) attestation. See data/gallica/.</t>
  </si>
  <si>
    <t>ARC-17</t>
  </si>
  <si>
    <t>S-040</t>
  </si>
  <si>
    <t>A travers l'isthme de Panama: Trace interoceanique de L. N. B. Wyse et A. Reclus</t>
  </si>
  <si>
    <t>Verbrugghe, Louis</t>
  </si>
  <si>
    <t>1879</t>
  </si>
  <si>
    <t>ark:/12148/bpt6k5400855p</t>
  </si>
  <si>
    <t>https://gallica.bnf.fr/ark:/12148/bpt6k5400855p</t>
  </si>
  <si>
    <t>S-041</t>
  </si>
  <si>
    <t>Le Canal de Panama en 1886, rapport presente par M. Jules-Charles Roux</t>
  </si>
  <si>
    <t>Charles-Roux, Jules</t>
  </si>
  <si>
    <t>1886</t>
  </si>
  <si>
    <t>ark:/12148/bpt6k1092498c</t>
  </si>
  <si>
    <t>https://gallica.bnf.fr/ark:/12148/bpt6k1092498c</t>
  </si>
  <si>
    <t>S-042</t>
  </si>
  <si>
    <t>Map of the Isthmus of Panama representing the line of the Panama Rail Road (G.M. Totten, Chief Engineer, 1857; 8000ft/in = 1:96,000)</t>
  </si>
  <si>
    <t>George M. Totten / Panama Rail Road Co.</t>
  </si>
  <si>
    <t>1857</t>
  </si>
  <si>
    <t>pcc00004</t>
  </si>
  <si>
    <t>US corporate (PRR)</t>
  </si>
  <si>
    <t>S-043</t>
  </si>
  <si>
    <t>Lands belonging to the Panama Rail Road Co., Panama City and environs (200 ft/in = 1:2,400)</t>
  </si>
  <si>
    <t>Panama Rail Road Company</t>
  </si>
  <si>
    <t>1857 (c.)</t>
  </si>
  <si>
    <t>pcc00013</t>
  </si>
  <si>
    <t>S-044</t>
  </si>
  <si>
    <t>La estrella de Panama (LOC World Newspapers, full-text)</t>
  </si>
  <si>
    <t>La Estrella de Panama</t>
  </si>
  <si>
    <t>1849-current (digitized run at LOC)</t>
  </si>
  <si>
    <t>Library of Congress, Serial &amp; Govt Publications</t>
  </si>
  <si>
    <t>lccn 2010225009</t>
  </si>
  <si>
    <t>https://www.loc.gov/item/2010225009/</t>
  </si>
  <si>
    <t>THE Panamanian newspaper of record, full-text searchable at LOC - found 2026-09-14 during the Matachin hunt; the first Panamanian full-text corpus in the model. Roster probe 2026-09-14 in data/estrella/ (163 names, page-context queries per the Cloudflare recipe). KWIC/page-level verification pending per name; Spanish OCR quality varies.</t>
  </si>
  <si>
    <t>ARC-18</t>
  </si>
  <si>
    <t>S-045</t>
  </si>
  <si>
    <t>Cristobal-Colon-Mt. Hope (Engineer Base Reproduction Plant, Panama Canal Department, June 1947, 1:8,000)</t>
  </si>
  <si>
    <t>Office of the Department Engineer</t>
  </si>
  <si>
    <t>1947-06</t>
  </si>
  <si>
    <t>UF Smathers (Panama Canal Museum Collection)</t>
  </si>
  <si>
    <t>AA00038126</t>
  </si>
  <si>
    <t>ARC-19</t>
  </si>
  <si>
    <t>S-046</t>
  </si>
  <si>
    <t>Map of the United States Canal Zone showing the completed Panama Canal (C.S. Hammond &amp; Co. atlas page)</t>
  </si>
  <si>
    <t>C.S. Hammond &amp; Co., N.Y.</t>
  </si>
  <si>
    <t>1927 (base ~1912)</t>
  </si>
  <si>
    <t>UF Smathers (PCM AA00038443)</t>
  </si>
  <si>
    <t>AA00038443</t>
  </si>
  <si>
    <t>US commercial</t>
  </si>
  <si>
    <t>No</t>
  </si>
  <si>
    <t>S-047</t>
  </si>
  <si>
    <t>Map of the Canal Zone and Vicinity 1:100,000, 1927 base revised 1973</t>
  </si>
  <si>
    <t>The Panama Canal</t>
  </si>
  <si>
    <t>1973 (rev. of 1927 base)</t>
  </si>
  <si>
    <t>ECU Digital Collections (Robert Morgan Papers, 56832)</t>
  </si>
  <si>
    <t>56832</t>
  </si>
  <si>
    <t>S-048</t>
  </si>
  <si>
    <t>Carte topographique de l'Isthme de Panama entre Panama et Chagres, avec le trace du canal maritime (Napoleon Garella, dressee 1844, pub. 1845, 1:200,000)</t>
  </si>
  <si>
    <t>Napoleon Garella / Corps Royal des Mines</t>
  </si>
  <si>
    <t>1844 (pub. 1845)</t>
  </si>
  <si>
    <t>UF Smathers (UF00100942)</t>
  </si>
  <si>
    <t>UF00100942</t>
  </si>
  <si>
    <t>French state survey</t>
  </si>
  <si>
    <t>S-049</t>
  </si>
  <si>
    <t>Chart of the Harbour of Chagres, surveyed 1829 (J.A. Lloyd; Phil. Trans. 1829 Plate V)</t>
  </si>
  <si>
    <t>J.A. Lloyd / Royal Society</t>
  </si>
  <si>
    <t>1829 (surveyed)</t>
  </si>
  <si>
    <t>Wikimedia Commons (Phil. Trans. plates)</t>
  </si>
  <si>
    <t>107889_0028 (+0027 Limon Bay, 0011/0017 isthmus)</t>
  </si>
  <si>
    <t>British survey</t>
  </si>
  <si>
    <t>ARC-16</t>
  </si>
  <si>
    <t>S-050</t>
  </si>
  <si>
    <t>Plans des principaux chantiers au 1er juin 1883 (Compagnie Universelle du Canal Interoceanique de Panama)</t>
  </si>
  <si>
    <t>Compagnie Universelle du Canal Interoceanique; grave par Erhard, Paris</t>
  </si>
  <si>
    <t>1883</t>
  </si>
  <si>
    <t>ark:/12148/btv1b8439064m; BnF Ge D 152/153</t>
  </si>
  <si>
    <t>https://gallica.bnf.fr/ark:/12148/btv1b8439064m</t>
  </si>
  <si>
    <t>Compagnie worksite plan, 1:20,000, 7 insets (Colon, Buhio-Soldado, San-Pablo, Gorgona, Matachin, Bas-Obispo, Emperador-Culebra). Canal/tracks/installations in RED; labor camps (campements) drawn as building clusters. Read 2026-09-14; towns recorded as Existence/mention with descriptive positions - NOT georeferenced to lat/lng (no unified graticule; GCP extraction is a follow-up). Full-res at data/georef/gallica_maps/.</t>
  </si>
  <si>
    <t>S-051</t>
  </si>
  <si>
    <t>Plan general du Canal (juillet 1886) + Profil geologique suivant l'axe du canal (Compagnie Universelle)</t>
  </si>
  <si>
    <t>ark:/12148/btv1b53060301n; BnF Ge C 3134</t>
  </si>
  <si>
    <t>https://gallica.bnf.fr/ark:/12148/btv1b53060301n</t>
  </si>
  <si>
    <t>1:50,000 map of the whole canal line + a geological profile along the axis giving each town's kilometer position (PK) from Colon (PK 0) to Panama (PK 74.5). Read 2026-09-14; town PKs recorded as the French survey-grid positions (lat/long conversion via the canal alignment is a follow-up). Full-res at data/georef/gallica_maps/ (20045x7767).</t>
  </si>
  <si>
    <t>S-052</t>
  </si>
  <si>
    <t>Map of the Canal Zone and Vicinity, January 1927, 1:100,000 (The Panama Canal; NARA 185-G-2220 photo print)</t>
  </si>
  <si>
    <t>The Panama Canal (compiled under O.E. Malsbury, Section of Surveys)</t>
  </si>
  <si>
    <t>1927-01</t>
  </si>
  <si>
    <t>NARA (RG 185-G, naId 100999006; via catalog IIIF)</t>
  </si>
  <si>
    <t>185-G-2220</t>
  </si>
  <si>
    <t>https://catalog.archives.gov/id/100999006</t>
  </si>
  <si>
    <t>S-053</t>
  </si>
  <si>
    <t>Map of the Canal route at the beginning of American occupation (manuscript topographic compilation, c.1904; LOC pcc00001)</t>
  </si>
  <si>
    <t>Isthmian Canal Commission (compilation)</t>
  </si>
  <si>
    <t>pcc00001 (82690134); local file 4.tif</t>
  </si>
  <si>
    <t>https://www.loc.gov/item/82690134/</t>
  </si>
  <si>
    <t>S-054</t>
  </si>
  <si>
    <t>The Panama Canal - Map of the Canal Zone, Aug. 1, 1920 (Governor; Raggi-file copy with manuscript route annotations)</t>
  </si>
  <si>
    <t>The Panama Canal (Governor Chester Harding)</t>
  </si>
  <si>
    <t>1920-08-01</t>
  </si>
  <si>
    <t>NARA (RG 185, Historical Files of Arthur Raggi, naId 6861830)</t>
  </si>
  <si>
    <t>RG185RaggiFilesFolder1-CanalZone</t>
  </si>
  <si>
    <t>https://catalog.archives.gov/id/6861830</t>
  </si>
  <si>
    <t>Colonial power - US official</t>
  </si>
  <si>
    <t>S-055</t>
  </si>
  <si>
    <t>Planta y Perspectiva de la Ciudad de Panama y su Fortificacion, 1688 (1891 photographic copy)</t>
  </si>
  <si>
    <t>anon. (1688); 1891 copy</t>
  </si>
  <si>
    <t>1688 (copy 1891)</t>
  </si>
  <si>
    <t>NARA (185-G-2156, naId 100998878)</t>
  </si>
  <si>
    <t>185-G-2156</t>
  </si>
  <si>
    <t>https://catalog.archives.gov/id/100998878</t>
  </si>
  <si>
    <t>Colonized - Spanish colonial (via US archive)</t>
  </si>
  <si>
    <t>S-056</t>
  </si>
  <si>
    <t>Historical Map of Canal Zone and Vicinity: Routes, Settlements etc. between 1502 and 1855 (Section of Surveys, Feb 1 1934)</t>
  </si>
  <si>
    <t>The Panama Canal, Section of Surveys</t>
  </si>
  <si>
    <t>1934-02-01</t>
  </si>
  <si>
    <t>NARA (185-G-211, naId 100995004)</t>
  </si>
  <si>
    <t>185-G-211 / 26-A-1-(11)</t>
  </si>
  <si>
    <t>https://catalog.archives.gov/id/100995004</t>
  </si>
  <si>
    <t>Colonial power - US official (memory cartography)</t>
  </si>
  <si>
    <t>S-057</t>
  </si>
  <si>
    <t>Planos de las tierras baldias cuya adjudicacion pide la Compania Universal del Canal Interoceanico (3 lots, 1888: Tucuti, Darien, 204,500 ha; Catabella y San Pedro, Bocas del Toro, 109,200 ha; Sigsola y Robalo, Bocas del Toro, 190,500 ha)</t>
  </si>
  <si>
    <t>Compagnie Universelle du Canal Interoceanique</t>
  </si>
  <si>
    <t>1888</t>
  </si>
  <si>
    <t>ark:/12148/btv1b52525881g, btv1b52525883c, btv1b525258801</t>
  </si>
  <si>
    <t>https://gallica.bnf.fr/ark:/12148/btv1b52525881g</t>
  </si>
  <si>
    <t>French canal company</t>
  </si>
  <si>
    <t>The company's petitions to Colombia for 504,200 hectares of 'tierras baldias' (vacant lands) - NONE on the canal line (the sweep registry's 'French line towns' expectation was wrong). The maps refute their own legal category: villages, named smallholder ranchos (M. Gonzales, Florencio Leon, J.B. Torres), an explicit CASERIO INDIO on Punta Bluefield, plantations and the Camino Real are all drawn INSIDE the lots, under 'FORETS VIERGES' lettering. Vacancy-declaration as erasure, 1888 - the mechanism the dissertation tracks in the Zone, a generation early and at territorial scale. Longitudes on the Bogota meridian; stated Escala 1/20.000 on the Bocas sheets (Tucuti scale digit uncertain, ~1/50.000 by graticule span). Out of the study frame: no attestations (PRRLANDS1857 precedent); inventory in TIERRAS1888_features.csv.</t>
  </si>
  <si>
    <t>attestation_id (PK)</t>
  </si>
  <si>
    <t>place_id (FK)</t>
  </si>
  <si>
    <t>source_id (FK)</t>
  </si>
  <si>
    <t>attestation_type</t>
  </si>
  <si>
    <t>name_as_recorded</t>
  </si>
  <si>
    <t>name_lang</t>
  </si>
  <si>
    <t>att_lat</t>
  </si>
  <si>
    <t>att_lng</t>
  </si>
  <si>
    <t>positional_method</t>
  </si>
  <si>
    <t>positional_uncertainty_m</t>
  </si>
  <si>
    <t>when_start</t>
  </si>
  <si>
    <t>when_end</t>
  </si>
  <si>
    <t>temporal_confidence</t>
  </si>
  <si>
    <t>confidence</t>
  </si>
  <si>
    <t>page / plate</t>
  </si>
  <si>
    <t>transcript / note</t>
  </si>
  <si>
    <t>medium (auto)</t>
  </si>
  <si>
    <t>medium_group (auto)</t>
  </si>
  <si>
    <t>source_origin (auto)</t>
  </si>
  <si>
    <t>A-0001</t>
  </si>
  <si>
    <t>Name</t>
  </si>
  <si>
    <t>Cruces (Venta Cruz)</t>
  </si>
  <si>
    <t>es</t>
  </si>
  <si>
    <t>Among villages to be flooded.</t>
  </si>
  <si>
    <t>A-0002</t>
  </si>
  <si>
    <t>Las Cruces</t>
  </si>
  <si>
    <t>1530</t>
  </si>
  <si>
    <t>1855</t>
  </si>
  <si>
    <t>A-0003</t>
  </si>
  <si>
    <t>Geometry (Setting)</t>
  </si>
  <si>
    <t>Georeferenced map GCP</t>
  </si>
  <si>
    <t>locate sheet</t>
  </si>
  <si>
    <t>Depicted on ICC map.</t>
  </si>
  <si>
    <t>A-0004</t>
  </si>
  <si>
    <t>Existence / mention</t>
  </si>
  <si>
    <t>search</t>
  </si>
  <si>
    <t>Search Canal Record.</t>
  </si>
  <si>
    <t>A-0005</t>
  </si>
  <si>
    <t>Erasure event</t>
  </si>
  <si>
    <t>Gatun (old village)</t>
  </si>
  <si>
    <t>Abandoned 1908.</t>
  </si>
  <si>
    <t>A-0006</t>
  </si>
  <si>
    <t>Gatun</t>
  </si>
  <si>
    <t>Pre-relocation position.</t>
  </si>
  <si>
    <t>A-0007</t>
  </si>
  <si>
    <t>Relocation narrative.</t>
  </si>
  <si>
    <t>A-0008</t>
  </si>
  <si>
    <t>en</t>
  </si>
  <si>
    <t>Receiving settlement.</t>
  </si>
  <si>
    <t>A-0009</t>
  </si>
  <si>
    <t>locate</t>
  </si>
  <si>
    <t>On 1911 property map.</t>
  </si>
  <si>
    <t>A-0010</t>
  </si>
  <si>
    <t>English ICC usage.</t>
  </si>
  <si>
    <t>A-0011</t>
  </si>
  <si>
    <t>Spanish toponym.</t>
  </si>
  <si>
    <t>A-0012</t>
  </si>
  <si>
    <t>1912 policy clearance.</t>
  </si>
  <si>
    <t>A-0013</t>
  </si>
  <si>
    <t>Georeference property map.</t>
  </si>
  <si>
    <t>A-0014</t>
  </si>
  <si>
    <t>Silver Roll labor presence.</t>
  </si>
  <si>
    <t>A-0015</t>
  </si>
  <si>
    <t>1915</t>
  </si>
  <si>
    <t>Canal Record refs.</t>
  </si>
  <si>
    <t>A-0016</t>
  </si>
  <si>
    <t>Depopulation case.</t>
  </si>
  <si>
    <t>A-0017</t>
  </si>
  <si>
    <t>ICC map depiction.</t>
  </si>
  <si>
    <t>A-0018</t>
  </si>
  <si>
    <t>Near Gaillard Cut.</t>
  </si>
  <si>
    <t>A-0019</t>
  </si>
  <si>
    <t>ICC admin presence.</t>
  </si>
  <si>
    <t>A-0020</t>
  </si>
  <si>
    <t>Flooded-village list.</t>
  </si>
  <si>
    <t>A-0021</t>
  </si>
  <si>
    <t>Georeference.</t>
  </si>
  <si>
    <t>A-0022</t>
  </si>
  <si>
    <t>A-0023</t>
  </si>
  <si>
    <t>Single source; unlocatable.</t>
  </si>
  <si>
    <t>A-0024</t>
  </si>
  <si>
    <t>Single source.</t>
  </si>
  <si>
    <t>A-0025</t>
  </si>
  <si>
    <t>A-0026</t>
  </si>
  <si>
    <t>Type</t>
  </si>
  <si>
    <t>town</t>
  </si>
  <si>
    <t>ICC map labels it a town.</t>
  </si>
  <si>
    <t>A-0027</t>
  </si>
  <si>
    <t>station / landing</t>
  </si>
  <si>
    <t>Listed as a railroad station/landing.</t>
  </si>
  <si>
    <t>A-0028</t>
  </si>
  <si>
    <t>Implied / inferred</t>
  </si>
  <si>
    <t>Existence implied by labor/commissary + sanitation records.</t>
  </si>
  <si>
    <t>A-0029</t>
  </si>
  <si>
    <t>Panamanian-side holdings reference.</t>
  </si>
  <si>
    <t>A-0030</t>
  </si>
  <si>
    <t>Local/Panamanian memory; absent from US maps.</t>
  </si>
  <si>
    <t>A-0031</t>
  </si>
  <si>
    <t>searched sheet</t>
  </si>
  <si>
    <t>CORRECTED by 2026-09-12 audit: original negative was wrong - the sheet labels 'Bailamonos' in text (marks read as A-0520). Converted to a Name attestation.</t>
  </si>
  <si>
    <t>A-0032</t>
  </si>
  <si>
    <t>Negative (searched-absent)</t>
  </si>
  <si>
    <t>Locally remembered but absent from the official 1910 cartography. [2026-09-12 audit: the 1911 property map DOES label SANTA CRUZ, 52 m from the stored position - this negative is specific to the 1910 zone map.]</t>
  </si>
  <si>
    <t>A-0040</t>
  </si>
  <si>
    <t>Hospital noted in Canal Record.</t>
  </si>
  <si>
    <t>A-0041</t>
  </si>
  <si>
    <t>On ICC town plan. [2026-09-12 audit: source corrected S-006-&gt;S-022 - note says 'town plan'; the 1:80,000 zone sheet shows no civic buildings.] [2026-09-14 full-sheet sweep of pcc00020: NO Hospital label anywhere on the sheet - attestation contradicted; UNRESOLVED: retract or identify the actual source. Dispensary is the plan's only medical label.] | RETRACTED 2026-09-14: the full-sheet sweep found no Hospital label anywhere on pcc00020 - 'On ICC town plan' cannot be sourced to the sheet (probable early conflation with the Dispensary label). Ignore this row.</t>
  </si>
  <si>
    <t>A-0042</t>
  </si>
  <si>
    <t>Silver quarters</t>
  </si>
  <si>
    <t>Silver-roll housing in community record.</t>
  </si>
  <si>
    <t>A-0043</t>
  </si>
  <si>
    <t>Commissary in Canal Record.</t>
  </si>
  <si>
    <t>A-0044</t>
  </si>
  <si>
    <t>Clubhouse</t>
  </si>
  <si>
    <t>Clubhouse/cinema in Canal Record. | repointed CZ-103 -&gt; CZ-125 2026-09-14 (the Canal Record 'Clubhouse' and the plan's Y.M.C.A. are the same institution - ICC clubhouses were YMCA-operated)</t>
  </si>
  <si>
    <t>A-0045</t>
  </si>
  <si>
    <t>Gold quarters</t>
  </si>
  <si>
    <t>Gold-roll housing on property map.</t>
  </si>
  <si>
    <t>A-0046</t>
  </si>
  <si>
    <t>Plaza</t>
  </si>
  <si>
    <t>Plaza on ICC town plan. [2026-09-12 audit: source corrected S-006-&gt;S-022 - note says 'town plan'; the 1:80,000 zone sheet shows no civic buildings. Early seed; near-duplicate of A-0554 from the systematic S-022 harvest - kept for provenance.] | repointed CZ-106 -&gt; CZ-120 2026-09-13 (Grand Stand label misread on mirrored text)</t>
  </si>
  <si>
    <t>A-0047</t>
  </si>
  <si>
    <t>Chapel</t>
  </si>
  <si>
    <t>West Indian chapel in community record.</t>
  </si>
  <si>
    <t>A-0048</t>
  </si>
  <si>
    <t>School noted in Canal Record.</t>
  </si>
  <si>
    <t>A-0049</t>
  </si>
  <si>
    <t>Silver quarters not shown on official ICC cartography though present.</t>
  </si>
  <si>
    <t>A-0050</t>
  </si>
  <si>
    <t>Cemetery expected but absent from the official 1910 sheet.</t>
  </si>
  <si>
    <t>A-0051</t>
  </si>
  <si>
    <t>p.2</t>
  </si>
  <si>
    <t>CZ post office in operation 5 Feb 1906.</t>
  </si>
  <si>
    <t>A-0052</t>
  </si>
  <si>
    <t>CZ post office in operation 5 Feb 1906 (also 'Ancon, station A').</t>
  </si>
  <si>
    <t>A-0053</t>
  </si>
  <si>
    <t>de</t>
  </si>
  <si>
    <t>p.1</t>
  </si>
  <si>
    <t>Commissary settlement abandoned 1912 with progress of the canal.</t>
  </si>
  <si>
    <t>A-0054</t>
  </si>
  <si>
    <t>p.8</t>
  </si>
  <si>
    <t>ICC dump at Rio Grande (Stevens report reprint). https://www.loc.gov/resource/sn84036008/1907-01-25/ed-1/?sp=8</t>
  </si>
  <si>
    <t>A-0055</t>
  </si>
  <si>
    <t>A-0056</t>
  </si>
  <si>
    <t>1897</t>
  </si>
  <si>
    <t>Two successive locks at Pedro Miguel (new Panama Canal Co. plan). https://www.loc.gov/resource/sn86090439/1897-03-16/ed-1/?sp=1</t>
  </si>
  <si>
    <t>A-0057</t>
  </si>
  <si>
    <t>A-0058</t>
  </si>
  <si>
    <t>1887</t>
  </si>
  <si>
    <t>p.4</t>
  </si>
  <si>
    <t>171,000 m3 of canal work at La Boca, Jan-Mar 1887 excavation table.</t>
  </si>
  <si>
    <t>A-0059</t>
  </si>
  <si>
    <t>A-0060</t>
  </si>
  <si>
    <t>Corozal (appears as: Corvzal)</t>
  </si>
  <si>
    <t>5,000 m3 at Corozal in 1887 excavation table (OCR garbled).</t>
  </si>
  <si>
    <t>A-0061</t>
  </si>
  <si>
    <t>A-0062</t>
  </si>
  <si>
    <t>1882</t>
  </si>
  <si>
    <t>Brigade Zegarra working at Frijoles under P. Sosa (French studies).</t>
  </si>
  <si>
    <t>A-0063</t>
  </si>
  <si>
    <t>CZ post office in operation 5 Feb 1906 (OCR 'Paralso').</t>
  </si>
  <si>
    <t>A-0064</t>
  </si>
  <si>
    <t>40,000 m3 at Paraiso in 1887 excavation table.</t>
  </si>
  <si>
    <t>A-0065</t>
  </si>
  <si>
    <t>A-0066</t>
  </si>
  <si>
    <t>Brigades Gueirre &amp; Lockling at San Pablo (French studies).</t>
  </si>
  <si>
    <t>A-0067</t>
  </si>
  <si>
    <t>A-0068</t>
  </si>
  <si>
    <t>Commissary closed 1911 when water was let into Gatun Lake.</t>
  </si>
  <si>
    <t>A-0069</t>
  </si>
  <si>
    <t>Tavernilla</t>
  </si>
  <si>
    <t>55,000 m3 at 'Tavernilla' in 1887 excavation table (spelling variant).</t>
  </si>
  <si>
    <t>A-0070</t>
  </si>
  <si>
    <t>Settlement given up in the months before May 1913.</t>
  </si>
  <si>
    <t>A-0071</t>
  </si>
  <si>
    <t>Matachin (appears as: Matachina, Mathachin)</t>
  </si>
  <si>
    <t>Named among villages to be lost in Gatun Lake; article debunks 'matar chino' fake etymology.</t>
  </si>
  <si>
    <t>A-0072</t>
  </si>
  <si>
    <t>Barbacoas (appears as: Barbacos)</t>
  </si>
  <si>
    <t>'Located between Tabernilla and San Pablo, where the railroad bridge crosses the Chagres' - relative location statement.</t>
  </si>
  <si>
    <t>A-0073</t>
  </si>
  <si>
    <t>Cruces, or Venta Cruz</t>
  </si>
  <si>
    <t>Among villages to be flooded; 35 miles up the Chagres; route to Panama.</t>
  </si>
  <si>
    <t>A-0074</t>
  </si>
  <si>
    <t>'To hang the lizard': landing on the Chagres named for a banner bearing a lizard, insignia of the Order of Santiago.</t>
  </si>
  <si>
    <t>A-0075</t>
  </si>
  <si>
    <t>Among villages to be flooded by Gatun Lake.</t>
  </si>
  <si>
    <t>A-0076</t>
  </si>
  <si>
    <t>A-0077</t>
  </si>
  <si>
    <t>Bailamonos (appears as: Ballamonos, Baila monos)</t>
  </si>
  <si>
    <t>A-0078</t>
  </si>
  <si>
    <t>Cruz de Juan Gallego (appears as: Juan Galgo)</t>
  </si>
  <si>
    <t>Among villages to be flooded. Only newspaper attestation found for this place (2 pages).</t>
  </si>
  <si>
    <t>A-0079</t>
  </si>
  <si>
    <t>'The old village of Gatun has been abandoned... practically covered by 80 feet of rock, earth and water.'</t>
  </si>
  <si>
    <t>A-0080</t>
  </si>
  <si>
    <t>A-0081</t>
  </si>
  <si>
    <t>Bas Obispo (appears as: Bas Obispos)</t>
  </si>
  <si>
    <t>Commissary closed 1911 because it lay too near the Marine camp.</t>
  </si>
  <si>
    <t>A-0082</t>
  </si>
  <si>
    <t>Cascadas</t>
  </si>
  <si>
    <t>Commissary settlement given up 1912.</t>
  </si>
  <si>
    <t>A-0083</t>
  </si>
  <si>
    <t>Commissary closed 1911 as water was let into Gatun Lake.</t>
  </si>
  <si>
    <t>A-0084</t>
  </si>
  <si>
    <t>Bohio Soldado</t>
  </si>
  <si>
    <t>Brigade Jarozinsky at Bohio Soldado (French studies).</t>
  </si>
  <si>
    <t>A-0085</t>
  </si>
  <si>
    <t>80,000 m3 at Emperador in 1887 excavation table (French-era name).</t>
  </si>
  <si>
    <t>A-0086</t>
  </si>
  <si>
    <t>80,000 m3 at Culebra in 1887 excavation table.</t>
  </si>
  <si>
    <t>A-0087</t>
  </si>
  <si>
    <t>Brigade Aramburn at Gamboa (French studies).</t>
  </si>
  <si>
    <t>A-0088</t>
  </si>
  <si>
    <t>Two ICC dumps at Miraflores (Stevens report reprint). https://www.loc.gov/resource/sn84036008/1907-01-25/ed-1/?sp=8 | KWIC 2026-09-13: 'two [spoil dumps] at Miraflores' - US works era begins; consistent with c.1906-09 settlement founding.</t>
  </si>
  <si>
    <t>A-0089</t>
  </si>
  <si>
    <t>One lock at Miraflores in new Panama Canal Co. plan. https://www.loc.gov/resource/sn86090439/1897-03-16/ed-1/?sp=1 | KWIC 2026-09-13: 'one lock at Miraflores, two successive at Pedro Miguel' - New Panama Canal Co. scheme description (1897-03-16, sn86090439): attests the lock site, not a settlement; date moved here, excluded from settlement dating.</t>
  </si>
  <si>
    <t>A-0090</t>
  </si>
  <si>
    <t>ICC dump at Mamei (Stevens report reprint). https://www.loc.gov/resource/sn84036008/1907-01-25/ed-1/?sp=8</t>
  </si>
  <si>
    <t>A-0091</t>
  </si>
  <si>
    <t>Dump at Haut Obispo, listed separately from Bas Obispo in the 1907 list; equated with CZ-014 as a name variant (decision 2026-09-05). https://www.loc.gov/resource/sn84036008/1907-01-25/ed-1/?sp=8</t>
  </si>
  <si>
    <t>A-0092</t>
  </si>
  <si>
    <t>Rainfall record at Porto Bello, Nov 1911 (2.46 in. in 3 min.).</t>
  </si>
  <si>
    <t>A-0093</t>
  </si>
  <si>
    <t>'Very favorable site' for the Chagres retaining dam at Alhajuela. https://www.loc.gov/resource/sn86090439/1897-03-16/ed-1/?sp=1</t>
  </si>
  <si>
    <t>A-0094</t>
  </si>
  <si>
    <t>Juan Grande (stream)</t>
  </si>
  <si>
    <t>p.6</t>
  </si>
  <si>
    <t>Listed as a Chagres tributary (stream), not a settlement. https://www.loc.gov/resource/sn85042373/1906-02-20/ed-1/?sp=6</t>
  </si>
  <si>
    <t>A-0095</t>
  </si>
  <si>
    <t>Gatuncillo (river)</t>
  </si>
  <si>
    <t>1884</t>
  </si>
  <si>
    <t>p.5</t>
  </si>
  <si>
    <t>Listed among Chagres-basin rivers (German engineering report). https://www.loc.gov/resource/sn85033492/1884-03-10/ed-1/?sp=5</t>
  </si>
  <si>
    <t>A-0096</t>
  </si>
  <si>
    <t>974 hits from 1883-05-11. Unverified OCR page hits in Chronicling America 1880-1920; see data/chronicling-america/mentions_summary.csv. Verify before upgrading.</t>
  </si>
  <si>
    <t>A-0097</t>
  </si>
  <si>
    <t>557 hits from 1880-02-03; may be the river. Unverified OCR page hits in Chronicling America 1880-1920; see data/chronicling-america/mentions_summary.csv. Verify before upgrading.</t>
  </si>
  <si>
    <t>A-0098</t>
  </si>
  <si>
    <t>359 hits from 1903-03-16; generic name. Unverified OCR page hits in Chronicling America 1880-1920; see data/chronicling-america/mentions_summary.csv. Verify before upgrading.</t>
  </si>
  <si>
    <t>A-0099</t>
  </si>
  <si>
    <t>256 hits from 1880-02-07. Unverified OCR page hits in Chronicling America 1880-1920; see data/chronicling-america/mentions_summary.csv. Verify before upgrading.</t>
  </si>
  <si>
    <t>A-0100</t>
  </si>
  <si>
    <t>175 hits from 1882-01-06. Unverified OCR page hits in Chronicling America 1880-1920; see data/chronicling-america/mentions_summary.csv. Verify before upgrading.</t>
  </si>
  <si>
    <t>A-0101</t>
  </si>
  <si>
    <t>209 hits from 1903-12-26. Unverified OCR page hits in Chronicling America 1880-1920; see data/chronicling-america/mentions_summary.csv. Verify before upgrading.</t>
  </si>
  <si>
    <t>A-0102</t>
  </si>
  <si>
    <t>23 hits from 1910-11-29. Unverified OCR page hits in Chronicling America 1880-1920; see data/chronicling-america/mentions_summary.csv. Verify before upgrading.</t>
  </si>
  <si>
    <t>A-0103</t>
  </si>
  <si>
    <t>289 hits; record-level harvest not yet run. Unverified OCR page hits in Chronicling America 1880-1920; see data/chronicling-america/mentions_summary.csv. Verify before upgrading.</t>
  </si>
  <si>
    <t>A-0104</t>
  </si>
  <si>
    <t>1,881 hits (with 'Canal Zone') from 1904-01-15. Unverified OCR page hits in Chronicling America 1880-1920; see data/chronicling-america/mentions_summary.csv. Verify before upgrading.</t>
  </si>
  <si>
    <t>A-0105</t>
  </si>
  <si>
    <t>1,867 hits from 1880-01-15; early hits may be other Mount Hopes. Unverified OCR page hits in Chronicling America 1880-1920; see data/chronicling-america/mentions_summary.csv. Verify before upgrading.</t>
  </si>
  <si>
    <t>A-0106</t>
  </si>
  <si>
    <t>972 hits from 1882-09-11. Unverified OCR page hits in Chronicling America 1880-1920; see data/chronicling-america/mentions_summary.csv. Verify before upgrading.</t>
  </si>
  <si>
    <t>A-0107</t>
  </si>
  <si>
    <t>Vol. I, Page 9</t>
  </si>
  <si>
    <t>Earliest Canal Record mention (of 102 pages, names: Matachin). "Elliott. Markets. Zone public, 146,. 39. Marriages, licenses issued, 236. [270. 296. Martinez, Blas. arrest iai conviction for murder, 192, Matachin- History of. 133. Flood protection and drainage. 338. Material and Supp" https://ufdc.ufl.edu/UF00097368/00002/12</t>
  </si>
  <si>
    <t>A-0108</t>
  </si>
  <si>
    <t>Vol. XI, Page B 100</t>
  </si>
  <si>
    <t>Toponym afterlife: name still in Canal Record 1917-1918, after the place's recorded end. Latest Canal Record mention found. "Barrero, Chupa- Inkerman, Hope Buena Vista Barrero, Chupa- dero v Cia lie Bruja... Barbacoas 3 Pablo Mlamei y Seco Matachin.. p'San Culo Carro de Cabra, etc. Juan Grande... Mira loes.....j 288 I 298 Year 1881 1881.." https://ufdc.ufl.edu/UF00097368/00009/123</t>
  </si>
  <si>
    <t>A-0109</t>
  </si>
  <si>
    <t>Vol. I, Page 7</t>
  </si>
  <si>
    <t>Earliest Canal Record mention (of 40 pages, names: Barbacoas). "ed of. 178. 219. B BALBOA HILL, platform on, 293. Bandstands, building of, 33. Banton, Pembroke B., bill for relief f of, 251, 258. Barbacoas bridge, 273. Barges, 65, 81, 82, 137, 201, 202, 233, 306, 378. 394. Baseball, " https://ufdc.ufl.edu/UF00097368/00002/10</t>
  </si>
  <si>
    <t>A-0110</t>
  </si>
  <si>
    <t>Vol. XII, Page B-376</t>
  </si>
  <si>
    <t>Toponym afterlife: name still in Canal Record 1918-1919, after the place's recorded end. Latest Canal Record mention found. "aunches Capron, Conroy, Q. M. C. No. 1, and Wilhelm; Panama Canal barge No. 97, clapet No. 7; dredge No. 86; graders Nos. 1 and 3; launches Barbacoas II and Naos; tug Coco Solo, Engineer, Porto Bello; Supply No. 1, and T" https://ufdc.ufl.edu/UF00097368/00010/395</t>
  </si>
  <si>
    <t>A-0111</t>
  </si>
  <si>
    <t>Vol. I, Page A-58</t>
  </si>
  <si>
    <t>Earliest Canal Record mention (of 73 pages, names: Cruces, Venta Cruz). "d (Company quartered in that vicinity. Schools for colored children have been opened at La Boca, Las Sabanas, PIaraiso, Culebra, '.iiilir, Cruces, Matachin. Cor- gona, T.il I iiill I. In.I., Gatun Cristobal and Playa de " https://ufdc.ufl.edu/UF00097368/00002/73</t>
  </si>
  <si>
    <t>A-0112</t>
  </si>
  <si>
    <t>Vol. XXIII, Page 677</t>
  </si>
  <si>
    <t>Toponym afterlife: name still in Canal Record 1929-1930, after the place's recorded end. Latest Canal Record mention found. "3 miles long by 2 miles wide, containing 3,460 acres, and extending about a mile to either side of the road. It is crossed by the old paved Cruces Trail, laid by the Spanish, which is' cut through at right angles by the " https://ufdc.ufl.edu/UF00097368/00033/682</t>
  </si>
  <si>
    <t>A-0113</t>
  </si>
  <si>
    <t>Vol. I, Page A-133</t>
  </si>
  <si>
    <t>Earliest Canal Record mention (of 13 pages, names: Ahorca Lagarto). "Badle.-iinos is marked. The incident-hanging i.1' an alligator- SCelmi to iIJLat,ccurr:, ilduring or before the seventeenth century, f',.r Ahorca Lagarto is shov. n, and st rangist; f all, spelled ex- actly as nii'.\, " https://ufdc.ufl.edu/UF00097368/00002/148</t>
  </si>
  <si>
    <t>A-0114</t>
  </si>
  <si>
    <t>Vol. XI, Page B 103</t>
  </si>
  <si>
    <t>Toponym afterlife: name still in Canal Record 1917-1918, after the place's recorded end. Latest Canal Record mention found. "Anterioridad al Aiio 1903. mpafiia Francesa del Proyecto del PRECTOS EN PESOS PLATA COLOMBIANOS. Tierras El Paraiso. razo matas y Ahorca Lagarto Tabernilla. P i ft Escri- tura No..,..1 125 Santa Cruz.... Palo Horqueta " https://ufdc.ufl.edu/UF00097368/00009/126</t>
  </si>
  <si>
    <t>A-0115</t>
  </si>
  <si>
    <t>Vol. I, Page 11</t>
  </si>
  <si>
    <t>Earliest Canal Record mention (of 76 pages, names: Caimito). "or. 20. Canal supplies in American ships, 251. Shops. See Plants. Simpson, Maj. Wendell L,., duties of, 349. Slides- Chagres division, at Caimito, 290. Cucaracha, 41, 49, 57, 65. 73. 81. Culebra division near I,as Cascad" https://ufdc.ufl.edu/UF00097368/00002/14</t>
  </si>
  <si>
    <t>A-0116</t>
  </si>
  <si>
    <t>Vol. XIII, Page B 102</t>
  </si>
  <si>
    <t>Toponym afterlife: name still in Canal Record 1919-1920, after the place's recorded end. Latest Canal Record mention found. "t side of Canal tween Chagres River and Frijolito).............. rjoi to)j.)............ DA RIEN I.............. CAIMITO PASTURES........... lRIJOLES............ Frijoles plantation........ BORIO PASTURE" https://ufdc.ufl.edu/UF00097368/00011/119</t>
  </si>
  <si>
    <t>A-0117</t>
  </si>
  <si>
    <t>Vol. I, Page A-101</t>
  </si>
  <si>
    <t>Earliest Canal Record mention (of 113 pages, names: Santa Cruz). "t;.,f the pumps. THE GORGONA, DISTRICT. This district includes the towns of Gor- p',-i, Caballo Viejo, Mamei, JamaicaTown, M;at chin and Santa Cruz. The water is i.bjinned from the Carabali river, across ',.'Icll a dam " https://ufdc.ufl.edu/UF00097368/00002/116</t>
  </si>
  <si>
    <t>A-0118</t>
  </si>
  <si>
    <t>Vol. XXXIV, Page 120</t>
  </si>
  <si>
    <t>Toponym afterlife: name still in Canal Record 1940-1941, after the place's recorded end. Latest Canal Record mention found. ".. N. Plym'th, N. Z. Iloilo, P. I...... Manila, P. I..... Coquimbo, Chile. N.Westm'er,B.C. Tacoma, Wash... Darien, R. P.... Tacoma, Wash.. Santa Cruz, P. I. S. Francisco, Cal. Seattle, Wash... Darien, R. P.... Darien, R" https://ufdc.ufl.edu/UF00097368/00028/129</t>
  </si>
  <si>
    <t>A-0119</t>
  </si>
  <si>
    <t>Vol. I, Page A-23</t>
  </si>
  <si>
    <t>Earliest Canal Record mention (of 15 pages, names: Bailamonos). "0 6.25 22.82 Barbacoas......... 24.83 s.O0 11.24 s5.37 s 9.52 s6.27 23.54 San Pablo....... 24.11 s7.58 s 11.22 f5.40 i f 9.55 6.30 24.55 Bailamonos....... 23.10 7.54 f 11.1s s5.4.5 s 10.00 s'635 26.00 Manei............." https://ufdc.ufl.edu/UF00097368/00002/38</t>
  </si>
  <si>
    <t>A-0120</t>
  </si>
  <si>
    <t>Vol. XI, Page B 105</t>
  </si>
  <si>
    <t>Toponym afterlife: name still in Canal Record 1917-1918, after the place's recorded end. Latest Canal Record mention found. "Mamey y Culo Seco Mamey y Culo Seco Mamey y Seco La Margar Culo La Margarita. Rio Indio Mindi Mandinguita. Mamey Seco Bailamonos Guyabal... Palenquilla Culo.. |. Tabernilla y Ca- no q uebrado Frijol Grande.. Buenavis" https://ufdc.ufl.edu/UF00097368/00009/128</t>
  </si>
  <si>
    <t>A-0121</t>
  </si>
  <si>
    <t>Vol. V, Page A-120</t>
  </si>
  <si>
    <t>Earliest Canal Record mention (of 1 pages, names: Cruz de Juan Gallego). "he most used routes for commerce across, the Isthmus. Among these are Ahorca Lagaro,. Barbacoas. Cainuto, Matachin, Bailamonus, Santa Cruz, Cruz de Juan Gallego, and Cruces i.\enta Cruz.i. As early as 1530 Spanish ships " https://ufdc.ufl.edu/UF00097368/00005/141</t>
  </si>
  <si>
    <t>A-0122</t>
  </si>
  <si>
    <t>Vol. I, Page A-377</t>
  </si>
  <si>
    <t>Earliest Canal Record mention (of 3517 pages, names: Gatun). "signed with the full name and address of the writer. NOTES OF PROGRESS. Change in Relocation of Panama Railroad. To avoid crossing thile Gatuncillo valley between Gatun and Tiger Hill, the relocated line of the Panama ra" https://ufdc.ufl.edu/UF00097368/00002/392</t>
  </si>
  <si>
    <t>A-0123</t>
  </si>
  <si>
    <t>Vol. XXXIV, Page 146</t>
  </si>
  <si>
    <t>Toponym afterlife: name still in Canal Record 1940-1941, after the place's recorded end. Latest Canal Record mention found. ",.. New York, N. Y. Halifax, N. S.,.. Liverpool, Eng.. New York, N, Y. Galveston, Tex.. New York, N. Y. 'n Ih-r tr.S t Vancouver, B. C. Gatun, C. Z... Catun, C. Z.... Gatun, C. Z Gatun, C. Z Gatun. C. Z Gatun, C. Z. Gatu" https://ufdc.ufl.edu/UF00097368/00028/155</t>
  </si>
  <si>
    <t>A-0124</t>
  </si>
  <si>
    <t>1909</t>
  </si>
  <si>
    <t>Vol. II, Page A-28</t>
  </si>
  <si>
    <t>Earliest Canal Record mention (of 81 pages, names: New Gatun). "I, l water. MUNICIPAL ENGINEERING. One thousand four hundred feet of ilh- Mount Hope-Gatun road, from the fire -i - tion at Gatun toward New Gatun, were m- r,. adamized during the month. Other work, consisting of the ma:" https://ufdc.ufl.edu/UF00097368/00001/39</t>
  </si>
  <si>
    <t>A-0125</t>
  </si>
  <si>
    <t>1919</t>
  </si>
  <si>
    <t>1920</t>
  </si>
  <si>
    <t>Vol. XIII, Page B 730</t>
  </si>
  <si>
    <t>Latest Canal Record mention found. "les plantation.... BOHIO PABTRUE....... MONTE rau IOi.......... Monte Liria pastures:. OATUN.............;. Labor camps......... New Gatun.......... Camp Gatun......... Bracho-Mindi planta- tion.... �.. Rural (ea" https://ufdc.ufl.edu/UF00097368/00011/747</t>
  </si>
  <si>
    <t>A-0126</t>
  </si>
  <si>
    <t>Vol. I, Page A-5</t>
  </si>
  <si>
    <t>Earliest Canal Record mention (of 1711 pages, names: Emperador, Empire). "Huff................... 2 South th)......... 2 Sorrell.................. 4 3,832 - 14,628 Innings..... 1 2 3 I. C. C......... 0 0 1 Empire........ 0 0 0 H. P.O. A. 1, 0 0 2 1 2 1 0 0 0,s 1 0 0 2 1 0 0 3 3 0 1 0 0 0 1 " https://ufdc.ufl.edu/UF00097368/00002/20</t>
  </si>
  <si>
    <t>A-0127</t>
  </si>
  <si>
    <t>Vol. XII, Page B-514</t>
  </si>
  <si>
    <t>Toponym afterlife: name still in Canal Record 1918-1919, after the place's recorded end. Latest Canal Record mention found. "~~1 I THE PANAMA CANAL RECORD COMMISSARY NOTES. Empire Commissary Discontinued. Due to the recent changes in the strength of the army organizations at Culebra and Empire, it was deemed inadvis" https://ufdc.ufl.edu/UF00097368/00010/533</t>
  </si>
  <si>
    <t>A-0128</t>
  </si>
  <si>
    <t>Vol. I, Page A-74</t>
  </si>
  <si>
    <t>Earliest Canal Record mention (of 939 pages, names: Gorgona). "tween Culebra and Panama, used as follows: One pair for a trunk line between Colon and Gatun; 1 pair for a trunk line between Colon and Gorgona, and also for trunk line between Gorgona and Empire; 1 pair for a trunk line" https://ufdc.ufl.edu/UF00097368/00002/89</t>
  </si>
  <si>
    <t>A-0129</t>
  </si>
  <si>
    <t>Vol. XIX, Page 708</t>
  </si>
  <si>
    <t>Toponym afterlife: name still in Canal Record 1925-1926, after the place's recorded end. Latest Canal Record mention found. "ns.sR.Powell, damaged by hurricane, 194. Franconia, on cruise around-the-world. 5h2. Frequency of transit of, 106. Georgian towed in by tug Gorgona, 378. Gorgona, makes long tow. 378. H. F. Alexander, to return to Atlant" https://ufdc.ufl.edu/UF00097368/00017/715</t>
  </si>
  <si>
    <t>A-0130</t>
  </si>
  <si>
    <t>Vol. I, Page A-1</t>
  </si>
  <si>
    <t>Earliest Canal Record mention (of 2274 pages, names: Culebra). "mmed. The pipe-line dredges should be installed by tile I 1i. of January, when the work at Gatun will be as actively in progress as that at Culebra. Suitable sand and rock for the big inas mry locks have been locate.l, a" https://ufdc.ufl.edu/UF00097368/00002/16</t>
  </si>
  <si>
    <t>A-0131</t>
  </si>
  <si>
    <t>Vol. XXII, Page 348</t>
  </si>
  <si>
    <t>Toponym afterlife: name still in Canal Record 1928-1929, after the place's recorded end. Latest Canal Record mention found. "movement toward the Canal. A dredge worked at both the latter places during the month, removing 64,000 cubic yards of slide material. East Culebra slide showed a slight general movement toward the Canal but there was no " https://ufdc.ufl.edu/UF00097368/00032/353</t>
  </si>
  <si>
    <t>A-0132</t>
  </si>
  <si>
    <t>Earliest Canal Record mention (of 341 pages, names: Bas Obispo, Haut Obispo). "1, 31, 34. 68, 74, 94, 118, 123, 147, 155, 171, 195, 206, 214, 223. 231, 239, 248, 256, 262, 271, 280, 288, 295,304, 310, 320, 323, 336. Bas Obispo, new stone crusher at, 393. Bay rum as a beverage, 170. Beeks, Miss Gert" https://ufdc.ufl.edu/UF00097368/00002/10</t>
  </si>
  <si>
    <t>A-0133</t>
  </si>
  <si>
    <t>Vol. XXVII, Page B-1</t>
  </si>
  <si>
    <t>Latest Canal Record mention found. "06, 123, 139, 159, 179, 195. Aids to navigation: Baba Honda, Republic of Panama, addi- tional shoals discovered 16. Bas Obispo Reach Panama Canal, dredging operations discontinued, 100., Buetnaentura River, shoals in, 1" https://ufdc.ufl.edu/UF00097368/00021/216 | RECLASSIFIED 2026-09-16: the town drowned c.1913, but the Canal Record still prints 'Bas Obispo' in 1933 — the Cut reach/dumps kept the name. Date withdrawn from the settlement-dating channel (undated) so it doesn't imply the town existed then; the toponym's persistence to 1933 is the finding, preserved here.</t>
  </si>
  <si>
    <t>A-0134</t>
  </si>
  <si>
    <t>Vol. I, Page A-33</t>
  </si>
  <si>
    <t>Earliest Canal Record mention (of 487 pages, names: Las Cascadas). "t the ineetint of tile Isthunian Canal Commission held on September '",. a resolu- tion was passed directing that band stands be erected at Las Cascadas, E[.,ir... Bas Obispo, Paraiso, Ancon. and Cristobal. It is underst" https://ufdc.ufl.edu/UF00097368/00002/48</t>
  </si>
  <si>
    <t>A-0135</t>
  </si>
  <si>
    <t>1930</t>
  </si>
  <si>
    <t>1931</t>
  </si>
  <si>
    <t>Vol. XXIV, Page 744</t>
  </si>
  <si>
    <t>Latest Canal Record mention found. "in that year, included the Canal Zone. The Balboa district showed an increase of 1,397, which was ac- counted for by Balboa, La Boca, and Las Cascadas rural district on west side of Canal. The Cristobal district showed a" https://ufdc.ufl.edu/UF00097368/00034/749</t>
  </si>
  <si>
    <t>A-0136</t>
  </si>
  <si>
    <t>Earliest Canal Record mention (of 272 pages, names: Bohio, Bohio Soldado). "anal Work-A Study of the Red Bug, 277. King Yardage. 245. Board of survey and appraisal. 294, Boggs, Capt. Frank C., duties of, 370, 375. Bohio, quarters at, 378. Boiler inspection service, 30, 330, 331. Borings, to dete" https://ufdc.ufl.edu/UF00097368/00002/10</t>
  </si>
  <si>
    <t>A-0137</t>
  </si>
  <si>
    <t>Vol. XXIII, Page Index-6</t>
  </si>
  <si>
    <t>Latest Canal Record mention found. "under United States flag, 136. Panama-Pacific Line sells Mongolia, 173. Liner Pennsylvania makes maiden voyage, 177. Panama Railroad, Bohio station established on, 10. Collier Ulysses sold, 148. Steamship Line, schedule " https://ufdc.ufl.edu/UF00097368/00033/773 | RECLASSIFIED 2026-09-16: Bohio drowned c.1913-14; the Canal Record still prints the name in 1929 — the drowned locality/reach referenced, not the settlement. Undated so it doesn't date the town; the 1929 toponym-persistence is the record, kept in this note.</t>
  </si>
  <si>
    <t>A-0138</t>
  </si>
  <si>
    <t>Vol. IX, Page B 430</t>
  </si>
  <si>
    <t>Earliest Canal Record mention (of 6240 pages, names: Cristobal). "12,282 810 4,064 32 13 70 Remarks. Antolagasta to Bordeaux. Antofagasta to Liverpool. Central American ports to Cristobal. Antofagasta to Liverpool, 7 tons; Chilean ports to Critobal, 55 tons. From Mollendo to Liverpool," https://ufdc.ufl.edu/UF00097368/00008/467</t>
  </si>
  <si>
    <t>A-0139</t>
  </si>
  <si>
    <t>1941</t>
  </si>
  <si>
    <t>Vol. XXXIV, Page 151</t>
  </si>
  <si>
    <t>Latest Canal Record mention found. "an, P. I... Pt. Alberni, B.C. Olympia, Wash.. Cebu, P. I..... Bahrein, Persia.. Victoria, B. C... Manila, P. I... Portland, Oreg.. I Cristobal, C. Z.. United Kingdom. New York, N. Y. Boston, Mass... Baltimore, Md... Gal" https://ufdc.ufl.edu/UF00097368/00028/160</t>
  </si>
  <si>
    <t>A-0140</t>
  </si>
  <si>
    <t>Vol. I, Page A-16</t>
  </si>
  <si>
    <t>Earliest Canal Record mention (of 2742 pages, names: Ancon). "i..... i. La Boca. E. A. LeMay, chief clerk. R. M. Arango, Divisiom ETi.,ii. i (Divis- ion of'.1. i..r..,......I River Hydraulics). Ancon. I). \Y. MacCormick. chief clerk. Division of Map Making and Ti.I,..-,. I.!. C" https://ufdc.ufl.edu/UF00097368/00002/31</t>
  </si>
  <si>
    <t>A-0141</t>
  </si>
  <si>
    <t>1939</t>
  </si>
  <si>
    <t>Vol. XXXIII, Page 223</t>
  </si>
  <si>
    <t>Latest Canal Record mention found. "T. G. H. W. R. W. L FAY I P.G. SAMUE TATSON, Chief Quartermaster. HUMPHREY, 1st Asst. Chief Quartermaster. KING, District Quartermaster, Ancon-Balboa, Balboa Heights. CARR, District Quartermaster, Cristobal-Gatun, Cristo" https://ufdc.ufl.edu/UF00097368/00027/232</t>
  </si>
  <si>
    <t>A-0142</t>
  </si>
  <si>
    <t>Vol. I, Page A-41</t>
  </si>
  <si>
    <t>Earliest Canal Record mention (of 491 pages, names: Rio Grande). "e Panama. vcre Ii August. and the rainfall at nearly Panama. all point I ilh.ng the Line was heavier than last year. At Empire, Culebra, Rio Grande S. and l.a Bica, the rainfall was very much heavier, ranging from half g" https://ufdc.ufl.edu/UF00097368/00002/56</t>
  </si>
  <si>
    <t>A-0143</t>
  </si>
  <si>
    <t>Vol. XXIV, Page 114</t>
  </si>
  <si>
    <t>Toponym afterlife: name still in Canal Record 1930-1931, after the place's recorded end. Latest Canal Record mention found. "nde River light reported extinguished. The Commanding Officer of the U. S. S. Ashe:dlle reports that on August 20, 1930, while anchored off Rio Grande, Nicaragua. it. was observed that Rio Grande light was not lighted. A" https://ufdc.ufl.edu/UF00097368/00034/119</t>
  </si>
  <si>
    <t>A-0144</t>
  </si>
  <si>
    <t>Vol. II, Page A-77</t>
  </si>
  <si>
    <t>Earliest Canal Record mention (of 1753 pages, names: Pedro Miguel). "d the unloader cable, and started to the La Boca dumps. Many railroad men on the Isthmus are of the opinion that this daily performance at Pedro Miguel is quite unique in railroading. It is unique on the Canal work, howe" https://ufdc.ufl.edu/UF00097368/00001/88</t>
  </si>
  <si>
    <t>A-0145</t>
  </si>
  <si>
    <t>1938</t>
  </si>
  <si>
    <t>Vol. XXXII, Page 231</t>
  </si>
  <si>
    <t>Latest Canal Record mention found. "ermaster, Ancon-Balboa, Balboa Heights. C. PETERS, District Quartermaster, Cristobal-Gatun, Cristobal. B. T. CARR, Distriet Quarterriaster, Pedro Miguel-Gamboa, Pedro Miguel. W. R. LINDSAY, Director, Canal Zone Experimen" https://ufdc.ufl.edu/UF00097368/00026/240</t>
  </si>
  <si>
    <t>A-0146</t>
  </si>
  <si>
    <t>Earliest Canal Record mention (of 423 pages, names: La Boca). "s, 309. Hotels and Mess Halls- Comments on, 330, 358. Commission. 8, 14. Concentration and personnel of, 377. Coupon books, 133. 137. La Boca mess, 102. Laborers, 303. 305. 370. Number of. 66. Organization of, 386. Tivol" https://ufdc.ufl.edu/UF00097368/00002/12</t>
  </si>
  <si>
    <t>A-0147</t>
  </si>
  <si>
    <t>Vol. XXVII, Page A-15</t>
  </si>
  <si>
    <t>Toponym afterlife: name still in Canal Record 1933-1934, after the place's recorded end. Latest Canal Record mention found. "Police and Fire Division of 31 839 as the total number o over the last previous canvass, t The Balboa district showed a were in Corozal, La Boca, Red made increases, and Balboa and duri f civ aken n ing Tan Anc d o frc l" https://ufdc.ufl.edu/UF00097368/00021/22</t>
  </si>
  <si>
    <t>A-0148</t>
  </si>
  <si>
    <t>Vol. I, Page A-310</t>
  </si>
  <si>
    <t>Earliest Canal Record mention (of 920 pages, names: Corozal). "women teachers have been brought from the United States. The first of the Canal Z,ne free pubtlc schools was opened in January, 19010. at Corozal with Miss Emily Kyte as teacher. Inad lition to the nurses and the teache" https://ufdc.ufl.edu/UF00097368/00002/325</t>
  </si>
  <si>
    <t>A-0149</t>
  </si>
  <si>
    <t>Latest Canal Record mention found. "Gorgas Hospital, Ancon. I. H. C. D6OLING, U. S. A., Superintendent, Colon Hospital, Cristobal. I. CLEVE C. ODOM, U. S. A., Superintendent, Corozal Hospital, Corozal. C. ELLINGTON, Health Officer of Panama City, Ancon. L." https://ufdc.ufl.edu/UF00097368/00027/232</t>
  </si>
  <si>
    <t>A-0150</t>
  </si>
  <si>
    <t>Earliest Canal Record mention (of 205 pages, names: Frijoles). "r is i.bjinned from the Carabali river, across ',.'Icll a dam has been constructed, which gil\es:i supply of l'lii.i'.i ii) gallons. THE FRIJOLES DISTRICT. This district comprises Tabernilla, Fri- jil: San Pablo and Ba" https://ufdc.ufl.edu/UF00097368/00002/116</t>
  </si>
  <si>
    <t>A-0151</t>
  </si>
  <si>
    <t>Vol. XXXIII, Page 56</t>
  </si>
  <si>
    <t>Toponym afterlife: name still in Canal Record 1939-1940, after the place's recorded end. Latest Canal Record mention found. "..... Kiyosumi Maru 2. West Kyska.... Jersey City...... Ino 2........... Aconeagua 2.... Nero 2... Nero 2.......... Sambu 2........ Frijoles....... Barge.......... Australind 2... Douro 2........ Losmar........" https://ufdc.ufl.edu/UF00097368/00027/65 | repointed CZ-023 -&gt; CZ-173 2026-09-13 (Frijoles split: the relocated-line station is its own place; with the split this is the living station, not a toponym afterlife)</t>
  </si>
  <si>
    <t>A-0152</t>
  </si>
  <si>
    <t>Earliest Canal Record mention (of 863 pages, names: Paraiso). "Chagres division, at Caimito, 290. Cucaracha, 41, 49, 57, 65. 73. 81. Culebra division near I,as Cascadas. 250. Miraflores tunnel, 393. Paraiso, 297, 318, 337. Relocated P. R. R. line near Gatun. 265. Slifer, H. J., appo" https://ufdc.ufl.edu/UF00097368/00002/14</t>
  </si>
  <si>
    <t>A-0153</t>
  </si>
  <si>
    <t>1933</t>
  </si>
  <si>
    <t>1934</t>
  </si>
  <si>
    <t>Vol. XXVII, Page A-206</t>
  </si>
  <si>
    <t>Latest Canal Record mention found. "uarters, Balboa Heights LIEUT. COL. C. S. RIDLEY, U. S. A., Engineer of Maintenance. J. G. CLAYBOURN, Superintendent, Dredging Division, Paraiso. LEONARD FOOTE, Assistant Superintendent, Dredging Division, Paraiso. E. S." https://ufdc.ufl.edu/UF00097368/00021/213</t>
  </si>
  <si>
    <t>A-0154</t>
  </si>
  <si>
    <t>Earliest Canal Record mention (of 256 pages, names: San Pablo). "e notices, 278. Pneumonia in the Zone, 43. Quinine and sickness, 2. Typhoid fever and malaria, 19. See also Chairman's Monthly Reports. San Pablo, progress at., 337. Santo Tomas Hospital. 309. Schools- Compulsory attenda" https://ufdc.ufl.edu/UF00097368/00002/14</t>
  </si>
  <si>
    <t>A-0155</t>
  </si>
  <si>
    <t>Vol. XXXIV, Page 144</t>
  </si>
  <si>
    <t>Toponym afterlife: name still in Canal Record 1940-1941, after the place's recorded end. Latest Canal Record mention found. "ra, 0, 1,217 Santa Ana, I, 0 Villanger, 2, 0 Sambu, 0, 96 Cottica, 0, 693 Sixaola, 0, 75 Loriga, 0, 224 Copiapo, 0, 346 Oklahoman, 0, 1,455 San Pablo, 0, 73 Flevo, 0, 224 Ruth Lykes, 1,987, 1,451 Talamanca, 140, 242 Peri" https://ufdc.ufl.edu/UF00097368/00028/153</t>
  </si>
  <si>
    <t>A-0156</t>
  </si>
  <si>
    <t>Vol. I, Page A-39</t>
  </si>
  <si>
    <t>Earliest Canal Record mention (of 313 pages, names: Tabernilla, Tavernilla). "n train No. 6, leaving Panama I p. m. for the following points: Pedro iI.'In'. L'-.."hr.. l.i_,,. Las Cascadas, i' Obispo, C,, r..., i Tabernilla, BRolio,,. t0n and Cristolal. N[he regular mail messenger will be on i1" https://ufdc.ufl.edu/UF00097368/00002/54</t>
  </si>
  <si>
    <t>A-0157</t>
  </si>
  <si>
    <t>Vol. XXIII, Page 52</t>
  </si>
  <si>
    <t>Toponym afterlife: name still in Canal Record 1929-1930, after the place's recorded end. Latest Canal Record mention found. "37 at Balboa. Eight vessels were dry docked at Cristobal and 18 at Balboa. General repairs were started on the Panama Canal tugs Cocoli and Tavernilla during the month. Repairs were completed on the Panama Canal tug Engi" https://ufdc.ufl.edu/UF00097368/00033/57</t>
  </si>
  <si>
    <t>A-0158</t>
  </si>
  <si>
    <t>Vol. II, Page A-37</t>
  </si>
  <si>
    <t>Earliest Canal Record mention (of 871 pages, names: Gamboa). "not, in fact, have had errors so large as indicated in the ta- ble, for the Bohio prediction would have been corrected as the crest passed Gamboa, as follows in No. 5. The first prediction for Bohio is that the water wil" https://ufdc.ufl.edu/UF00097368/00001/48</t>
  </si>
  <si>
    <t>A-0159</t>
  </si>
  <si>
    <t>Vol. XXXII, Page 230</t>
  </si>
  <si>
    <t>Latest Canal Record mention found. "Headquarters, Balboa Heights &gt;1. GLEN E. EDGERTON, U. S. A., Engineer of Maintenance. J. G. CLAYBOURN, Superintendent, Dredging Division, Gamboa. LEONARD FOOTE, Assistant Superintendent, Dredging Division, E. S. RANDOLPH" https://ufdc.ufl.edu/UF00097368/00026/239</t>
  </si>
  <si>
    <t>A-0160</t>
  </si>
  <si>
    <t>Vol. I, Page A-361</t>
  </si>
  <si>
    <t>Earliest Canal Record mention (of 1404 pages, names: Miraflores). ",959....... Chagres.......... 1,766,807 7,317.......... i I o e 59,77.... 12,065,138 way................. 13,9,S6...... 13,986 Miraflores locks.., i...... 346,114 Ia Boca locks....... 3,84 La Boca drain- 3 " https://ufdc.ufl.edu/UF00097368/00002/376</t>
  </si>
  <si>
    <t>A-0161</t>
  </si>
  <si>
    <t>Vol. XXXIV, Page 16</t>
  </si>
  <si>
    <t>Toponym afterlife: name still in Canal Record 1940-1941, after the place's recorded end. Latest Canal Record mention found. "LaLibertad.Ecua. Balboa, C. Z.... N.Westm'er,B.C. Tocopilla, Chile.. Port Allen, T. H. B'ventura, Col... N.Westm'er,B.C. Seattle, Wash... Miraflores Lake.. Miraflores Lake.. Miraflores Lake.. Arica, Chile..... N.Westm'er" https://ufdc.ufl.edu/UF00097368/00028/25</t>
  </si>
  <si>
    <t>A-0162</t>
  </si>
  <si>
    <t>Vol. I, Page A-57</t>
  </si>
  <si>
    <t>Earliest Canal Record mention (of 250 pages, names: Cucaracha). "y r..,ir 11 L' I ilr N t Address all Communications THE CANAL RECORD Ancon, Cana! Zone, Isthbrrus of Panama. NOTES OF PROGRESS. The Cucaracha Slide. Dtrir tihe p;lst '"fcl; the;-,', 1, of removing the material cast into" https://ufdc.ufl.edu/UF00097368/00002/72</t>
  </si>
  <si>
    <t>A-0163</t>
  </si>
  <si>
    <t>Vol. XXVII, Page A-65</t>
  </si>
  <si>
    <t>Toponym afterlife: name still in Canal Record 1933-1934, after the place's recorded end. Latest Canal Record mention found. "ight was establishedcon the old position of range numbered 50 A, creating a 3-target range. g the past month e the subject of range at Cucaracha range, and a range target No. 50 and SRange lights, Gamboa Reach, Panama Ca" https://ufdc.ufl.edu/UF00097368/00021/72</t>
  </si>
  <si>
    <t>A-0164</t>
  </si>
  <si>
    <t>Vol. I, Page A-4</t>
  </si>
  <si>
    <t>Earliest Canal Record mention (of 263 pages, names: Mindi). "o 107,118. 5,600 Total to Aug. 1, 1907-2,170,488 cubic yards. On this division there was also removed from the prism 731 yards in the Mindi Hills by steam shovels. Monthly Totals since American Occupation at La Boca. CUB" https://ufdc.ufl.edu/UF00097368/00002/19</t>
  </si>
  <si>
    <t>A-0165</t>
  </si>
  <si>
    <t>Vol. XXXIII, Page 224</t>
  </si>
  <si>
    <t>Latest Canal Record mention found. "Division, JAS. E. LEWIS, Manager, Hotel Tivoli, Ancon. D. J. HENDRICK, Manager, Hotel Washington, Cristobal. Dr. T. L. CASSERLY. Manager. Mindi Dairy. Mt. Hope. Capt. E. R. Lt. Col. D. i Hope. NORTON, Construction Corps," https://ufdc.ufl.edu/UF00097368/00027/233</t>
  </si>
  <si>
    <t>A-0166</t>
  </si>
  <si>
    <t>Vol. I, Page A-164</t>
  </si>
  <si>
    <t>Earliest Canal Record mention (of 41 pages, names: Buena Vista). "of tl:e p,,int where 'll exca-.-':tion is at present being liandled. The change- of center line which has been adopted in tihe vicinity of Buena Vista was p[jrtti:ly %ril out till the ground nndl 'ri ss- secti;neitd. A p" https://ufdc.ufl.edu/UF00097368/00002/179</t>
  </si>
  <si>
    <t>A-0167</t>
  </si>
  <si>
    <t>Vol. XVI, Page B 202</t>
  </si>
  <si>
    <t>Toponym afterlife: name still in Canal Record 1922-1923, after the place's recorded end. Latest Canal Record mention found. "Maintenance. Maintenance.... H:.:....40z6�4 Stations. Gailard Ct. La Pita project improvement..... Buena Vista slide............... Eastl Haut Obispo.............. SWest Culebra slide............. East Culebra eli" https://ufdc.ufl.edu/UF00097368/00014/211</t>
  </si>
  <si>
    <t>A-0168</t>
  </si>
  <si>
    <t>Earliest Canal Record mention (of 24 pages, names: Lion Hill). "3a 4.52 Mindi................ 43.13 fs.O 12.15 SP. M. s4.55 s 9.10 s5.45 6.96 t Gatun...... 40.69 s8.43 s 12.10 S5.03 f 9.18 5.53 10.62 Lion Hill............ 37.03 8.33 f 11.59 f5.0' f 9.23 5.5 12.73 Aborca Lagarto 34.9" https://ufdc.ufl.edu/UF00097368/00002/38</t>
  </si>
  <si>
    <t>A-0169</t>
  </si>
  <si>
    <t>Vol. XXIV, Page 11</t>
  </si>
  <si>
    <t>Toponym afterlife: name still in Canal Record 1930-1931, after the place's recorded end. Latest Canal Record mention found. "given to the streets ~and roads in the Canal Zone hereinafter de- iScribed: I:-:. The intersection of Gorgas Road, Heights Road, iFlnd Lion Hill Road in *Ancon, is designated ~ashew Place.: The new street south of' Pla" https://ufdc.ufl.edu/UF00097368/00034/16</t>
  </si>
  <si>
    <t>A-0170</t>
  </si>
  <si>
    <t>Vol. I, Page A-125</t>
  </si>
  <si>
    <t>Earliest Canal Record mention (of 14 pages, names: Tiger Hill). "o. 3n19, and tw, pilerns ere.eItipeted. Pour hundred:ind tiglty yvrds ulI concrete were placed in the smailll culverts between Mandi and Tiger Hill, and between PIedro Miguel and I'anina; 62-3 cnline yards were placed" https://ufdc.ufl.edu/UF00097368/00002/140</t>
  </si>
  <si>
    <t>A-0171</t>
  </si>
  <si>
    <t>Vol. V, Page A-328</t>
  </si>
  <si>
    <t>Latest Canal Record mention found. "ough the present site of the Locks, and it was necessary to remove it as soon as possible. A temporary line was then built from Gatun to Tiger Hill; connecting the high level line at Gatun, with the low grade of the old " https://ufdc.ufl.edu/UF00097368/00005/365</t>
  </si>
  <si>
    <t>A-0172</t>
  </si>
  <si>
    <t>Vol. I, Page A-97</t>
  </si>
  <si>
    <t>Earliest Canal Record mention (of 52 pages, names: Mamei). "contract is cancelled and the pay is reduced. Change in Alignment. A change in the alignment of the Panama railroad between Gorgona and Mamei has recently been made. A dump formed by material from the Canal prism has ext" https://ufdc.ufl.edu/UF00097368/00002/112</t>
  </si>
  <si>
    <t>A-0173</t>
  </si>
  <si>
    <t>Vol. XXII, Page Index-9</t>
  </si>
  <si>
    <t>Toponym afterlife: name still in Canal Record 1928-1929, after the place's recorded end. Latest Canal Record mention found. ", new motor ship fc Albion under const Transits Canal, 119. Livensa. new vessel for Nav. Triestine, 628. Magallanes, new vessel for S Mamei, coal barge offered fo Manchuria, Panama Pacil disposed of, 157. Renamed Preside" https://ufdc.ufl.edu/UF00097368/00032/762</t>
  </si>
  <si>
    <t>A-0174</t>
  </si>
  <si>
    <t>Earliest Canal Record mention (of 142 pages, names: Camp Elliott). "397. 8cY a/so Chair an's Mon thly Reports, Burglaries ill bachelor quarters, 290. CABLI REPAIR STEAMIER GLVARDIAN. arrival of. 178. Camp Elliott- Amusements at. 75, 110. Improvements 7it. 1)0. Marinesat. 20. 2. 94, 300. " https://ufdc.ufl.edu/UF00097368/00002/10</t>
  </si>
  <si>
    <t>A-0175</t>
  </si>
  <si>
    <t>1914</t>
  </si>
  <si>
    <t>Vol. VII, Page A-377</t>
  </si>
  <si>
    <t>Latest Canal Record mention found. ". but the Chief Quartermaster has allowed employes of the Dredging Division to occupy quarters at Bas Obispo. without the usual privileges. Camp Elliott, occupied by a battalion of the United States Marine Corps, most of" https://ufdc.ufl.edu/UF00097368/00007/404</t>
  </si>
  <si>
    <t>A-0176</t>
  </si>
  <si>
    <t>Vol. III, Page A-4</t>
  </si>
  <si>
    <t>Earliest Canal Record mention (of 209 pages, names: Monte Lirio). "al Zone boundary line. Latrines are being put in along both banks of the river at the isolated farm houses, and also in the hamlet called Monte Lirio and the Panama railroad construction camp of that name. Thee latrines " https://ufdc.ufl.edu/UF00097368/00003/15</t>
  </si>
  <si>
    <t>A-0177</t>
  </si>
  <si>
    <t>Vol. XXXIV, Page 148</t>
  </si>
  <si>
    <t>Latest Canal Record mention found. "icolor 2......... Eastern Guide... Cromarty 2...... Dubrovnik...... West Ira........ Fernplant 2...... Marion Cutter 2.. Catalina 2....... Monte Lirio.... Marymar....... Solbritt........ Chattanooga City Gertrude Kell" https://ufdc.ufl.edu/UF00097368/00028/157</t>
  </si>
  <si>
    <t>A-0178</t>
  </si>
  <si>
    <t>Earliest Canal Record mention (of 237 pages, names: Toro Point). "ep water her bins have received all the material which will readily settle. The suction pipes are then raised and *he steams out to sea off Toro Point, afen the hjns are opened and the dredged" https://ufdc.ufl.edu/UF00097368/00002/56</t>
  </si>
  <si>
    <t>A-0179</t>
  </si>
  <si>
    <t>Latest Canal Record mention found. "" https://ufdc.ufl.edu/UF00097368/00021/216</t>
  </si>
  <si>
    <t>A-0180</t>
  </si>
  <si>
    <t>Vol. VIII, Page 149</t>
  </si>
  <si>
    <t>Earliest Canal Record mention (of 6800 pages, names: Balboa). "December Z, 1914. THE CANAL RECORD OFFICIAL CIRCULARS. Observance of Office Hours. THE PANAMA CANAL. EXECurivs OFFICE, BALBOA HaEaGHT, C. Z., November 27, 1914. To employes in Administration Building: Compr.ltin is made " https://ufdc.ufl.edu/UF00097368/00029/152</t>
  </si>
  <si>
    <t>A-0181</t>
  </si>
  <si>
    <t>Vol. XXXIV, Page 149</t>
  </si>
  <si>
    <t>Latest Canal Record mention found. "N. Y. Glasgow, Scot... Philadelphia, Pa. Port Limon, C. R. Liverpool, Eng.. Poole, England.. Cristobal, C. Z.. Cristobal, C. Z.. For-- Balboa, C. Z.... Guayaquil, Ecua. S. Francisco, Cal. Seattle, Wash.. Balboa, C. Z...." https://ufdc.ufl.edu/UF00097368/00028/158</t>
  </si>
  <si>
    <t>A-0182</t>
  </si>
  <si>
    <t>Vol. I, Page A-249</t>
  </si>
  <si>
    <t>Earliest Canal Record mention (of 571 pages, names: Mount Hope). "termined, thus making it possible to design and build a structure of wbhise st.i. ability there shall be no question. Increased Capacity of Mount Hope Res- ervoir The elevation of the t(,p of the dam at the Mount Hope re" https://ufdc.ufl.edu/UF00097368/00002/264</t>
  </si>
  <si>
    <t>A-0183</t>
  </si>
  <si>
    <t>Vol. XXXIV, Page x</t>
  </si>
  <si>
    <t>Latest Canal Record mention found. "THE PANAMA CANAL PRESS MOUNT HOPE. CANAL ZONE 1941 For additional copies of this publication address The Panama Canal, Washington, D." https://ufdc.ufl.edu/UF00097368/00028/9</t>
  </si>
  <si>
    <t>A-0184</t>
  </si>
  <si>
    <t>Vol. I, Page 10</t>
  </si>
  <si>
    <t>Earliest Canal Record mention (of 290 pages, names: Taboga). "tes, 34. S SAILORS for naval fleet, 292. Sale of unclaimed property, 171. Salvation Army, kitchen for, in Colon, 242, Sanitarium at Taboga. See Taboga." https://ufdc.ufl.edu/UF00097368/00002/13</t>
  </si>
  <si>
    <t>A-0185</t>
  </si>
  <si>
    <t>1929</t>
  </si>
  <si>
    <t>Vol. XXIII, Page 298</t>
  </si>
  <si>
    <t>Latest Canal Record mention found. "ees, and 42 were Army and Navy personnel. There was 1 death from malaria among residents, a Panamanian child who received his infection in Taboga. RECEIPTS AND SALES OF MATERIAL AND SUPPLIES. The value of material ordere" https://ufdc.ufl.edu/UF00097368/00033/303</t>
  </si>
  <si>
    <t>A-0186</t>
  </si>
  <si>
    <t>Earliest Canal Record mention (of 797 pages, names: Porto Bello). "mekeeping instructions. 303. Time Tables- [304, 344, 376, 384, 392, Panama railroad, 23. 215. 223, 231. 239, 247, 255,279, Tug service to Porto Bello and Nombre de Dios, 408..Se' also Steamships Sailings., Tivoli- Club." https://ufdc.ufl.edu/UF00097368/00002/14</t>
  </si>
  <si>
    <t>A-0187</t>
  </si>
  <si>
    <t>Vol. XXXIII, Page 98</t>
  </si>
  <si>
    <t>Latest Canal Record mention found. ".... Emidio......... Bethore........ Leticia 2........ Telde.......... Mauna Kea..... Cacique....... Skogheim....... El Capitan..... Porto Bello 2.... Canadian Reefer Estrid.......... Porseus......... Douro 2...." https://ufdc.ufl.edu/UF00097368/00027/107</t>
  </si>
  <si>
    <t>A-0188</t>
  </si>
  <si>
    <t>Earliest Canal Record mention (of 388 pages, names: Alhajuela). "i; h-en to.uiil tliiu. there ire well de- finll rel t.-n: L-let.,.een the r,-e- at the sev- S-.'i,-. nr = l:,ih -iii- r, -.e I '-lien Alhajuela u-.h.-, r,: r, i I + i I.:e hen Alhajuela b.,li r-. -: i.: = i- i r,:-." https://ufdc.ufl.edu/UF00097368/00001/48</t>
  </si>
  <si>
    <t>A-0189</t>
  </si>
  <si>
    <t>Vol. XXVII, Page A-32</t>
  </si>
  <si>
    <t>Latest Canal Record mention found. "adden Dam and the other for flood control after the fonration of Madden Lake. The first phase involved the extension of telephone line from Alhajuela to Indio on the Chagres and Salamanca on the Pequeni and the femp9y- m" https://ufdc.ufl.edu/UF00097368/00021/39</t>
  </si>
  <si>
    <t>A-0190</t>
  </si>
  <si>
    <t>Vol. I, Page A-190</t>
  </si>
  <si>
    <t>Earliest Canal Record mention (of 37 pages, names: Juan Grande). "tion, was always found to be good, health- ful and abundant. These are the general observations made in the camps at Coro- zal, Cucaracha. Juan Grande and Gatun, where inspections have been made very often and without pr" https://ufdc.ufl.edu/UF00097368/00002/205</t>
  </si>
  <si>
    <t>A-0191</t>
  </si>
  <si>
    <t>Vol. XIII, Page B 312</t>
  </si>
  <si>
    <t>Latest Canal Record mention found. "s case, in which the claimant seeks an award against the United States on the theory of his ownership of certain lands known by the name as Juan Grande and situated in the old Gorgona District. It is claimed that Eusebio" https://ufdc.ufl.edu/UF00097368/00011/329</t>
  </si>
  <si>
    <t>A-0192</t>
  </si>
  <si>
    <t>Vol. I, Page A-345</t>
  </si>
  <si>
    <t>Earliest Canal Record mention (of 16 pages, names: Gatuncillo). "The new line will leave the present i1 i,. line at Tiger Hill and join the relocated linie of the Panama railroad at the trestle,.r the Gatuncillo River and follow it to Mni l. where it will again join the present,ii" https://ufdc.ufl.edu/UF00097368/00002/360</t>
  </si>
  <si>
    <t>A-0193</t>
  </si>
  <si>
    <t>Vol. XIII, Page B 165</t>
  </si>
  <si>
    <t>Latest Canal Record mention found. "graph in 18 minutes; at Juan Mina, in 60 minutes; (b) The effect of closing valves at Pedro Miguel minutes; at Juan Mina, 60 minutes; at Gatuncillo, 8 (c) The peak of the return surge after the closing of boa 25 minutes " https://ufdc.ufl.edu/UF00097368/00011/182</t>
  </si>
  <si>
    <t>A-0194</t>
  </si>
  <si>
    <t>Vol. VIII, Page 274</t>
  </si>
  <si>
    <t>Earliest Canal Record mention (2725 pages). ". M. B. Stevens, Secretary. C. A. MlcLVAINE. Executive Secretary. W. P. Copeland, Chief Clerk. John K. Baxter, Chief, Division of Civil Affairs, Balboa Heights. Capt. Harry D. Mitchell, U. S. A., Chief, Division of Police and Fire, Balboa Heights. A." https://ufdc.ufl.edu/UF00097368/00029/283</t>
  </si>
  <si>
    <t>A-0195</t>
  </si>
  <si>
    <t>Chagres (village)</t>
  </si>
  <si>
    <t>Vol. IX, Page B 202</t>
  </si>
  <si>
    <t>"To Remove the Village of Chagres. Arrangements are being made for the re-moval of the town of Chagres, situated on the east bank of the C[hagres]" (1,102 CR pages, most for the river). https://ufdc.ufl.edu/UF00097368/00008/239</t>
  </si>
  <si>
    <t>A-0196</t>
  </si>
  <si>
    <t>Vol. I, Page A-326</t>
  </si>
  <si>
    <t>Earliest Canal Record mention (103 pages). "LETTERS FROM THE LINE. i Commnincawtios to this column must be signed in each instance with the name and address of the writer.) Fireworks for Palo Seco. TuC CANAL RECcoRD: While all are looking forward to the cele- bration of the Fourth ofJuly, it m" https://ufdc.ufl.edu/UF00097368/00002/341</t>
  </si>
  <si>
    <t>A-0197</t>
  </si>
  <si>
    <t>Darien (station)</t>
  </si>
  <si>
    <t>Vol. IX, p. 310 area</t>
  </si>
  <si>
    <t>'Station at Darien' on the relocated Panama Railroad line (discovery pattern, v00008 p310; 369 CR pages, many for the Darien region). https://ufdc.ufl.edu/UF00097368/00008/310</t>
  </si>
  <si>
    <t>A-0198</t>
  </si>
  <si>
    <t>Summit (New Culebra renamed)</t>
  </si>
  <si>
    <t>1917</t>
  </si>
  <si>
    <t>1918</t>
  </si>
  <si>
    <t>Vol. XI, Page B 71</t>
  </si>
  <si>
    <t>Renaming announcement: "New Culebra Named 'Summit.' The name of New Culebra station... changed to 'Summit'" (128 CR pages for Summit + 49 for New Culebra). https://ufdc.ufl.edu/UF00097368/00009/94</t>
  </si>
  <si>
    <t>A-0199</t>
  </si>
  <si>
    <t>Vol. X, Page A-60</t>
  </si>
  <si>
    <t>Earliest Canal Record mention (43 pages). "ween Corozal and Darien, the construction of new quarters continued, anl the removal of the colored school from Gatun to the new silv settlement at Red Tank, south of Pedro Miguel, was begun and 51) percent complete In the district from Garun to Cris" https://ufdc.ufl.edu/UF00097368/00030/83</t>
  </si>
  <si>
    <t>A-0200</t>
  </si>
  <si>
    <t>Vol. II, Page A-52</t>
  </si>
  <si>
    <t>Earliest Canal Record mention (229 pages). "Carabali, two of the four res- ervoirs that supply most of the settlements iu the Canal Zone. That at Brazos Brook is almost full; and the fourth, Camacho, already contains 130,000,000 gallons. Until the end of the rainy season the daily con- sumptio" https://ufdc.ufl.edu/UF00097368/00001/63</t>
  </si>
  <si>
    <t>A-0201</t>
  </si>
  <si>
    <t>Vol. I, Page A-305</t>
  </si>
  <si>
    <t>Earliest Canal Record mention (127 pages). "...................... 59.341.35 Corral equipment........................ 3,664.25 Vot i..............................$27,969,526.46 Breakwater to Naos Island. A plan has been approved for the con- struction of a breakwater from East La Boca to Naos" https://ufdc.ufl.edu/UF00097368/00002/320</t>
  </si>
  <si>
    <t>A-0202</t>
  </si>
  <si>
    <t>Earliest Canal Record mention (70 pages). "it AXiiilu elli imboa, and L- lu. -UrIn: ire-het o-f 1,'4 1905, 1906, I'1'. n.-i inl ideIa t the accuracy of the *ietlid u.i u be ih their. -roin 'Ce El Vigia attioil hi-i bee eI tilli he.I too recentlyto be 0i-it niCli, er' ice tl,'i cir. it is not " https://ufdc.ufl.edu/UF00097368/00001/48</t>
  </si>
  <si>
    <t>A-0203</t>
  </si>
  <si>
    <t>Vol. VI, Page A-165</t>
  </si>
  <si>
    <t>Earliest Canal Record mention (97 pages). "t.-foit level. uhich had been itil A commi.asion during theL ntiredayofthe 1 th, %%as again in working order onthemorn- int uf January 1. Road from Diablo to Ancon. A macadam road:s being builtfromapoint lust ea-r nl the rro:- ing oA Corozal-Diablo " https://ufdc.ufl.edu/UF00097368/00006/188</t>
  </si>
  <si>
    <t>A-0204</t>
  </si>
  <si>
    <t>Vol. I, Page A-22</t>
  </si>
  <si>
    <t>Earliest Canal Record mention (60 pages). "4 1 1 I ' Caba'.l. i*. Juan:..i Iaml ei...................... Culo Seco........... Excluse 2.......... Coca Lane.......... Caimito Mulato...... Enterprise........... San Pablo.......... New Town............... In r, Hx Enterprise...... Sin laVoi" https://ufdc.ufl.edu/UF00097368/00002/37</t>
  </si>
  <si>
    <t>A-0205</t>
  </si>
  <si>
    <t>Camp Gaillard</t>
  </si>
  <si>
    <t>Vol. VIII, Page 247</t>
  </si>
  <si>
    <t>Culebra site renamed Camp Gaillard (military post). (13 CR pages). "" https://ufdc.ufl.edu/UF00097368/00029/256</t>
  </si>
  <si>
    <t>A-0206</t>
  </si>
  <si>
    <t>New Gorgona</t>
  </si>
  <si>
    <t>Vol. VI, Page A-394</t>
  </si>
  <si>
    <t>Successor settlement 'New Gorgona' on the Pacific coast. (9 CR pages). "accommodation of about 60 men, women, and children, who are removing from the native town at Gorgona. Some of the people expect to go to the town of New Gorgona, which the Panama Govern- ment is laying out on the south coast, about 25 miles west of P" https://ufdc.ufl.edu/UF00097368/00006/433</t>
  </si>
  <si>
    <t>A-0207</t>
  </si>
  <si>
    <t>Vol. III, Page A-329</t>
  </si>
  <si>
    <t>Relocated station 'New Frijoles' on the new line. (9 CR pages). "ts of the villagers to the new location, the work to be done under the supervision of the railroad officials. The expense of reerecting the houses at New Frijoles will be borne by the owners. Lion Hill will be the first of the settle- ments in the Ga" https://ufdc.ufl.edu/UF00097368/00003/340 | repointed CZ-023 -&gt; CZ-173 2026-09-13 (Frijoles split: the relocated-line station is its own place)</t>
  </si>
  <si>
    <t>A-0208</t>
  </si>
  <si>
    <t>Vol. VII, Page A-398</t>
  </si>
  <si>
    <t>Toro Point site as Fort Sherman (military post). (29 CR pages). ", Coast Artillery. The 119th Company, Coast ArrillLr,, Maj. W.E. Cole commanding. arrived on the An- con on May 31, and has gone into barracks at Fort Sherman on Toro Point. The com- pany consists of six commissioned officers, three noncommissioned o" https://ufdc.ufl.edu/UF00097368/00007/425</t>
  </si>
  <si>
    <t>A-0209</t>
  </si>
  <si>
    <t>Matachin Post Office - Dec 1904</t>
  </si>
  <si>
    <t>185-G-388</t>
  </si>
  <si>
    <t>Digitized RG 185 photograph (of 107 RG-185 catalog hits for 'Matachin'). https://catalog.archives.gov/id/100995354</t>
  </si>
  <si>
    <t>A-0210</t>
  </si>
  <si>
    <t>Barbacoas Bridge (#44), October 27, 1907</t>
  </si>
  <si>
    <t>185-G-2017</t>
  </si>
  <si>
    <t>Digitized RG 185 photograph (of 18 RG-185 catalog hits for 'Barbacoas'). https://catalog.archives.gov/id/100998602</t>
  </si>
  <si>
    <t>A-0211</t>
  </si>
  <si>
    <t>Village of Cruces, CZ A street scene 1912</t>
  </si>
  <si>
    <t>185-G-1188</t>
  </si>
  <si>
    <t>Digitized RG 185 photograph (of 73 RG-185 catalog hits for 'Cruces'). https://catalog.archives.gov/id/100996956</t>
  </si>
  <si>
    <t>A-0212</t>
  </si>
  <si>
    <t>Looking North from Caimito Jan 31, 1908</t>
  </si>
  <si>
    <t>185-G-802</t>
  </si>
  <si>
    <t>Digitized RG 185 photograph (of 58 RG-185 catalog hits for 'Caimito'). https://catalog.archives.gov/id/100996182</t>
  </si>
  <si>
    <t>A-0213</t>
  </si>
  <si>
    <t>Street Scene, Santa Cruz, Panama, December, 1908</t>
  </si>
  <si>
    <t>185-G-1404</t>
  </si>
  <si>
    <t>Digitized RG 185 photograph (of 80 RG-185 catalog hits for 'Santa Cruz'). https://catalog.archives.gov/id/100997386</t>
  </si>
  <si>
    <t>A-0214</t>
  </si>
  <si>
    <t>Old Village of Gatun and Chagres Riv Feb 1907</t>
  </si>
  <si>
    <t>185-G-1808</t>
  </si>
  <si>
    <t>Digitized RG 185 photograph (of 1288 RG-185 catalog hits for 'Gatun'). https://catalog.archives.gov/id/100998188</t>
  </si>
  <si>
    <t>A-0215</t>
  </si>
  <si>
    <t>Looking East showing Gatun and New Gatun Villages and a Portion of Fort Davis in the distance-left 6/19/24</t>
  </si>
  <si>
    <t>185-G-686</t>
  </si>
  <si>
    <t>Digitized RG 185 photograph (of 106 RG-185 catalog hits for 'New Gatun'). https://catalog.archives.gov/id/100995950</t>
  </si>
  <si>
    <t>A-0216</t>
  </si>
  <si>
    <t>ICC Hospital - Empire</t>
  </si>
  <si>
    <t>185-G-1610</t>
  </si>
  <si>
    <t>Digitized RG 185 photograph (of 864 RG-185 catalog hits for 'Empire'). https://catalog.archives.gov/id/100997792</t>
  </si>
  <si>
    <t>A-0217</t>
  </si>
  <si>
    <t>The Village of Gorgona View looking northeast during period of removal July 16, 1913</t>
  </si>
  <si>
    <t>185-G-1445</t>
  </si>
  <si>
    <t>Digitized RG 185 photograph (of 195 RG-185 catalog hits for 'Gorgona'). https://catalog.archives.gov/id/100997464</t>
  </si>
  <si>
    <t>A-0218</t>
  </si>
  <si>
    <t>Culebra Village, from Reservoir Hill Looking North - August, 1911</t>
  </si>
  <si>
    <t>185-G-1551</t>
  </si>
  <si>
    <t>Digitized RG 185 photograph (of 451 RG-185 catalog hits for 'Culebra'). https://catalog.archives.gov/id/100997674</t>
  </si>
  <si>
    <t>A-0219</t>
  </si>
  <si>
    <t>The Cut at Bas Obispo, Nov 1906</t>
  </si>
  <si>
    <t>185-G-50</t>
  </si>
  <si>
    <t>Digitized RG 185 photograph (of 139 RG-185 catalog hits for 'Bas Obispo'). https://catalog.archives.gov/id/100994682</t>
  </si>
  <si>
    <t>A-0220</t>
  </si>
  <si>
    <t>Village of Las Cascadas View from East Bank of Canal-June, 1908</t>
  </si>
  <si>
    <t>185-G-738</t>
  </si>
  <si>
    <t>Digitized RG 185 photograph (of 148 RG-185 catalog hits for 'Las Cascadas'). https://catalog.archives.gov/id/100996054</t>
  </si>
  <si>
    <t>A-0221</t>
  </si>
  <si>
    <t>Bohio Village Street Scene - Jan, 1912</t>
  </si>
  <si>
    <t>185-G-841</t>
  </si>
  <si>
    <t>Digitized RG 185 photograph (of 155 RG-185 catalog hits for 'Bohio'). https://catalog.archives.gov/id/100996262</t>
  </si>
  <si>
    <t>A-0222</t>
  </si>
  <si>
    <t>Cristobal Drydock</t>
  </si>
  <si>
    <t>item</t>
  </si>
  <si>
    <t>Digitized RG 185 photograph (of 18498 RG-185 catalog hits for 'Cristobal'). https://catalog.archives.gov/id/100994958</t>
  </si>
  <si>
    <t>A-0223</t>
  </si>
  <si>
    <t>Ancon Hill, showing Balboa town site Aug 1912</t>
  </si>
  <si>
    <t>185-G-448</t>
  </si>
  <si>
    <t>Digitized RG 185 photograph (of 3313 RG-185 catalog hits for 'Ancon'). https://catalog.archives.gov/id/100995474</t>
  </si>
  <si>
    <t>A-0224</t>
  </si>
  <si>
    <t>Rio Grande Superior Station</t>
  </si>
  <si>
    <t>185-R-6-201</t>
  </si>
  <si>
    <t>Digitized RG 185 photograph (of 105 RG-185 catalog hits for 'Rio Grande'). https://catalog.archives.gov/id/404792139</t>
  </si>
  <si>
    <t>A-0225</t>
  </si>
  <si>
    <t>Pedro Miguel Village, Looking North, 1912</t>
  </si>
  <si>
    <t>185-G-2223</t>
  </si>
  <si>
    <t>Digitized RG 185 photograph (of 1029 RG-185 catalog hits for 'Pedro Miguel'). https://catalog.archives.gov/id/100999012</t>
  </si>
  <si>
    <t>A-0226</t>
  </si>
  <si>
    <t>Old Village of La Boca from Sosa Hill</t>
  </si>
  <si>
    <t>185-G-365</t>
  </si>
  <si>
    <t>Digitized RG 185 photograph (of 458 RG-185 catalog hits for 'La Boca'). https://catalog.archives.gov/id/100995308</t>
  </si>
  <si>
    <t>A-0227</t>
  </si>
  <si>
    <t>Photograph of Corozal Townsite</t>
  </si>
  <si>
    <t>185-CZ-14-13-Q-25(42)</t>
  </si>
  <si>
    <t>Digitized RG 185 photograph (of 504 RG-185 catalog hits for 'Corozal'). https://catalog.archives.gov/id/202801091</t>
  </si>
  <si>
    <t>A-0228</t>
  </si>
  <si>
    <t>Remains of the Village of Frijoles on old line of Panama Railroad - Jan, 1912</t>
  </si>
  <si>
    <t>185-G-843</t>
  </si>
  <si>
    <t>Digitized RG 185 photograph (of 152 RG-185 catalog hits for 'Frijoles'). https://catalog.archives.gov/id/100996266</t>
  </si>
  <si>
    <t>A-0229</t>
  </si>
  <si>
    <t>Gaillard Cut: View of Dredging Division Headquarters; Paraiso Village in background 6/9/24</t>
  </si>
  <si>
    <t>185-G-689</t>
  </si>
  <si>
    <t>Digitized RG 185 photograph (of 793 RG-185 catalog hits for 'Paraiso'). https://catalog.archives.gov/id/100995956</t>
  </si>
  <si>
    <t>A-0230</t>
  </si>
  <si>
    <t>Photograph of U.S. Tug, "SAN PABLO"</t>
  </si>
  <si>
    <t>185-CZ-18-21-A/SAN PABLO(3)</t>
  </si>
  <si>
    <t>Digitized RG 185 photograph (of 122 RG-185 catalog hits for 'San Pablo'). https://catalog.archives.gov/id/202802015</t>
  </si>
  <si>
    <t>A-0231</t>
  </si>
  <si>
    <t>Village of Tabernilla, CZ</t>
  </si>
  <si>
    <t>185-G-833</t>
  </si>
  <si>
    <t>Digitized RG 185 photograph (of 96 RG-185 catalog hits for 'Tabernilla'). https://catalog.archives.gov/id/100996246</t>
  </si>
  <si>
    <t>A-0232</t>
  </si>
  <si>
    <t>Photograph of Town of Gamboa</t>
  </si>
  <si>
    <t>185-CZ-11-13-M-44(5)D</t>
  </si>
  <si>
    <t>Digitized RG 185 photograph (of 532 RG-185 catalog hits for 'Gamboa'). https://catalog.archives.gov/id/202800497</t>
  </si>
  <si>
    <t>A-0233</t>
  </si>
  <si>
    <t>Photograph of Miraflores</t>
  </si>
  <si>
    <t>185-CZ-4-9-D-5(43)</t>
  </si>
  <si>
    <t>Digitized RG 185 photograph (of 662 RG-185 catalog hits for 'Miraflores'). https://catalog.archives.gov/id/202798675</t>
  </si>
  <si>
    <t>A-0234</t>
  </si>
  <si>
    <t>View looking south from Contractor's Hill, showing old line of Panama RR and village of Cucaracha 1897</t>
  </si>
  <si>
    <t>185-G-546</t>
  </si>
  <si>
    <t>Digitized RG 185 photograph (of 107 RG-185 catalog hits for 'Cucaracha'). https://catalog.archives.gov/id/100995670</t>
  </si>
  <si>
    <t>A-0235</t>
  </si>
  <si>
    <t>Photograph of Dredge "MINDI"</t>
  </si>
  <si>
    <t>185-CZ-18-21-A/MINDI(12)A</t>
  </si>
  <si>
    <t>Digitized RG 185 photograph (of 238 RG-185 catalog hits for 'Mindi'). https://catalog.archives.gov/id/202801997</t>
  </si>
  <si>
    <t>A-0236</t>
  </si>
  <si>
    <t>Opening of the Panama Canal SS Ancon on Gatun Lake Near Mamei Aug 15, 1914</t>
  </si>
  <si>
    <t>185-G-883</t>
  </si>
  <si>
    <t>Digitized RG 185 photograph (of 38 RG-185 catalog hits for 'Mamei'). https://catalog.archives.gov/id/100996346</t>
  </si>
  <si>
    <t>A-0237</t>
  </si>
  <si>
    <t>Relocation Panama Railroad New Town of Monte Lirio, looking North - June, 1912</t>
  </si>
  <si>
    <t>185-G-1758</t>
  </si>
  <si>
    <t>Digitized RG 185 photograph (of 135 RG-185 catalog hits for 'Monte Lirio'). https://catalog.archives.gov/id/100998088</t>
  </si>
  <si>
    <t>A-0238</t>
  </si>
  <si>
    <t>Porto Bello, Loading Large Rock for Toro Point Breakwater, June 28, 1913</t>
  </si>
  <si>
    <t>185-G-1972</t>
  </si>
  <si>
    <t>Digitized RG 185 photograph (of 107 RG-185 catalog hits for 'Toro Point'). https://catalog.archives.gov/id/100998516</t>
  </si>
  <si>
    <t>A-0239</t>
  </si>
  <si>
    <t>Balboa, CZ - View from Ancon Hill showing town of Balboa, Administration Building and Harbor 1937</t>
  </si>
  <si>
    <t>1937</t>
  </si>
  <si>
    <t>185-G-753</t>
  </si>
  <si>
    <t>Digitized RG 185 photograph (of 19215 RG-185 catalog hits for 'Balboa'). https://catalog.archives.gov/id/100996084</t>
  </si>
  <si>
    <t>A-0240</t>
  </si>
  <si>
    <t>Mount Hope Cemetery - 1910</t>
  </si>
  <si>
    <t>185-G-1198</t>
  </si>
  <si>
    <t>Digitized RG 185 photograph (of 280 RG-185 catalog hits for 'Mount Hope'). https://catalog.archives.gov/id/100996976</t>
  </si>
  <si>
    <t>A-0241</t>
  </si>
  <si>
    <t>Taboga Island The Village Feb 22, 1925</t>
  </si>
  <si>
    <t>1925</t>
  </si>
  <si>
    <t>185-G-1394</t>
  </si>
  <si>
    <t>Digitized RG 185 photograph (of 184 RG-185 catalog hits for 'Taboga'). https://catalog.archives.gov/id/100997368</t>
  </si>
  <si>
    <t>A-0242</t>
  </si>
  <si>
    <t>Porto Bello, the Old Town, from Old Spanish Fort, September 1910</t>
  </si>
  <si>
    <t>185-G-1963</t>
  </si>
  <si>
    <t>Digitized RG 185 photograph (of 145 RG-185 catalog hits for 'Porto Bello'). https://catalog.archives.gov/id/100998498</t>
  </si>
  <si>
    <t>A-0243</t>
  </si>
  <si>
    <t>Alhajuela dam Site Feb 1925</t>
  </si>
  <si>
    <t>185-G-1631</t>
  </si>
  <si>
    <t>Digitized RG 185 photograph (of 138 RG-185 catalog hits for 'Alhajuela'). https://catalog.archives.gov/id/100997834</t>
  </si>
  <si>
    <t>A-0244</t>
  </si>
  <si>
    <t>Typical Camp for European Laborers - Juan Grande</t>
  </si>
  <si>
    <t>185-G-1432</t>
  </si>
  <si>
    <t>Digitized RG 185 photograph (of 28 RG-185 catalog hits for 'Juan Grande'). https://catalog.archives.gov/id/100997442</t>
  </si>
  <si>
    <t>A-0245</t>
  </si>
  <si>
    <t>Photograph of Balboa Heights</t>
  </si>
  <si>
    <t>185-CZ-5-9-D-12(4)</t>
  </si>
  <si>
    <t>Digitized RG 185 photograph (of 475 RG-185 catalog hits for 'Balboa Heights'). https://catalog.archives.gov/id/202799055</t>
  </si>
  <si>
    <t>A-0246</t>
  </si>
  <si>
    <t>Digitized RG 185 photograph (of 208 RG-185 catalog hits for 'Chagres'). https://catalog.archives.gov/id/100998188</t>
  </si>
  <si>
    <t>A-0247</t>
  </si>
  <si>
    <t>Photograph of Palo Seco Leper Colony</t>
  </si>
  <si>
    <t>185-CZ-10-13-H-74(6)a</t>
  </si>
  <si>
    <t>Digitized RG 185 photograph (of 138 RG-185 catalog hits for 'Palo Seco'). https://catalog.archives.gov/id/202800111</t>
  </si>
  <si>
    <t>A-0248</t>
  </si>
  <si>
    <t>Darien Radio Station Looking West December 1917</t>
  </si>
  <si>
    <t>185-G-804</t>
  </si>
  <si>
    <t>Digitized RG 185 photograph (of 172 RG-185 catalog hits for 'Darien'). https://catalog.archives.gov/id/100996186</t>
  </si>
  <si>
    <t>A-0249</t>
  </si>
  <si>
    <t>Photograph of Summit Townsite model</t>
  </si>
  <si>
    <t>185-CZ-22-26-A-1(107)C</t>
  </si>
  <si>
    <t>Digitized RG 185 photograph (of 201 RG-185 catalog hits for 'Summit'). https://catalog.archives.gov/id/202802879</t>
  </si>
  <si>
    <t>A-0250</t>
  </si>
  <si>
    <t>Panama Canal Club House for Silver Employees Red Tank, CZ June 1922</t>
  </si>
  <si>
    <t>1922</t>
  </si>
  <si>
    <t>185-G-1568</t>
  </si>
  <si>
    <t>Digitized RG 185 photograph (of 313 RG-185 catalog hits for 'Red Tank'). https://catalog.archives.gov/id/100997708</t>
  </si>
  <si>
    <t>A-0251</t>
  </si>
  <si>
    <t>Camacho Reservoir, showing Concrete Spillway under Construction - May, 1907</t>
  </si>
  <si>
    <t>185-G-1335</t>
  </si>
  <si>
    <t>Digitized RG 185 photograph (of 90 RG-185 catalog hits for 'Camacho'). https://catalog.archives.gov/id/100997250</t>
  </si>
  <si>
    <t>A-0252</t>
  </si>
  <si>
    <t>Naos Island Breakwater - October, 1908</t>
  </si>
  <si>
    <t>185-G-400</t>
  </si>
  <si>
    <t>Digitized RG 185 photograph (of 102 RG-185 catalog hits for 'Naos Island'). https://catalog.archives.gov/id/100995378</t>
  </si>
  <si>
    <t>A-0253</t>
  </si>
  <si>
    <t>Photograph of Diablo Heights</t>
  </si>
  <si>
    <t>185-CZ-5-9-D-12(5)</t>
  </si>
  <si>
    <t>Digitized RG 185 photograph (of 277 RG-185 catalog hits for 'Diablo'). https://catalog.archives.gov/id/202799057 | repointed CZ-055 -&gt; CZ-182 2026-09-14 (Diablo split: the 1940s Diablo Heights townsite is its own place)</t>
  </si>
  <si>
    <t>A-0254</t>
  </si>
  <si>
    <t>The Agua Clara Reservoir, Gatun - July, 1910</t>
  </si>
  <si>
    <t>185-G-1811</t>
  </si>
  <si>
    <t>Digitized RG 185 photograph (of 39 RG-185 catalog hits for 'Agua Clara'). https://catalog.archives.gov/id/100998194</t>
  </si>
  <si>
    <t>A-0255</t>
  </si>
  <si>
    <t>(PI-91 place index)</t>
  </si>
  <si>
    <t>1: A9, C1, E50, F34, F39, F60, G48; 2: F/218-220, F/348, F/352, F/362, F/371, F/417-420; 5: 3.3</t>
  </si>
  <si>
    <t>Named in PI-91 cartographic inventory (paper, onsite-only, mostly French-era 1881-1900). Bas Matachin 5:3.2; Bas Matachin shops 2:F/144; Matachin section maps 2:F/112. File designations in page/plate field.</t>
  </si>
  <si>
    <t>A-0256</t>
  </si>
  <si>
    <t>2: F/206, F/382; 5: 2.6</t>
  </si>
  <si>
    <t>Named in PI-91 cartographic inventory (paper, onsite-only, mostly French-era 1881-1900). Barbacoas bridge 2:F/30; Chagres diversion No.6 at Barbacoas bridge 2:F/30. File designations in page/plate field.</t>
  </si>
  <si>
    <t>A-0257</t>
  </si>
  <si>
    <t>1: F35, J1(m); 5: 6.5</t>
  </si>
  <si>
    <t>Named in PI-91 cartographic inventory (paper, onsite-only, mostly French-era 1881-1900). road Cruces-Panama 1:F35; Cruces Cut 2:F/422. File designations in page/plate field.</t>
  </si>
  <si>
    <t>A-0258</t>
  </si>
  <si>
    <t>2: F/9, F/384; 5: 1.6, 2.1</t>
  </si>
  <si>
    <t>Named in PI-91 cartographic inventory (paper, onsite-only, mostly French-era 1881-1900). Trinidad diversion No.2 at Caimito 2:F/9. File designations in page/plate field.</t>
  </si>
  <si>
    <t>A-0259</t>
  </si>
  <si>
    <t>3: 9; 5: 3.3; 9: 48</t>
  </si>
  <si>
    <t>Named in PI-91 cartographic inventory (paper, onsite-only, mostly French-era 1881-1900). Santa Cruz storehouse plan 2:F/134; Cerro Santa Cruz 2:F/87. File designations in page/plate field.</t>
  </si>
  <si>
    <t>A-0260</t>
  </si>
  <si>
    <t>1: E38, G48; 2: F/10, F/17-22, F/194-197, F/320, F/384, F/398; 5: 1.4, 6.3; 22: P4</t>
  </si>
  <si>
    <t>Named in PI-91 cartographic inventory (paper, onsite-only, mostly French-era 1881-1900). 'De Lesseps City' = Gatun, 2:F/197. File designations in page/plate field.</t>
  </si>
  <si>
    <t>A-0261</t>
  </si>
  <si>
    <t>1: B26; 2: F/42, F/53, F/222-224, F/390, F/406, F/423, F/428, F/507; 5: 3.5</t>
  </si>
  <si>
    <t>Named in PI-91 cartographic inventory (paper, onsite-only, mostly French-era 1881-1900). Alto Emperador 5:3.5; Emperador hospital 2:F/123; lock No.5 2:F/95; railroad tracks plan 1:I26. File designations in page/plate field.</t>
  </si>
  <si>
    <t>A-0262</t>
  </si>
  <si>
    <t>1: X12; 2: F/40, F/212-216, F/302, F/326, F/371, F/380, F/406, F/416; 5: 3.2</t>
  </si>
  <si>
    <t>Named in PI-91 cartographic inventory (paper, onsite-only, mostly French-era 1881-1900). Gorgona section 2:F/111. File designations in page/plate field.</t>
  </si>
  <si>
    <t>A-0263</t>
  </si>
  <si>
    <t>1: E15, E40, G47; 2: F/8, F/15, F/52, F/225-227, F/253, F/286, F/360-364, F/383-390; 5: 3.5</t>
  </si>
  <si>
    <t>Named in PI-91 cartographic inventory (paper, onsite-only, mostly French-era 1881-1900). Culebra station 2:F/336A; Culebra locks 2:F/96. File designations in page/plate field.</t>
  </si>
  <si>
    <t>A-0264</t>
  </si>
  <si>
    <t>1: E31, F3; 2: F/2, F/53-56, F/221, F/284, F/302, F/354, F/420-426, F/561; 5: 3.3</t>
  </si>
  <si>
    <t>Named in PI-91 cartographic inventory (paper, onsite-only, mostly French-era 1881-1900). Haut Obispo 2:12, 5:3.3; Bas Obispo Cut 2:F/291. File designations in page/plate field.</t>
  </si>
  <si>
    <t>A-0265</t>
  </si>
  <si>
    <t>1: J1(f,g); 2: F/5, F/52, F/54, F/60, F/286, F/571; 5: 3.4</t>
  </si>
  <si>
    <t>Named in PI-91 cartographic inventory (paper, onsite-only, mostly French-era 1881-1900). Margarita Lago diversion opposite Las Cascadas 2:F/5. File designations in page/plate field.</t>
  </si>
  <si>
    <t>A-0266</t>
  </si>
  <si>
    <t>1: B45, E2, H33, J1(d); 2: F/25, F/45, F/201-203, F/322, F/339-343, F/373, F/406-410; 5: 2.3</t>
  </si>
  <si>
    <t>Named in PI-91 cartographic inventory (paper, onsite-only, mostly French-era 1881-1900). Bohio Soldado 9:25; Bohio dam/locks 2:F/64-66, F/101-103; Lago de Bohio maps entry 8. File designations in page/plate field.</t>
  </si>
  <si>
    <t>A-0267</t>
  </si>
  <si>
    <t>1: B31; 2: F/189-190, F/480; 5: 1.1</t>
  </si>
  <si>
    <t>Named in PI-91 cartographic inventory (paper, onsite-only, mostly French-era 1881-1900). Punta Cristobal fill 1:A29; storehouse 2:F/135. File designations in page/plate field.</t>
  </si>
  <si>
    <t>A-0268</t>
  </si>
  <si>
    <t>1: A10; 2: F/127-129, F/137; 5: 3.10</t>
  </si>
  <si>
    <t>Named in PI-91 cartographic inventory (paper, onsite-only, mostly French-era 1881-1900). Ancon hospital farm plan 1884 1:A10; office building 2:F/137. File designations in page/plate field.</t>
  </si>
  <si>
    <t>A-0269</t>
  </si>
  <si>
    <t>5: 3.8</t>
  </si>
  <si>
    <t>Named in PI-91 cartographic inventory (paper, onsite-only, mostly French-era 1881-1900). rio refs throughout entry 2 F/11-15 (diversions). File designations in page/plate field.</t>
  </si>
  <si>
    <t>A-0270</t>
  </si>
  <si>
    <t>2: F/4, F/68, F/232-234, F/363, F/389, F/507; 3: 16, 28, 62-64; 5: 3.7</t>
  </si>
  <si>
    <t>Named in PI-91 cartographic inventory (paper, onsite-only, mostly French-era 1881-1900). Pedro Miguel dam borings 2:F/69-70. File designations in page/plate field.</t>
  </si>
  <si>
    <t>A-0271</t>
  </si>
  <si>
    <t>1: A18, E51, J1(i); 2: F/117, F/304, F/368, F/393, F/403-406, F/450-451, F/523-526; 5: 3.9</t>
  </si>
  <si>
    <t>Named in PI-91 cartographic inventory (paper, onsite-only, mostly French-era 1881-1900). 'Balboa. See La Boca.' - PI-91 equates the names; La Boca dam 2:F/76. File designations in page/plate field.</t>
  </si>
  <si>
    <t>A-0272</t>
  </si>
  <si>
    <t>1: E17, J1(h), X1; 2: F/117, F/236-238, F/273, F/306, F/359, F/387, F/393; 5: 3.8</t>
  </si>
  <si>
    <t>Named in PI-91 cartographic inventory (paper, onsite-only, mostly French-era 1881-1900). projected tide locks at Corozal 1886 2:F/105. File designations in page/plate field.</t>
  </si>
  <si>
    <t>A-0273</t>
  </si>
  <si>
    <t>1: J1(d); 2: F/28, F/199; 5: 2.5</t>
  </si>
  <si>
    <t>Named in PI-91 cartographic inventory (paper, onsite-only, mostly French-era 1881-1900). Rio Frijoles diversion 2:F/6. File designations in page/plate field.</t>
  </si>
  <si>
    <t>A-0274</t>
  </si>
  <si>
    <t>1: A9, E3, E17, E33, J1(g,h), X14; 2: F/68, F/230-232, F/246, F/353, F/443-450; 3: 14-79; 5: 3.6</t>
  </si>
  <si>
    <t>Named in PI-91 cartographic inventory (paper, onsite-only, mostly French-era 1881-1900). proposed dam at Paraiso 2:F/67; locks 7 &amp; 9 2:F/97, F/99. File designations in page/plate field.</t>
  </si>
  <si>
    <t>A-0275</t>
  </si>
  <si>
    <t>1: I13; 2: F/32-33, F/46, F/208-211, F/325, F/351, F/365, F/406, F/412-415; 5: 2.6</t>
  </si>
  <si>
    <t>Named in PI-91 cartographic inventory (paper, onsite-only, mostly French-era 1881-1900). San Pablo dam site borings 2:F/74; PRR deviation map Tabernilla-San Pablo 1:I13. File designations in page/plate field.</t>
  </si>
  <si>
    <t>A-0276</t>
  </si>
  <si>
    <t>1: I13, J1(e), X12; 2: F/32, F/203-207, F/323-324, F/337, F/341, F/345, F/411, F/414; 5: 2.6</t>
  </si>
  <si>
    <t>Named in PI-91 cartographic inventory (paper, onsite-only, mostly French-era 1881-1900). 'Tavernilla. See Tabernilla.'; Tabernilla dumps 2:F/551. File designations in page/plate field.</t>
  </si>
  <si>
    <t>A-0277</t>
  </si>
  <si>
    <t>1: F40, G16, G39, G47; 2: F/61, F/217, F/343; 5: 3.3</t>
  </si>
  <si>
    <t>Named in PI-91 cartographic inventory (paper, onsite-only, mostly French-era 1881-1900). Gamboa dam series 2:F/77-87. File designations in page/plate field.</t>
  </si>
  <si>
    <t>A-0278</t>
  </si>
  <si>
    <t>1: E3, E50; 2: F/4, F/235, F/264, F/306, F/315, F/353, F/363, F/375-376, F/387, F/507; 5: 3.7</t>
  </si>
  <si>
    <t>Named in PI-91 cartographic inventory (paper, onsite-only, mostly French-era 1881-1900). lock No.10 at Miraflores 2:F/100; proposed dams 2:F/75. File designations in page/plate field.</t>
  </si>
  <si>
    <t>A-0279</t>
  </si>
  <si>
    <t>2: F/228-229, F/232, F/507, F/555; 5: 3.6; 9: 30-35</t>
  </si>
  <si>
    <t>Named in PI-91 cartographic inventory (paper, onsite-only, mostly French-era 1881-1900). Cucaracha ('Cucuracha') slide contour maps 1888/1895 1:E22, E22.5. File designations in page/plate field.</t>
  </si>
  <si>
    <t>A-0280</t>
  </si>
  <si>
    <t>1: J1(a,b); 2: F/189, F/194, F/319; 5: 1.3</t>
  </si>
  <si>
    <t>Named in PI-91 cartographic inventory (paper, onsite-only, mostly French-era 1881-1900). File designations in page/plate field.</t>
  </si>
  <si>
    <t>A-0281</t>
  </si>
  <si>
    <t>2: F/27, F/198, F/341, F/372, F/411; 5: 2.4</t>
  </si>
  <si>
    <t>Named in PI-91 cartographic inventory (paper, onsite-only, mostly French-era 1881-1900). Chagres diversion No.4 Buena Vista-Agua Salud 2:F/27; Buena Vista Division 16:12. File designations in page/plate field.</t>
  </si>
  <si>
    <t>A-0282</t>
  </si>
  <si>
    <t>5: 1.6, 2.2</t>
  </si>
  <si>
    <t>A-0283</t>
  </si>
  <si>
    <t>1: B44; 2: F/34, F/44, F/208-210, F/323, F/346-352, F/362, F/412, F/419, F/570; 5: 2.7</t>
  </si>
  <si>
    <t>Named in PI-91 cartographic inventory (paper, onsite-only, mostly French-era 1881-1900). Mamei diversion plan 1:B44. File designations in page/plate field.</t>
  </si>
  <si>
    <t>A-0284</t>
  </si>
  <si>
    <t>22: P8</t>
  </si>
  <si>
    <t>A-0285</t>
  </si>
  <si>
    <t>2: F/190; 5: 1.2; 22: P-</t>
  </si>
  <si>
    <t>Named in PI-91 cartographic inventory (paper, onsite-only, mostly French-era 1881-1900). Monkey Hill 2:F/191-192, F/194 (earlier name); Mount Hope drydock 2:F/540. File designations in page/plate field.</t>
  </si>
  <si>
    <t>A-0286</t>
  </si>
  <si>
    <t>1: D30; 2: F/131, F/133</t>
  </si>
  <si>
    <t>Named in PI-91 cartographic inventory (paper, onsite-only, mostly French-era 1881-1900). Taboga sanitarium buildings/grounds plans; La Otre Banda estate 1:D30. File designations in page/plate field.</t>
  </si>
  <si>
    <t>A-0287</t>
  </si>
  <si>
    <t>1: F2-F62 passim; 3: 11-17; 5: 6.2; 16: 4, 9, 27</t>
  </si>
  <si>
    <t>Named in PI-91 cartographic inventory (paper, onsite-only, mostly French-era 1881-1900). Alhajuela dam + Lago de Alhajuela map series (entry 7); fluviograph 2:F/153A. File designations in page/plate field.</t>
  </si>
  <si>
    <t>A-0288</t>
  </si>
  <si>
    <t>1: J1(e,f); 2: F/2, F/33, F/44, F/413; 5: 2.8, 3.2; 9: 26</t>
  </si>
  <si>
    <t>A-0289</t>
  </si>
  <si>
    <t>2: F/3; 5: 1.5, 6.2; 16: 15(25)</t>
  </si>
  <si>
    <t>Named in PI-91 cartographic inventory (paper, onsite-only, mostly French-era 1881-1900). Rio Gatuncillo diversion soundings 1894 2:F/3. File designations in page/plate field.</t>
  </si>
  <si>
    <t>A-0290</t>
  </si>
  <si>
    <t>2: F/38, F/206; 22: P5</t>
  </si>
  <si>
    <t>Named in PI-91 cartographic inventory (paper, onsite-only, mostly French-era 1881-1900). village on 1913 ICC plate P5. File designations in page/plate field.</t>
  </si>
  <si>
    <t>A-0291</t>
  </si>
  <si>
    <t>1: A28; 2: F/1; 5: 3.4-3.5</t>
  </si>
  <si>
    <t>Named in PI-91 cartographic inventory (paper, onsite-only, mostly French-era 1881-1900). Rio Camacho diversion at Whitehouse 1888 2:F/1. File designations in page/plate field.</t>
  </si>
  <si>
    <t>A-0292</t>
  </si>
  <si>
    <t>1: D25, E51, X14; 2: F/117; 5: 3.11</t>
  </si>
  <si>
    <t>Named in PI-91 cartographic inventory (paper, onsite-only, mostly French-era 1881-1900). Isla Naos &amp; buildings map 1907 1:D25; tide gauge 2:F/117. File designations in page/plate field.</t>
  </si>
  <si>
    <t>A-0293</t>
  </si>
  <si>
    <t>1: G4, I6; 2: F/21; 5: 2.2, 4.1-4.2; 16: 15(5)</t>
  </si>
  <si>
    <t>Named in PI-91 cartographic inventory (paper, onsite-only, mostly French-era 1881-1900). Agua Clara swamps plans 1:I6. File designations in page/plate field.</t>
  </si>
  <si>
    <t>A-0294</t>
  </si>
  <si>
    <t>1: F20; 5: 6.4</t>
  </si>
  <si>
    <t>Named in PI-91 cartographic inventory (paper, onsite-only, mostly French-era 1881-1900). map of Juan Mina and Cantadora regions, upper Chagres, 1881 1:F20. File designations in page/plate field.</t>
  </si>
  <si>
    <t>A-0295</t>
  </si>
  <si>
    <t>2: F/1, F/222-223, F/423; 5: 3.4</t>
  </si>
  <si>
    <t>Named in PI-91 cartographic inventory (paper, onsite-only, mostly French-era 1881-1900). 'Casa Blanca. See Whitehouse' 2:F/222; Rio Camacho diversion at Whitehouse 1888 2:F/1. File designations in page/plate field.</t>
  </si>
  <si>
    <t>A-0296</t>
  </si>
  <si>
    <t>1: J1(c); 2: F/16, F/330; 5: 2.3</t>
  </si>
  <si>
    <t>Named in PI-91 cartographic inventory (paper, onsite-only, mostly French-era 1881-1900). Chagres diversion No.1 at Vamos Vamos 1899 2:F/16. File designations in page/plate field.</t>
  </si>
  <si>
    <t>A-0297</t>
  </si>
  <si>
    <t>2: F/21, F/24-26, F/94, F/104, F/321; 5: 2.3; 16: 15(5)</t>
  </si>
  <si>
    <t>Named in PI-91 cartographic inventory (paper, onsite-only, mostly French-era 1881-1900). lock No.1 at Pena Blanca 1888 2:F/94. File designations in page/plate field.</t>
  </si>
  <si>
    <t>A-0298</t>
  </si>
  <si>
    <t>2: F/231, F/338; 5: 3.9</t>
  </si>
  <si>
    <t>A-0299</t>
  </si>
  <si>
    <t>1: J1(m,n); 5: 6.5</t>
  </si>
  <si>
    <t>Named in PI-91 cartographic inventory (paper, onsite-only, mostly French-era 1881-1900). Chagres sectional maps, Cruces to above Palo Grande. File designations in page/plate field.</t>
  </si>
  <si>
    <t>A-0300</t>
  </si>
  <si>
    <t>2: F/306; 3: 10; 5: 3.8</t>
  </si>
  <si>
    <t>Named in PI-91 cartographic inventory (paper, onsite-only, mostly French-era 1881-1900). Rio Cocoli maps 3:10. File designations in page/plate field.</t>
  </si>
  <si>
    <t>A-0301</t>
  </si>
  <si>
    <t>0 hits in RG 185 catalog search (2026-09); absent from PI-91 place index (only 'Juan Gallegos, Rio' - the river - appears). The place is invisible in the official cartographic/photographic record as digitized.</t>
  </si>
  <si>
    <t>A-0302</t>
  </si>
  <si>
    <t>29 Smithsonian records name this place (units: NMNHBOTANY:17; NMNHBIRDS:12). Mostly NMNH collecting localities. Earliest year appearing in a matched record: 1911 (NMNHBOTANY, Ludwigia erecta (L.) H. Hara) - may be taxon-description year, verify.</t>
  </si>
  <si>
    <t>A-0303</t>
  </si>
  <si>
    <t>149 Smithsonian records name this place (units: NMNHBOTANY:91; NMNHENTO:22; NMNHHERPS:22; NMNHBIRDS:10; NMNHMAMMALS:3; NPM:1). Mostly NMNH collecting localities. Earliest year appearing in a matched record: 1911 (NMNHBOTANY, Isertia haenkeana DC.) - may be taxon-description year, verify.</t>
  </si>
  <si>
    <t>A-0304</t>
  </si>
  <si>
    <t>40 Smithsonian records name this place (units: NMNHPALEO:39; NMNHINV:1). Mostly NMNH collecting localities. Earliest year appearing in a matched record: 1875 (NMNHPALEO, Clypeaster concavus Cotteau, 1875) - may be taxon-description year, verify.</t>
  </si>
  <si>
    <t>A-0305</t>
  </si>
  <si>
    <t>20 Smithsonian records name this place (units: NMNHMAMMALS:17; NMNHHERPS:2; SIL:1). Mostly NMNH collecting localities.</t>
  </si>
  <si>
    <t>A-0306</t>
  </si>
  <si>
    <t>2948 Smithsonian records name this place (units: NMNHBIRDS:885; NMNHBOTANY:867; NMNHINV:374; NMNHENTO:296; NMNHFISHES:203; NMNHMAMMALS:189; NMNHPALEO:119; NPM:4; SIL:3; NMNHMINSCI:3; SLA_SRO:2; NMNHH). Mostly NMNH collecting localities. Earliest year appearing in a matched record: 1850 (NMNHINV, Phasianema anomala) - may be taxon-description year, verify.</t>
  </si>
  <si>
    <t>A-0307</t>
  </si>
  <si>
    <t>13 Smithsonian records name this place (units: NMNHFISHES:9; NMNHINV:4). Mostly NMNH collecting localities. Earliest year appearing in a matched record: 1869 (NMNHINV, Callinectes danae) - may be taxon-description year, verify.</t>
  </si>
  <si>
    <t>A-0308</t>
  </si>
  <si>
    <t>401 Smithsonian records name this place (units: NMNHBOTANY:152; NMNHINV:116; NMNHMAMMALS:54; NMNHFISHES:25; NMNHHERPS:24; NMNHBIRDS:20; SIL:6; NMNHMINSCI:4). Mostly NMNH collecting localities. Earliest year appearing in a matched record: 1850 (SIL, The Life history of the United States: the sounds of histor) - may be taxon-description year, verify.</t>
  </si>
  <si>
    <t>A-0309</t>
  </si>
  <si>
    <t>41 Smithsonian records name this place (units: NMNHFISHES:28; NMNHMAMMALS:10; NMNHPALEO:2; NMNHENTO:1). Mostly NMNH collecting localities. Earliest year appearing in a matched record: 1875 (NMNHPALEO, Clypeaster concavus Cotteau, 1875) - may be taxon-description year, verify.</t>
  </si>
  <si>
    <t>A-0310</t>
  </si>
  <si>
    <t>268 Smithsonian records name this place (units: NMNHBOTANY:97; NMNHFISHES:90; NMNHINV:47; NMNHHERPS:32; NMNHENTO:2). Mostly NMNH collecting localities. Earliest year appearing in a matched record: 1857 (NMNHINV, Leptogorgia punicea) - may be taxon-description year, verify.</t>
  </si>
  <si>
    <t>A-0311</t>
  </si>
  <si>
    <t>783 Smithsonian records name this place (units: NMNHBOTANY:386; NMNHINV:316; NMNHPALEO:32; NMNHFISHES:24; NMNHMINSCI:22; NMNHENTO:2; NPM:1). Mostly NMNH collecting localities. Earliest year appearing in a matched record: 1853 (NMNHINV, Albunea lucasia) - may be taxon-description year, verify.</t>
  </si>
  <si>
    <t>A-0312</t>
  </si>
  <si>
    <t>64 Smithsonian records name this place (units: NMNHMAMMALS:35; NMNHFISHES:17; NMNHBOTANY:9; NPM:2; NMNHMINSCI:1). Mostly NMNH collecting localities. Earliest year appearing in a matched record: 1896 (NMNHMAMMALS, Carollia perspicillata) - may be taxon-description year, verify.</t>
  </si>
  <si>
    <t>A-0313</t>
  </si>
  <si>
    <t>397 Smithsonian records name this place (units: NMNHBOTANY:381; NMNHENTO:5; NMNHINV:5; NMNHMAMMALS:5; NMNHBIRDS:1). Mostly NMNH collecting localities. Earliest year appearing in a matched record: 1852 (NMNHBOTANY, Tectaria pilosa (Fée) Maxon) - may be taxon-description year, verify.</t>
  </si>
  <si>
    <t>A-0314</t>
  </si>
  <si>
    <t>307 Smithsonian records name this place (units: NMNHMAMMALS:170; NMNHBOTANY:64; NMNHPALEO:41; NMNHHERPS:11; NMNHENTO:9; NMNHINV:6; NMNHMINSCI:5; NMNHBIRDS:1). Mostly NMNH collecting localities. Earliest year appearing in a matched record: 1850 (NMNHENTO, Ischnura ramburii) - may be taxon-description year, verify.</t>
  </si>
  <si>
    <t>A-0315</t>
  </si>
  <si>
    <t>494 Smithsonian records name this place (units: NMNHMAMMALS:419; NMNHINV:32; NMNHBOTANY:17; NMNHFISHES:16; SIL:5; NMNHEDUCATION:2; NPM:1; NMNHENTO:1; NMNHBIRDS:1). Mostly NMNH collecting localities. Earliest year appearing in a matched record: 1860 (NMNHINV, Microphrys platysoma) - may be taxon-description year, verify.</t>
  </si>
  <si>
    <t>A-0316</t>
  </si>
  <si>
    <t>578 Smithsonian records name this place (units: NMNHBOTANY:440; NMNHENTO:56; NMNHINV:34; NMNHBIRDS:25; NMNHMAMMALS:12; SIL:5; NPM:3; NMNHFISHES:3). Mostly NMNH collecting localities. Earliest year appearing in a matched record: 1850 (NMNHENTO, Ischnura ramburii) - may be taxon-description year, verify.</t>
  </si>
  <si>
    <t>A-0317</t>
  </si>
  <si>
    <t>91 Smithsonian records name this place (units: NMNHBOTANY:78; NMNHFISHES:9; NMNHHERPS:2; NMNHINV:1; SIL:1). Mostly NMNH collecting localities. Earliest year appearing in a matched record: 1881 (SIL, The Pan American highway from the Rio Grande to the Canal Zo) - may be taxon-description year, verify.</t>
  </si>
  <si>
    <t>A-0318</t>
  </si>
  <si>
    <t>323 Smithsonian records name this place (units: NMNHBOTANY:192; NMNHINV:72; NMNHFISHES:31; NMNHMAMMALS:13; NMNHBIRDS:8; NMNHENTO:7). Mostly NMNH collecting localities. Earliest year appearing in a matched record: 1851 (NMNHENTO, Aricoris erostratus) - may be taxon-description year, verify.</t>
  </si>
  <si>
    <t>A-0319</t>
  </si>
  <si>
    <t>166 Smithsonian records name this place (units: NMNHINV:151; NMNHPALEO:10; NMNHMINSCI:3; NMNHBOTANY:1; SIL:1). Mostly NMNH collecting localities. Earliest year appearing in a matched record: 1852 (NMNHINV, Uca (Uca) stylifera) - may be taxon-description year, verify.</t>
  </si>
  <si>
    <t>A-0320</t>
  </si>
  <si>
    <t>527 Smithsonian records name this place (units: NMNHBOTANY:247; NMNHFISHES:95; NMNHMAMMALS:78; NMNHENTO:52; NMNHBIRDS:37; NMNHINV:18). Mostly NMNH collecting localities. Earliest year appearing in a matched record: 1851 (NMNHFISHES, Anisotremus pacifici) - may be taxon-description year, verify.</t>
  </si>
  <si>
    <t>A-0321</t>
  </si>
  <si>
    <t>1197 Smithsonian records name this place (units: NMNHBOTANY:555; NMNHMAMMALS:396; NMNHENTO:119; NMNHBIRDS:57; NMNHFISHES:33; NMNHHERPS:18; NMNHINV:17; SIA:2). Mostly NMNH collecting localities. Earliest year appearing in a matched record: 1850 (NMNHENTO, Ischnura ramburii) - may be taxon-description year, verify.</t>
  </si>
  <si>
    <t>A-0322</t>
  </si>
  <si>
    <t>327 Smithsonian records name this place (units: NMNHMAMMALS:125; NMNHENTO:104; NMNHBOTANY:93; NMNHINV:2; NMNHMINSCI:2; NMNHBIRDS:1). Mostly NMNH collecting localities. Earliest year appearing in a matched record: 1851 (NMNHENTO, Aricoris erostratus) - may be taxon-description year, verify.</t>
  </si>
  <si>
    <t>A-0323</t>
  </si>
  <si>
    <t>31 Smithsonian records name this place (units: NMNHMAMMALS:30; NMNHBOTANY:1). Mostly NMNH collecting localities. Earliest year appearing in a matched record: 1909 (NMNHMAMMALS, Molossus coibensis) - may be taxon-description year, verify.</t>
  </si>
  <si>
    <t>A-0324</t>
  </si>
  <si>
    <t>334 Smithsonian records name this place (units: NMNHBIRDS:133; NMNHENTO:86; NMNHMAMMALS:52; NMNHBOTANY:43; NMNHFISHES:10; NMNHHERPS:9; NMNHINV:1). Mostly NMNH collecting localities. Earliest year appearing in a matched record: 1867 (NMNHENTO, Ibidion delicatulum) - may be taxon-description year, verify.</t>
  </si>
  <si>
    <t>A-0325</t>
  </si>
  <si>
    <t>1779 Smithsonian records name this place (units: NMNHBOTANY:1012; NMNHBIRDS:270; NMNHMAMMALS:237; NMNHENTO:211; NMNHINV:17; NMNHFISHES:16; NMNHHERPS:10; NPM:2; FBR:2; NMNHMINSCI:1; SIA:1). Mostly NMNH collecting localities. Earliest year appearing in a matched record: 1850 (NMNHENTO, Ischnura ramburii) - may be taxon-description year, verify.</t>
  </si>
  <si>
    <t>A-0326</t>
  </si>
  <si>
    <t>1143 Smithsonian records name this place (units: NMNHINV:668; NMNHBOTANY:229; NMNHFISHES:184; NMNHBIRDS:43; NMNHMAMMALS:12; NMNHENTO:7). Mostly NMNH collecting localities. Earliest year appearing in a matched record: 1851 (NMNHINV, Ophiothrix spiculata) - may be taxon-description year, verify.</t>
  </si>
  <si>
    <t>A-0327</t>
  </si>
  <si>
    <t>11 Smithsonian records name this place (units: NMNHPALEO:6; NMNHBOTANY:3; NMNHMAMMALS:2). Mostly NMNH collecting localities. Earliest year appearing in a matched record: 1911 (NMNHBOTANY, Jacquemontia pentanthos (Jacq.) G. Don) - may be taxon-description year, verify.</t>
  </si>
  <si>
    <t>A-0328</t>
  </si>
  <si>
    <t>214 Smithsonian records name this place (units: NMNHFISHES:175; NMNHINV:22; NMNHBOTANY:16; NMNHENTO:1). Mostly NMNH collecting localities. Earliest year appearing in a matched record: 1869 (NMNHINV, Callinectes danae) - may be taxon-description year, verify.</t>
  </si>
  <si>
    <t>A-0329</t>
  </si>
  <si>
    <t>247 Smithsonian records name this place (units: NMNHMAMMALS:242; NMNHHERPS:3; NMNHBOTANY:1; NMNHINV:1). Mostly NMNH collecting localities. Earliest year appearing in a matched record: 1894 (NMNHMAMMALS, Phyllostomus discolor verrucosus) - may be taxon-description year, verify.</t>
  </si>
  <si>
    <t>A-0330</t>
  </si>
  <si>
    <t>283 Smithsonian records name this place (units: NMNHBIRDS:256; NMNHBOTANY:13; NMNHMAMMALS:7; NMNHENTO:4; NMNHINV:3). Mostly NMNH collecting localities. Earliest year appearing in a matched record: 1862 (NMNHBIRDS, Lipaugus unirufus unirufus) - may be taxon-description year, verify.</t>
  </si>
  <si>
    <t>A-0331</t>
  </si>
  <si>
    <t>2 Smithsonian records name this place (units: NMNHMAMMALS:2). Mostly NMNH collecting localities.</t>
  </si>
  <si>
    <t>A-0332</t>
  </si>
  <si>
    <t>50 Smithsonian records name this place (units: NMNHBOTANY:50). Mostly NMNH collecting localities. Earliest year appearing in a matched record: 1911 (NMNHBOTANY, Cynodon dactylon (L.) Pers.) - may be taxon-description year, verify.</t>
  </si>
  <si>
    <t>A-0333</t>
  </si>
  <si>
    <t>179 Smithsonian records name this place (units: NMNHBOTANY:101; NMNHFISHES:46; NMNHBIRDS:23; NMNHINV:5; NMNHENTO:3; NMNHMAMMALS:1). Mostly NMNH collecting localities. Earliest year appearing in a matched record: 1911 (NMNHINV, Astreopora antiguensis) - may be taxon-description year, verify.</t>
  </si>
  <si>
    <t>A-0334</t>
  </si>
  <si>
    <t>467 Smithsonian records name this place (units: NMNHINV:247; NMNHFISHES:195; NMNHBOTANY:25). Mostly NMNH collecting localities. Earliest year appearing in a matched record: 1851 (NMNHINV, Chiridota rotifera) - may be taxon-description year, verify.</t>
  </si>
  <si>
    <t>A-0335</t>
  </si>
  <si>
    <t>2391 Smithsonian records name this place (units: NMNHBOTANY:961; NMNHMAMMALS:727; NMNHFISHES:512; NMNHINV:141; NMNHENTO:23; NMNHBIRDS:12; SIL:7; NPM:4; NMAH:2; NMNHANTHRO:1; NMNHEDUCATION:1). Mostly NMNH collecting localities. Earliest year appearing in a matched record: 1850 (NMNHINV, Pachygrapsus transversus) - may be taxon-description year, verify.</t>
  </si>
  <si>
    <t>A-0336</t>
  </si>
  <si>
    <t>173 Smithsonian records name this place (units: NMNHBOTANY:83; NMNHINV:49; NMNHFISHES:19; NMNHMAMMALS:18; SIL:2; NMNHPALEO:1; NMNHBIRDS:1). Mostly NMNH collecting localities. Earliest year appearing in a matched record: 1850 (NMNHINV, Solenastrea bournoni) - may be taxon-description year, verify.</t>
  </si>
  <si>
    <t>A-0337</t>
  </si>
  <si>
    <t>191 Smithsonian records name this place (units: NMNHBOTANY:94; NMNHFISHES:86; NMNHINV:9; NMNHMAMMALS:1; FBR:1). Mostly NMNH collecting localities. Earliest year appearing in a matched record: 1875 (NMNHFISHES, Chaetodipterus zonatus) - may be taxon-description year, verify.</t>
  </si>
  <si>
    <t>A-0338</t>
  </si>
  <si>
    <t>40 Smithsonian records name this place (units: NMNHBOTANY:31; NMNHMAMMALS:3; NMNHENTO:2; NMNHINV:2; NMNHBIRDS:1; NMNHFISHES:1). Mostly NMNH collecting localities. Earliest year appearing in a matched record: 1911 (NMNHENTO, Caligo oileus) - may be taxon-description year, verify.</t>
  </si>
  <si>
    <t>A-0339</t>
  </si>
  <si>
    <t>133 Smithsonian records name this place (units: NMNHENTO:52; NMNHFISHES:37; NMNHBOTANY:33; NMNHMAMMALS:8; NMNHHERPS:1; SIL:1; NMNHBIRDS:1). Mostly NMNH collecting localities. Earliest year appearing in a matched record: 1853 (NMNHENTO, Hetaerina occisa) - may be taxon-description year, verify.</t>
  </si>
  <si>
    <t>A-0340</t>
  </si>
  <si>
    <t>5 Smithsonian records name this place (units: NMNHFISHES:5). Mostly NMNH collecting localities.</t>
  </si>
  <si>
    <t>A-0341</t>
  </si>
  <si>
    <t>102 Smithsonian records name this place (units: NMNHBOTANY:69; NMNHBIRDS:17; NMNHPALEO:13; NMNHINV:3). Mostly NMNH collecting localities. Earliest year appearing in a matched record: 1873 (NMNHINV, Astrocoenia incrustans) - may be taxon-description year, verify.</t>
  </si>
  <si>
    <t>A-0342</t>
  </si>
  <si>
    <t>8 Smithsonian records name this place (units: NMNHBOTANY:3; NPM:2; SIL:1; NMNHINV:1; NMNHANTHRO:1). Mostly NMNH collecting localities. Earliest year appearing in a matched record: 1870 (NMNHINV, Cardisoma crassum) - may be taxon-description year, verify.</t>
  </si>
  <si>
    <t>A-0343</t>
  </si>
  <si>
    <t>752 Smithsonian records name this place (units: NMNHBIRDS:327; NMNHBOTANY:217; NMNHFISHES:146; NMNHHERPS:25; NMNHINV:19; NMNHMAMMALS:9; NMNHMINSCI:4; SLA_SRO:2; NMNHENTO:2; NMNHPALEO:1). Mostly NMNH collecting localities. Earliest year appearing in a matched record: 1850 (NMNHBOTANY, Dioscorea mexicana Scheidw.) - may be taxon-description year, verify.</t>
  </si>
  <si>
    <t>A-0344</t>
  </si>
  <si>
    <t>72 Smithsonian records name this place (units: NMNHINV:40; NMNHBOTANY:24; NMNHBIRDS:5; NMNHENTO:3). Mostly NMNH collecting localities. Earliest year appearing in a matched record: 1869 (NMNHINV, Eurypanopeus planus) - may be taxon-description year, verify.</t>
  </si>
  <si>
    <t>A-0345</t>
  </si>
  <si>
    <t>350 Smithsonian records name this place (units: NMNHFISHES:174; NMNHBOTANY:151; NMNHINV:9; NMNHBIRDS:7; FBR:3; NMNHENTO:2; NMNHMAMMALS:2; SIL:1; SIA:1). Mostly NMNH collecting localities. Earliest year appearing in a matched record: 1850 (SIA, Permanent Administrative Files, 1877-1975) - may be taxon-description year, verify.</t>
  </si>
  <si>
    <t>A-0346</t>
  </si>
  <si>
    <t>1160 Smithsonian records name this place (units: NMNHBOTANY:724; NMNHMAMMALS:301; NMNHENTO:60; NMNHBIRDS:44; NMNHHERPS:18; NMNHINV:10; SIL:2; NMNHFISHES:1). Mostly NMNH collecting localities. Earliest year appearing in a matched record: 1852 (NMNHBOTANY, Tectaria pilosa (Fée) Maxon) - may be taxon-description year, verify.</t>
  </si>
  <si>
    <t>A-0347</t>
  </si>
  <si>
    <t>211 Smithsonian records name this place (units: NMNHBOTANY:134; NMNHMAMMALS:48; NMNHBIRDS:27; NMNHENTO:2). Mostly NMNH collecting localities. Earliest year appearing in a matched record: 1914 (NMNHBOTANY, Microdesmia arborea (Seem.) Sothers &amp; Prance) - may be taxon-description year, verify.</t>
  </si>
  <si>
    <t>A-0348</t>
  </si>
  <si>
    <t>369 Smithsonian records name this place (units: NMNHINV:329; NMNHFISHES:40). Mostly NMNH collecting localities. Earliest year appearing in a matched record: 1850 (NMNHINV, Pachygrapsus transversus) - may be taxon-description year, verify.</t>
  </si>
  <si>
    <t>A-0349</t>
  </si>
  <si>
    <t>10 Smithsonian records name this place (units: NMNHBOTANY:10). Mostly NMNH collecting localities. Earliest year appearing in a matched record: 1911 (NMNHBOTANY, Briquetia spicata (Kunth) Fryxell) - may be taxon-description year, verify.</t>
  </si>
  <si>
    <t>A-0350</t>
  </si>
  <si>
    <t>35 Smithsonian records name this place (units: NMNHINV:31; NMNHENTO:3; NMNHBOTANY:1). Mostly NMNH collecting localities. Earliest year appearing in a matched record: 1859 (NMNHINV, Clibanarius lineatus) - may be taxon-description year, verify.</t>
  </si>
  <si>
    <t>A-0351</t>
  </si>
  <si>
    <t>116 Smithsonian records name this place (units: NMNHBOTANY:57; NMNHBIRDS:42; NMNHFISHES:15; NMNHINV:2). Mostly NMNH collecting localities. Earliest year appearing in a matched record: 1905 (NMNHINV, Fredius chaffanjoni) - may be taxon-description year, verify.</t>
  </si>
  <si>
    <t>A-0352</t>
  </si>
  <si>
    <t>526 Smithsonian records name this place (units: NMNHBIRDS:408; NMNHBOTANY:99; NMNHMAMMALS:12; NMNHENTO:5; NMNHINV:2). Mostly NMNH collecting localities. Earliest year appearing in a matched record: 1850 (NMNHENTO, Ischnura ramburii) - may be taxon-description year, verify.</t>
  </si>
  <si>
    <t>A-0353</t>
  </si>
  <si>
    <t>1 Smithsonian records name this place (units: SIL:1). Mostly NMNH collecting localities. Earliest year appearing in a matched record: 1913 (SIL, The people of Panama by John and Mavis Biesanz) - may be taxon-description year, verify.</t>
  </si>
  <si>
    <t>A-0354</t>
  </si>
  <si>
    <t>38 Smithsonian records name this place (units: NMNHBOTANY:38). Mostly NMNH collecting localities. Earliest year appearing in a matched record: 1932 (NMNHBOTANY, Swartzia simplex var. ochnacea (DC.) R.S. Cowan) - may be taxon-description year, verify.</t>
  </si>
  <si>
    <t>A-0355</t>
  </si>
  <si>
    <t>212 Smithsonian records name this place (units: NMNHBOTANY:133; NMNHMAMMALS:40; NMNHFISHES:21; NMNHBIRDS:12; NMNHENTO:6). Mostly NMNH collecting localities. Earliest year appearing in a matched record: 1904 (NMNHBOTANY, Phyllanthus acuminatus Vahl) - may be taxon-description year, verify.</t>
  </si>
  <si>
    <t>A-0356</t>
  </si>
  <si>
    <t>0 matches among 45,040 'Canal Zone'/'Panama Canal' Smithsonian records (2026-09). The place is absent from the scientific collecting record.</t>
  </si>
  <si>
    <t>A-0357</t>
  </si>
  <si>
    <t>A-0358</t>
  </si>
  <si>
    <t>A-0359</t>
  </si>
  <si>
    <t>A-0360</t>
  </si>
  <si>
    <t>A-0361</t>
  </si>
  <si>
    <t>A-0362</t>
  </si>
  <si>
    <t>A-0363</t>
  </si>
  <si>
    <t>A-0364</t>
  </si>
  <si>
    <t>A-0365</t>
  </si>
  <si>
    <t>A-0366</t>
  </si>
  <si>
    <t>Ferry and Village at Gatun C.Z., Feb 1907</t>
  </si>
  <si>
    <t>album view</t>
  </si>
  <si>
    <t>Portrait of Old Gatun village with church, dated Feb 1907 (image 11). Same view later reproduced in the Isthmian Collectors Club Journal (cf. LOC harvest). https://ids.si.edu/ids/deliveryService?id=NMAH-AC1021-0000004</t>
  </si>
  <si>
    <t>A-0367</t>
  </si>
  <si>
    <t>Panama Railway under water near Gatun C.Z.</t>
  </si>
  <si>
    <t>Flood scene near Gatun (image 12). https://ids.si.edu/ids/deliveryService?id=NMAH-AC1021-0000005</t>
  </si>
  <si>
    <t>A-0368</t>
  </si>
  <si>
    <t>Moving at Empire 1905</t>
  </si>
  <si>
    <t>Households in motion - pack animals loaded with furniture beside the track (image 75). A relocation scene photographed at Empire. https://ids.si.edu/ids/deliveryService?id=NMAH-AC1021-0000018</t>
  </si>
  <si>
    <t>A-0369</t>
  </si>
  <si>
    <t>Steam drills working at Empire C.Z.</t>
  </si>
  <si>
    <t>Construction at Empire (image 26). https://ids.si.edu/ids/deliveryService?id=NMAH-AC1021-0000007</t>
  </si>
  <si>
    <t>A-0370</t>
  </si>
  <si>
    <t>Photographer's imprint: 'Photo by Fishbaugh, Empire C.Z.'</t>
  </si>
  <si>
    <t>Every print in the album carries the studio imprint locating W. A. Fishbaugh's business at Empire, C.Z. - the town as commercial address.</t>
  </si>
  <si>
    <t>A-0371</t>
  </si>
  <si>
    <t>Scene at Bas Obispo, Feb. 1907</t>
  </si>
  <si>
    <t>Steam shovel and drills at Bas Obispo, dated (image 61). https://ids.si.edu/ids/deliveryService?id=NMAH-AC1021-0000014</t>
  </si>
  <si>
    <t>A-0372</t>
  </si>
  <si>
    <t>Old French Machinery at Gorgona C.Z.</t>
  </si>
  <si>
    <t>French-era locomotive boneyard at Gorgona (image 68). https://ids.si.edu/ids/deliveryService?id=NMAH-AC1021-0000015</t>
  </si>
  <si>
    <t>A-0373</t>
  </si>
  <si>
    <t>I.C.C. Hospital at Cristobal C.Z.</t>
  </si>
  <si>
    <t>Hospital street view at Cristobal (image 57). https://ids.si.edu/ids/deliveryService?id=NMAH-AC1021-0000013</t>
  </si>
  <si>
    <t>A-0374</t>
  </si>
  <si>
    <t>De Lesseps' Old House at Cristobal C.Z.</t>
  </si>
  <si>
    <t>French-era landmark at Cristobal with Columbus statue (image 79). https://ids.si.edu/ids/deliveryService?id=NMAH-AC1021-0000020</t>
  </si>
  <si>
    <t>A-0375</t>
  </si>
  <si>
    <t>I.C.C. Sanitarium, Taboga Island</t>
  </si>
  <si>
    <t>The sanitarium from the water, copyright 1907 (image 31B). https://ids.si.edu/ids/deliveryService?id=NMAH-AC1021-0000008</t>
  </si>
  <si>
    <t>A-0376</t>
  </si>
  <si>
    <t>plate 216</t>
  </si>
  <si>
    <t>Town and locks at ~mile 7 on the profile; dam and lake shown. https://maps.lib.utexas.edu/maps/historical/shepherd/panama_canal_shepherd.jpg</t>
  </si>
  <si>
    <t>A-0377</t>
  </si>
  <si>
    <t>Profile ~mile 3; 'Sierra Mindi' also named. https://maps.lib.utexas.edu/maps/historical/shepherd/panama_canal_shepherd.jpg</t>
  </si>
  <si>
    <t>A-0378</t>
  </si>
  <si>
    <t>Profile ~mile 9; also on map. https://maps.lib.utexas.edu/maps/historical/shepherd/panama_canal_shepherd.jpg</t>
  </si>
  <si>
    <t>A-0379</t>
  </si>
  <si>
    <t>On map between Gatun and Ahorca Lagarto (not on profile). https://maps.lib.utexas.edu/maps/historical/shepherd/panama_canal_shepherd.jpg</t>
  </si>
  <si>
    <t>A-0380</t>
  </si>
  <si>
    <t>Profile ~mile 14; map also names the hill range 'Lomas de Ahorca Lagarto' - toponym attached to landscape. https://maps.lib.utexas.edu/maps/historical/shepherd/panama_canal_shepherd.jpg</t>
  </si>
  <si>
    <t>A-0381</t>
  </si>
  <si>
    <t>Profile ~mile 17. https://maps.lib.utexas.edu/maps/historical/shepherd/panama_canal_shepherd.jpg</t>
  </si>
  <si>
    <t>A-0382</t>
  </si>
  <si>
    <t>Profile ~mile 20. https://maps.lib.utexas.edu/maps/historical/shepherd/panama_canal_shepherd.jpg</t>
  </si>
  <si>
    <t>A-0383</t>
  </si>
  <si>
    <t>Profile ~mile 24 (map spelling 'Tabernilla'). https://maps.lib.utexas.edu/maps/historical/shepherd/panama_canal_shepherd.jpg</t>
  </si>
  <si>
    <t>A-0384</t>
  </si>
  <si>
    <t>Profile ~mile 25.5. https://maps.lib.utexas.edu/maps/historical/shepherd/panama_canal_shepherd.jpg</t>
  </si>
  <si>
    <t>A-0385</t>
  </si>
  <si>
    <t>Profile ~mile 26.5. https://maps.lib.utexas.edu/maps/historical/shepherd/panama_canal_shepherd.jpg</t>
  </si>
  <si>
    <t>A-0386</t>
  </si>
  <si>
    <t>Profile ~mile 28.5. https://maps.lib.utexas.edu/maps/historical/shepherd/panama_canal_shepherd.jpg</t>
  </si>
  <si>
    <t>A-0387</t>
  </si>
  <si>
    <t>Profile ~mile 29.5. https://maps.lib.utexas.edu/maps/historical/shepherd/panama_canal_shepherd.jpg</t>
  </si>
  <si>
    <t>A-0388</t>
  </si>
  <si>
    <t>Obispo</t>
  </si>
  <si>
    <t>Profile ~mile 31.5 (as 'Obispo'). https://maps.lib.utexas.edu/maps/historical/shepherd/panama_canal_shepherd.jpg</t>
  </si>
  <si>
    <t>A-0389</t>
  </si>
  <si>
    <t>Map, between Obispo and Emperador. https://maps.lib.utexas.edu/maps/historical/shepherd/panama_canal_shepherd.jpg</t>
  </si>
  <si>
    <t>A-0390</t>
  </si>
  <si>
    <t>Profile ~mile 35. https://maps.lib.utexas.edu/maps/historical/shepherd/panama_canal_shepherd.jpg</t>
  </si>
  <si>
    <t>A-0391</t>
  </si>
  <si>
    <t>Map ('Culebra', 'Cerro Culebra'); profile marks Culebra Drainage Divide ~mile 36.5. https://maps.lib.utexas.edu/maps/historical/shepherd/panama_canal_shepherd.jpg</t>
  </si>
  <si>
    <t>A-0392</t>
  </si>
  <si>
    <t>Profile ~mile 38.5. https://maps.lib.utexas.edu/maps/historical/shepherd/panama_canal_shepherd.jpg</t>
  </si>
  <si>
    <t>A-0393</t>
  </si>
  <si>
    <t>Locks at ~mile 40 on profile; town on map. https://maps.lib.utexas.edu/maps/historical/shepherd/panama_canal_shepherd.jpg</t>
  </si>
  <si>
    <t>A-0394</t>
  </si>
  <si>
    <t>Locks at ~mile 41.5 on profile; town on map. https://maps.lib.utexas.edu/maps/historical/shepherd/panama_canal_shepherd.jpg</t>
  </si>
  <si>
    <t>A-0395</t>
  </si>
  <si>
    <t>Profile ~mile 44. https://maps.lib.utexas.edu/maps/historical/shepherd/panama_canal_shepherd.jpg</t>
  </si>
  <si>
    <t>A-0396</t>
  </si>
  <si>
    <t>Toponym afterlife: the 1911 plate still labels 'La Boca' after the c.1909 renaming to Balboa - atlas lag. Profile ~mile 46. https://maps.lib.utexas.edu/maps/historical/shepherd/panama_canal_shepherd.jpg</t>
  </si>
  <si>
    <t>A-0397</t>
  </si>
  <si>
    <t>On map, north of the line near Obispo reach. https://maps.lib.utexas.edu/maps/historical/shepherd/panama_canal_shepherd.jpg</t>
  </si>
  <si>
    <t>A-0398</t>
  </si>
  <si>
    <t>Village at the river mouth, on map. https://maps.lib.utexas.edu/maps/historical/shepherd/panama_canal_shepherd.jpg</t>
  </si>
  <si>
    <t>A-0399</t>
  </si>
  <si>
    <t>Monkey Hill</t>
  </si>
  <si>
    <t>On map near Colon - the pre-1905 name of Mount Hope. https://maps.lib.utexas.edu/maps/historical/shepherd/panama_canal_shepherd.jpg</t>
  </si>
  <si>
    <t>A-0400</t>
  </si>
  <si>
    <t>Noas I. [Naos Island]</t>
  </si>
  <si>
    <t>On map at the Pacific entrance (engraver's spelling 'Noas'). https://maps.lib.utexas.edu/maps/historical/shepherd/panama_canal_shepherd.jpg</t>
  </si>
  <si>
    <t>A-0401</t>
  </si>
  <si>
    <t>1908-05-01</t>
  </si>
  <si>
    <t>Eastern Reflector, 1 May 1908 (ECU item 17991)</t>
  </si>
  <si>
    <t>'the old town... is on the site of the Gatun dam and will be carried off two miles and set down along the Panama railroad'; natives 'had lived in the present location long before'. https://digital.lib.ecu.edu/17991</t>
  </si>
  <si>
    <t>A-0402</t>
  </si>
  <si>
    <t>1906-05-21</t>
  </si>
  <si>
    <t>Eastern Reflector, 21 May 1906</t>
  </si>
  <si>
    <t>Local man's nephew 'in mechanical department of the Cristobal, Panama' - Greenville NC labor link to the town. (reprinted 25 May)</t>
  </si>
  <si>
    <t>A-0403</t>
  </si>
  <si>
    <t>1913-10-03</t>
  </si>
  <si>
    <t>Eastern Reflector, 3 Oct 1913</t>
  </si>
  <si>
    <t>Dredge working 'near the end of the slip, to the west of the pier at Cristobal'.</t>
  </si>
  <si>
    <t>A-0404</t>
  </si>
  <si>
    <t>Daily Reflector, 5 Sep 1964</t>
  </si>
  <si>
    <t>Toponym afterlife: 'passed through the locks at Pedro Miguel' - the demolished town's name persists as the locks name. (1964)</t>
  </si>
  <si>
    <t>A-0405</t>
  </si>
  <si>
    <t>Gatun Lake</t>
  </si>
  <si>
    <t>T. Nash Broaddus oral history, 16 Jan 1990</t>
  </si>
  <si>
    <t>Toponym afterlife: 'anchor for twenty-four hours in Gatun Lake. The water in the lake was fresh' - the drowned town's name persists as the lake name. (1990)</t>
  </si>
  <si>
    <t>A-0406</t>
  </si>
  <si>
    <t>1962-09-11</t>
  </si>
  <si>
    <t>Daily Reflector, 11 Sep 1962</t>
  </si>
  <si>
    <t>'Walter E. Trout of Gamboa... employed as a teacher by the Canal Zone Government Division of Schools' - Gamboa persisting as residence town.</t>
  </si>
  <si>
    <t>A-0407</t>
  </si>
  <si>
    <t>IA: bub_gb_C2coAAAAYAAJ</t>
  </si>
  <si>
    <t>'els is 485,000,000 cubic feet. From the Pena Blanca the water will be discharged into the Agua Clara swamp by an artifi- r i Hiia ti « c'a' t'luinDe'' located about a mile from the canal, cu | bout 9.55 miles per hour. Its cost is estimated at $2,448,076. The' - Report of the Isthmian Canal Commission, 1899-1901. https://archive.org/details/bub_gb_C2coAAAAYAAJ</t>
  </si>
  <si>
    <t>A-0408</t>
  </si>
  <si>
    <t>IA: lastditchstoryof00elde</t>
  </si>
  <si>
    <t>'nd many native villages years old would be erased from the map, literally. As they passed Ahorca Lagarto, Hil- dreth remarked on the immensity of a project that thought nothing of wiping out vil | h “gringos ’’chasing another loaded with Panamanians. 254 THE ' - The last ditch; a story of Panama and the Canal Zone. https://archive.org/details/lastditchstoryof00elde</t>
  </si>
  <si>
    <t>A-0409</t>
  </si>
  <si>
    <t>IA: problemspanamac01abbogoog</t>
  </si>
  <si>
    <t>'f Waterway 206 The Locks 207 Cut at the Continental Divide 208 The Works at Bohio 212 The Alhajuela Dam. 215 Project of the Isthmian Canal Commission of 1899-01 217 Comparison of the Forego | hmus and North Shore of South America 89 Fig. V. Diurnal Curves of ' - Problems of the Panama Canal: Including Climatology of the Isthmus, Physics and. https://archive.org/details/problemspanamac01abbogoog</t>
  </si>
  <si>
    <t>A-0410</t>
  </si>
  <si>
    <t>IA: reporthealthdep00deptgoog</t>
  </si>
  <si>
    <t>' clinics 44 XVTI. Consolidated ward laboratory report of all hospitals 45 XVIH. Report of Ancon Hospital 45 XIX. Report of Colon Hospital » 46 XX. Report of Palo Seco Leper Asylum 46 XX | spital increased from 405, with 5,938 days, in 1913, to 1,481, with 17,' - Report of the Health Department of the Panama Canal. https://archive.org/details/reporthealthdep00deptgoog</t>
  </si>
  <si>
    <t>A-0411</t>
  </si>
  <si>
    <t>Baila Monos</t>
  </si>
  <si>
    <t>IA: reportboardcons00wallgoog</t>
  </si>
  <si>
    <t>'line which almost coincides with the average course of the Chagres between Las Cruces and Baila Monos. The centers of eruption of the Oligocene period, entirely basic, would then be localized | ods. Commission gaugings. Average. Maximum. Agua Salud Frijoles O' - Report of the Board of Consulting Engineers for the Panama Canal. https://archive.org/details/reportboardcons00wallgoog</t>
  </si>
  <si>
    <t>A-0412</t>
  </si>
  <si>
    <t>IA: canalzone00unse</t>
  </si>
  <si>
    <t>'atun Lion Hill Aliorca Lagarto •'• Bohio.... I Frijoles '■ Tabernilla Barbacoas San Pablo Bailamonos. •f' Mamei t &lt; rorgona + M:i r.icliin t Bas Obispo J LasCascadas. ' Kmpire i Cnlebra Rio |. 58 South Ave. f "Caledonia." Achurra, Cerafin, Etelvina Lopez, 10' - Canal Zone pilot. https://archive.org/details/canalzone00unse</t>
  </si>
  <si>
    <t>A-0413</t>
  </si>
  <si>
    <t>'4 CHAS. F. MASON L'cur. Colonel, Medical Corps, United States Ann', Chief Htalth Officer, Balboa Heights. ChuI /upc Washington 1915 fQn2"\Q C^«"e?/k Ilttil1'*j)-ep3rfon4w,. REPORT OF THE f DEPAR | pital cases of malaria among employees 54 (3) LETTER OF TRANSM' - Report of the Health Department of the Panama Canal. https://archive.org/details/reporthealthdep00deptgoog</t>
  </si>
  <si>
    <t>A-0414</t>
  </si>
  <si>
    <t>IA: investigationpa02canagoog</t>
  </si>
  <si>
    <t>'it stands to-day, cross the Chagres River? General Davis. It crosses it at a place called Barbacoas, which is about a third of the way above Bohio, between Bohio and Gamboa. Senator Morgan. |; it never crossed but at one place that I ever heard of. Senator M' - Investigation of Panama Canal matters. Hearings before the Committee on Interoce. https://archive.org/details/investigationpa02canagoog</t>
  </si>
  <si>
    <t>A-0415</t>
  </si>
  <si>
    <t>IA: investigationpa06canagoog</t>
  </si>
  <si>
    <t>'r was in Culebra cut, so-called. Culebra cut extends from the little town which is called Bas Obispo to Pedro Miguel, covering about 8 miles.^ I think you can see it on the map there, if you | ng on south ? Mr. Stevens. Coming on south, the next dike of any c' - Investigation of Panama canal matters. Hearings before the Committee on interoce. https://archive.org/details/investigationpa06canagoog</t>
  </si>
  <si>
    <t>A-0416</t>
  </si>
  <si>
    <t>IA: investigationpa01canagoog</t>
  </si>
  <si>
    <t>'ern side of the canal? Mr. Stevens. Yes, sir. Senator Kittredge. They abandon tJie dam at Bohio? INVESTIGATION OF PANAMA CANAL MATTEBS. 9 Mr. Stevens. Yes, sir; yes, sir. Instead of mak | hat I was getting at. Senator Morgan. You would have excavation also be' - Investigation of Panama Canal matters. Testimony of engineers before the Committ. https://archive.org/details/investigationpa01canagoog</t>
  </si>
  <si>
    <t>A-0417</t>
  </si>
  <si>
    <t>IA: contributionstog00vaug</t>
  </si>
  <si>
    <t>Toponym afterlife: '1507s 32.. 4 Meets eee emeat © cu seess see Sections in cuttings of Panama Railroad near Caimito Junction....-- Railroad cut near stream about midway between Rio Frijol and Rio Bolts 8. | a Railroad, opposite San Pablo, Panama Canal Zone (“first limestone o' - Contributions to the geology and paleontology of the Canal Zone, Panama, and geo. https://archive.org/details/contributionstog00vaug (1919)</t>
  </si>
  <si>
    <t>A-0418</t>
  </si>
  <si>
    <t>IA: cu31924022883130</t>
  </si>
  <si>
    <t>'riginally crossed the route of the Canal in the Culebra Cut section, one of which was the Camacho River, now called the Camacho diversion. To prevent these streams from flooding the Cut, | the Canal in the Culebra Cut section, one of which was the Camacho Riv' - America's triumph at Panama; panorama and story of the construction and operatio. https://archive.org/details/cu31924022883130</t>
  </si>
  <si>
    <t>A-0419</t>
  </si>
  <si>
    <t>IA: b2135649x</t>
  </si>
  <si>
    <t>'nt has stationed a battalion of marine troops on the Isthmus. This battalion is placed at Camp Elliott, adjoining the Zone town of Bas Obispo. Camp Elliott is not a par- ticularly malarious pl | Isthmus. This battalion is placed at Camp Elliott, adjoining the' - A report on hemoglobinuric fever in the Canal Zone: a study of its etiology and. https://archive.org/details/b2135649x</t>
  </si>
  <si>
    <t>A-0420</t>
  </si>
  <si>
    <t>IA: mes00unit</t>
  </si>
  <si>
    <t>'.. Pedro Miguel, No. 64 Corozal, No. 65 Ancon, No. 66 La Boca, No. 67 Miraflores, No. 74 Cartagenita, No. 78.. Net loss..$779. 37 862. 14 2, 621. 02 1,006.86 2, 170. 48 2, 851. 97 1, 168. 0 | unette, No. 22 Lirio, No. 24 Rio Grande, Nos. 25 and 26 Cucuracha' - Message from the President of the United States, transmitting the report of the. https://archive.org/details/mes00unit</t>
  </si>
  <si>
    <t>A-0421</t>
  </si>
  <si>
    <t>'b is; this being the line of the canal [indicating]. Senator Kittredge. That is where the Chagres River enters the canal? Mr. Stevens. Where it first strikes the valley which the canal fo | That is for purposes of protection? Mr. Stevens. That is to hold the ' - Investigation of Panama Canal matters. Testimony of engineers before the Committ. https://archive.org/details/investigationpa01canagoog</t>
  </si>
  <si>
    <t>A-0422</t>
  </si>
  <si>
    <t>'ssity for a sanitary fill along the east side of the Margarita road from Fmiliano Hill to Coco Solo, near Colon. This is a con- tinuous swamp, and is the source of all of the mosquitoes at | This is a con- tinuous swamp, and is the source of all of the mosqui' - Report of the Health Department of the Panama Canal. https://archive.org/details/reporthealthdep00deptgoog [IA series year metadata says 1915 but the text names France Field (est. 1918); volume is later - date blanked.]</t>
  </si>
  <si>
    <t>A-0423</t>
  </si>
  <si>
    <t>IA: constructionofpa0000will</t>
  </si>
  <si>
    <t>'al small streams empty into this lake—the Cameron, the Caimito, the Pedro Miguel, and the Cocoli. While the flow of these streams is considerable in the rainy sea- son, such flow is not | e to the east and one to the west. The west dam extends from the head o' - The construction of the panama canal. https://archive.org/details/constructionofpa0000will</t>
  </si>
  <si>
    <t>A-0424</t>
  </si>
  <si>
    <t>IA: biostor-58710</t>
  </si>
  <si>
    <t>'l. 10. Paraiso, Canal Zone, January, 1911 (Busck); Taboga Island, February, 1912 (Busck); Corozal, Canal Zone, April, 1911 (Busck); Alhajuelo, April, 1911 (Busck); Porto Bello, April, 191 | (Busck); Caura Valley and Aroa, Venezuela (Schaus collection). MESOTH' - Report on the Lepidoptera of the Smithsonian biological survey of the Panama Can. https://archive.org/details/biostor-58710</t>
  </si>
  <si>
    <t>A-0425</t>
  </si>
  <si>
    <t>IA: report00zonegoog</t>
  </si>
  <si>
    <t>'blic order Office of district attoney The courts Diatrict court Magiatratee courts Balboa Cristobal Fire prevention School system Postal syBt«m Customs Shipping commisnoner— Seamen.. Relat | 298. These figures include 36 transits made by a small vessel of 69' - Report. https://archive.org/details/report00zonegoog</t>
  </si>
  <si>
    <t>A-0426</t>
  </si>
  <si>
    <t>IA: cu31924021199728</t>
  </si>
  <si>
    <t>'io Diablo 192 Chagres River near Gorgona 211 Sloth, and method of transporting horses 224 Cruces, formerly called Venta de Cruces 233 Pizarro, Almagro, and Luque 238 Bellin's map of the | Gorgona 211 Sloth, and method of transporting horses 224 Cruces, former' - Old Panama and Castilla del Oro; a narrative history of the discovery, conquest,. https://archive.org/details/cu31924021199728</t>
  </si>
  <si>
    <t>A-0427</t>
  </si>
  <si>
    <t>'Dingier had fallen into ])artial decay. Needed repairs The French at work in the Canal at Cucaracha, 1885, just around the point from Gold Hill. [ 54 ] gme TWVJ^P ■DrvqDED-^^q-^Bj\,ypT^,^£) | tal of excavation necessary in the Cut. The largest and most troul)' - America's triumph at Panama; panorama and story of the construction and operatio. https://archive.org/details/cu31924022883130</t>
  </si>
  <si>
    <t>A-0428</t>
  </si>
  <si>
    <t>' be some little excavation, starting in this vicinity; and then, of course, there is the Culebra cut throu^ here. Senator Simmons. That is what I was getting at. Senator Morgan. You woul | 0 feet, how much excavation would there be at these two high points? ' - Investigation of Panama Canal matters. Testimony of engineers before the Committ. https://archive.org/details/investigationpa01canagoog</t>
  </si>
  <si>
    <t>A-0429</t>
  </si>
  <si>
    <t>IA: americastriumpha00aver</t>
  </si>
  <si>
    <t>'n on the Pequeni River. Scene on the upper Chagres River. The river between Alhajuela and El Vigia flows between high rock banks. [ 299 ] T)AN-D. DIVIDED -^CTHB ^VOmjgJQJNITED and when on | utside of Corozal on the P. E. E. A few American type quarters have ' - America's triumph at Panama; panorama and story of the construction and operatio. https://archive.org/details/americastriumpha00aver</t>
  </si>
  <si>
    <t>A-0430</t>
  </si>
  <si>
    <t>Toponym afterlife: '4 00: 2262442 s ER Se 555 Hmrperdor limestone..2 i225 si. 2 2 PO EE 556 Fossils from the Emperador limestone....................-- 557 Committe. fommrattonr. + i ce wnt ks ih PTE YEO ED, | Panama Railroad (relocated line). Lithoporella melobesioides (Foslie' - Contributions to the geology and paleontology of the Canal Zone, Panama, and geo. https://archive.org/details/contributionstog00vaug (1919)</t>
  </si>
  <si>
    <t>A-0431</t>
  </si>
  <si>
    <t>IA: smallerfossilfo00cushgoog</t>
  </si>
  <si>
    <t>Toponym afterlife: 'AGMENTS OF ACROSTICHUM. The material from the Culebra formation, one-fourth mile south of Empire Bridge, contains several obscure fragments of large simple fern pinnules with reticulate | e recorded from Panama. Occurrence. — Lower part of Culebra beds one-fo' - The smaller fossil Foraminifera of the Panama canal zone. https://archive.org/details/smallerfossilfo00cushgoog (1918)</t>
  </si>
  <si>
    <t>A-0432</t>
  </si>
  <si>
    <t>IA: jungleisland00alle</t>
  </si>
  <si>
    <t>Toponym afterlife: 'way across the Zone you will find, if you have been following us on the map, our station, Frijoles, which we reached after an hour's travel. Frijoles, if you are interested, means just "be | following us on the map, our station, Frijoles, which we reached aft' - Jungle Island. https://archive.org/details/jungleisland00alle (1925) | repointed CZ-023 -&gt; CZ-173 2026-09-13 (Frijoles split: the relocated-line station is its own place; with the split this is the living station, not a toponym afterlife)</t>
  </si>
  <si>
    <t>A-0433</t>
  </si>
  <si>
    <t>'nt in this canal in which the majority and the minority concur is as to building a dam at Gamboa to create a great lake to lie back of it? Mr. Stevens. Yes. Senator Morgan. That would cr | ck of it? Mr. Stevens. Yes. Senator Morgan. That would create a great ' - Investigation of Panama Canal matters. Testimony of engineers before the Committ. https://archive.org/details/investigationpa01canagoog</t>
  </si>
  <si>
    <t>A-0434</t>
  </si>
  <si>
    <t>'mmends it. In some respects it is a new departure, particularly as to building the dam at Gatun and the locks in the hills back of Gatun. Are those hills on the right or the left bank o | eparture, particularly as to building the dam at Gatun and the locks in' - Investigation of Panama Canal matters. Testimony of engineers before the Committ. https://archive.org/details/investigationpa01canagoog</t>
  </si>
  <si>
    <t>A-0435</t>
  </si>
  <si>
    <t>'h the Chagres channel and its existing diver- sion. The Gatun River (sometimes called the Gatuncillo) w^ould discharge its waters and those of the Mindi through the Gatun diversion, nearly c | f borings along the same territory; blueprints made by Mr. Carpent' - Report of the Board of Consulting Engineers for the Panama Canal. https://archive.org/details/reportboardcons00wallgoog</t>
  </si>
  <si>
    <t>A-0436</t>
  </si>
  <si>
    <t>'sharp blow in the face which left its mark for many a day. Love Me, Love My Dog. While at Gorgona on her way across' the Isthmus, she ordered the hotel keeper to fit up a cot in the room | and supplies, it having been the original intention to build the secti' - Canal Zone pilot. https://archive.org/details/canalzone00unse</t>
  </si>
  <si>
    <t>A-0437</t>
  </si>
  <si>
    <t>'. Caimito Mulato, left bank Balla Monos, left bank Culo Seco, left bank Pisco, right bank Juan Grande, right bank.. Carabali, left bank Quatre Calles, right Danic. Obispo Mandingo, left bank | annel will be decreased, first to 800 feet for a distance of 3.80 ' - Report of the Board of Consulting Engineers for the Panama Canal. https://archive.org/details/reportboardcons00wallgoog</t>
  </si>
  <si>
    <t>A-0438</t>
  </si>
  <si>
    <t>' (alligator pear) orchard eonUnaed in exceJluit coDdltion. A record crop was harvested at Juan Mina citrus groT«, and 2,600 additional trees were planted at Summit. Over 1,000,000 pouuds of | o that on June 30, 1922, the only plantations under direct operatio' - Report. https://archive.org/details/report00zonegoog</t>
  </si>
  <si>
    <t>A-0439</t>
  </si>
  <si>
    <t>IA: investigationpa07canagoog</t>
  </si>
  <si>
    <t>'here is no urgency that to my mind would justify the great risk of earth dams at Gatun or La Boca. The next important matter to consider and decide is whether the canal shall be construct | ama side and construct that new channel or simply to enlarge the pres' - Investigation of Panama canal matters. Hearings before the Committee on interoce. https://archive.org/details/investigationpa07canagoog</t>
  </si>
  <si>
    <t>A-0440</t>
  </si>
  <si>
    <t>'r Gullera. 2c sose Sees oF os eee i eho hoes ee Section on west side of Gaillard Cut near Las Cascadas, Canal Commis- pion stations 16lvato 1507s 32.. 4 Meets eee emeat © cu seess see Section | pire. Few poorly preserved foraminifera. 6019.— Section on west ' - Contributions to the geology and paleontology of the Canal Zone, Panama, and geo. https://archive.org/details/contributionstog00vaug</t>
  </si>
  <si>
    <t>A-0441</t>
  </si>
  <si>
    <t>1901</t>
  </si>
  <si>
    <t>IA: cu31924090256797</t>
  </si>
  <si>
    <t>'d Panama (Santa Fé de Verégua; Mina de Chorcha; Calovévora; Calobre; Santiago de Verégua; Lion Hill; Panama; Pintada, Coclé; @Twenty specimens. b Sometimes the color approaches buffy white | mbilanius lineatus (not Lanius lineatus Leach) Lawrence, Ann. Lyc. N' - The birds of North and Middle America: a descriptive catalogue of the higher gr. https://archive.org/details/cu31924090256797</t>
  </si>
  <si>
    <t>A-0442</t>
  </si>
  <si>
    <t>1891</t>
  </si>
  <si>
    <t>IA: b24883414</t>
  </si>
  <si>
    <t>'ill between Bohio Soldado and Buena Vista, reaching a height of 165 feet. From Frijole to Mamei, a distance of twenty-four miles from the mouth, the line makes a bend, and reaches Mamei | Mamei, a distance of twenty-four miles from the mouth, the line makes a' - Five years at Panama: the trans-isthmian canal. https://archive.org/details/b24883414</t>
  </si>
  <si>
    <t>A-0443</t>
  </si>
  <si>
    <t>'n. Well, yes. General Davis. At the mouth of the Obispo, or just below it — I will say at Matachin ? Senator Morgan. Yes. General Davis. That is the name of a locality there that has been | n of as a site for locks by somebody. Senator Morgan. Yes. General Da' - Investigation of Panama Canal matters. Hearings before the Committee on Interoce. https://archive.org/details/investigationpa02canagoog</t>
  </si>
  <si>
    <t>A-0444</t>
  </si>
  <si>
    <t>' from is that report. [Referring to larm map in committee room:] Here is Gatum; here is Mindi, Boca Mindi (Boca means mouth), the mouth of the Mindi River. The Little Mindi River come | t report. [Referring to larm map in committee room:] Here is Gatum; h' - Investigation of Panama Canal matters. Testimony of engineers before the Committ. https://archive.org/details/investigationpa01canagoog</t>
  </si>
  <si>
    <t>A-0445</t>
  </si>
  <si>
    <t>IA: mcclinticmarshal00cana</t>
  </si>
  <si>
    <t>Toponym afterlife: 'h of this expensive rush work would have been necessary on the leaves at Pedro Miguel and Miraflores, as the masonry for these leaves was very much behind the dates established in the contra | ete; at Pedro Miguel for 6 gates, or 12 leaves, complete; and 7 ' - McClintic-Marshall Construction Co. Report on the claim of McClintic-Marshall co. https://archive.org/details/mcclinticmarshal00cana (1916)</t>
  </si>
  <si>
    <t>A-0446</t>
  </si>
  <si>
    <t>'n showing chief railway cuttings and outcrops along the Panama Railroad between Bohio and Monte Lirio..............------------ Exposure a quarter of a mile northwest of old Bohio railroad st | amos 4 Vamos, 24} miles below Bohio, west side of Chagres Section' - Contributions to the geology and paleontology of the Canal Zone, Panama, and geo. https://archive.org/details/contributionstog00vaug</t>
  </si>
  <si>
    <t>A-0447</t>
  </si>
  <si>
    <t>'. -. Section from top of hill at western end of Gatun dam to bottom of the Monkey Hill” Mount Hope station. -.2...-..--ksiteeeataseeet: = cee Section or blufi at end.of Toro, Poittt:. ). s | RRENCE. Archaeolithothamnium episporum, new species. Recent, Toro ' - Contributions to the geology and paleontology of the Canal Zone, Panama, and geo. https://archive.org/details/contributionstog00vaug</t>
  </si>
  <si>
    <t>A-0448</t>
  </si>
  <si>
    <t>IA: panamacanalanen00goetgoog</t>
  </si>
  <si>
    <t>'flores was authorized in December, 1907; and leading the channel straight to sea west of Naos Island, in connection with the disposition of spoil from Culebra Cut, paved the way for active s | from Culebra Cut, paved the way for active steps to be taken for ' - The Panama Canal; an engineering treatise. A series of papers covering in full d. https://archive.org/details/panamacanalanen00goetgoog</t>
  </si>
  <si>
    <t>A-0449</t>
  </si>
  <si>
    <t>IA: zonepoliceman88c00fran</t>
  </si>
  <si>
    <t>'r; ah gone los' mah age paper " 59 A dwelling in " the bush " 74 - Along the P. R. R. in New Gatun 74 ^ " The Atlantic breaking with its ages-old, mysterious roll " 84 A San Bias Indian Bo | ol 151 v LIST OF ILLUSTRATIONS PAGE Some of the costs of the canal ' - Zone policeman 88; a close range study of the Panama canal and its workers. https://archive.org/details/zonepoliceman88c00fran</t>
  </si>
  <si>
    <t>A-0450</t>
  </si>
  <si>
    <t>IA: oncanalzonepana00griegoog</t>
  </si>
  <si>
    <t>'portion of Old Qatun on the site of the dam. 51 The New VillaKe to which the Residents of Old Gatun are to be Moved. Two Views. At Work on the Spillway Oatun Dam. 52 A Construction and Supp | nd three pas- sengers, started on its way to Chagres and Fort Loren' - On the canal zone, Panama, by Thomas Graham Grier. https://archive.org/details/oncanalzonepana00griegoog</t>
  </si>
  <si>
    <t>A-0451</t>
  </si>
  <si>
    <t>IA: touristguidetowe00newy</t>
  </si>
  <si>
    <t>'o Cabello Railways respectively. The principal intermediate stations are the fol- lowing: Palo Grande, 2 miles, at the extreme southwest of Caracas; Antimano, at 10 kilometers; and Los Teques | r the road, however, are not cultivated. The next station, follow' - Tourist guide to the West Indies, Venezuela, Isthmus of Panama and Bermuda. https://archive.org/details/touristguidetowe00newy</t>
  </si>
  <si>
    <t>A-0452</t>
  </si>
  <si>
    <t>'laboratory 10 Insane department 11 Chronic ward 12 Colon Hospital 13 Taboca Sanitarium 12 Palo Seco Leper Asylum 12 Santo Tomas Hospital 13 District dispensaries 13 Sanitary division: Canal | als 45 XVIH. Report of Ancon Hospital 45 XIX. Report of Colon Hospi' - Report of the Health Department of the Panama Canal. https://archive.org/details/reporthealthdep00deptgoog</t>
  </si>
  <si>
    <t>A-0453</t>
  </si>
  <si>
    <t>'ROSIA Hewitson. 9. Taboga Island, February, 1912 (Busck); Alhajuelo, April, 1911 (Busck); Paraiso, Canal Zone, April, 1911 (Busck). PIERIS KICAHA Reakirt. 1. Alhajuelo, April, 1911 (Busck | OSEPHA Godman and Salvin. 2. Alhajuelo, April, 1911 (Busck). PIERIS M' - Report on the Lepidoptera of the Smithsonian biological survey of the Panama Can. https://archive.org/details/biostor-58710</t>
  </si>
  <si>
    <t>A-0454</t>
  </si>
  <si>
    <t>' not occurred much of this expensive rush work would have been necessary on the leaves at Pedro Miguel and Miraflores, as the masonry for these leaves was very much behind the dates establishe | was to commence the erection of the upper guard gates at Gatun J' - McClintic-Marshall Construction Co. Report on the claim of McClintic-Marshall co. https://archive.org/details/mcclinticmarshal00cana</t>
  </si>
  <si>
    <t>A-0455</t>
  </si>
  <si>
    <t>'of the Trinidad and the Gigante, whose reverse flow would be turned into the basin of the Pena Blanca marsh and pass on to the sea through the Chagres channel and its existing diver- sion. Th | h orbitoides, which seem to be the same as those of the Aquitania' - Report of the Board of Consulting Engineers for the Panama Canal. https://archive.org/details/reportboardcons00wallgoog</t>
  </si>
  <si>
    <t>A-0456</t>
  </si>
  <si>
    <t>'a,? May, 1911 (Busck); Ancon, Canal Zone (O. Celestine). PAPILIO ERITHALION Boisduval. 9. Porto Bello, March, 1911 (Busck); Trinidad River, May, 1911 (Busck); Taboga Island, June, 1911 (Busck | lhajuelo, April, 1911 (Busck); La Chorrera, May, 1912 (Busck). TE' - Report on the Lepidoptera of the Smithsonian biological survey of the Panama Can. https://archive.org/details/biostor-58710</t>
  </si>
  <si>
    <t>A-0457</t>
  </si>
  <si>
    <t>IA: reportofspecialp00unit</t>
  </si>
  <si>
    <t>'d teachers shall be increased by eight. The colored schools shall be enlarged at Paraiso, Red Tank and Cristobal (or Mount Hope) by two rooms, at Gatun by three, and at Empire by one. The ' - Report of Special Panama Canal Commission: with letter from the governor of the. https://archive.org/details/reportofspecialp00unit</t>
  </si>
  <si>
    <t>A-0458</t>
  </si>
  <si>
    <t>'es. Mr. Stea-ens. Oh, yes; the excavation is through swamps until you get up — away up to San Pablo. Senator SiM3fONS. I am talking about the 500-foot-wide excava- tion. I say that would be | see, I was wrong. That is about a mile and a half above Tavernilla.' - Investigation of Panama Canal matters. Testimony of engineers before the Committ. https://archive.org/details/investigationpa01canagoog</t>
  </si>
  <si>
    <t>A-0459</t>
  </si>
  <si>
    <t>Toponym afterlife: 'Hewitson. 3. Paraiso, Canal Zone, February, 1911 (Busck); Alhajuelo, April, 1911 (Busck); Tabernilla, Canal Zone, May, 1907 (Busck). The three specimens are females and all differently marke | ffused nearly to base. BRASSOLIS ISTHMIA Bates. 4. Taboga Island, ' - Report on the Lepidoptera of the Smithsonian biological survey of the Panama Can. https://archive.org/details/biostor-58710 (1914)</t>
  </si>
  <si>
    <t>A-0460</t>
  </si>
  <si>
    <t>'HALION Boisduval. 9. Porto Bello, March, 1911 (Busck); Trinidad River, May, 1911 (Busck); Taboga Island, June, 1911 (Busck). PAPILIO POLYDAMAS Linnzus. 1. Ancon, Canal Zone (O. Celestine | STE Linnaeus. 2. Panama City, January, 1913 (B. G. Ireneo.) PIERIS PAN' - Report on the Lepidoptera of the Smithsonian biological survey of the Panama Can. https://archive.org/details/biostor-58710</t>
  </si>
  <si>
    <t>A-0461</t>
  </si>
  <si>
    <t>Toponym afterlife: ' sea-level. Under original plans the new line crossed the low Gatun Valley, from Gatun to Tiger Hill, and found support on the hills and ridges east of the old main tine. An elevation of not | first year, to those sections which would aid Canal plans, as foll' - The Panama Canal; an engineering treatise. A series of papers covering in full d. https://archive.org/details/panamacanalanen00goetgoog (1916)</t>
  </si>
  <si>
    <t>A-0462</t>
  </si>
  <si>
    <t>IA: historyofpanamac1915benn</t>
  </si>
  <si>
    <t>' of United Fruit Company 308 Panama-Pacific Exposition 310 Breakwaters at Naos Island and Toro Point 316 Rear Admiral Rousseau and Views of Terminals 317 Lock Gates at Gatun Before and After | aches the canal we first encounter two great breakwaters. The one ' - History of the Panama canal; its construction and builders. https://archive.org/details/historyofpanamac1915benn</t>
  </si>
  <si>
    <t>A-0463</t>
  </si>
  <si>
    <t>IA: problemspanamac00abbogoog</t>
  </si>
  <si>
    <t>'linal arch tlie overlying strata of Aquitanian origin are represented by the sandstone of Vamos Vamos and limestone of Pefia Blanca, occasionally covered by ancient and modern alluvions; but' - Problems of the Panama Canal: Including Climatology of the Isthmus, Physics and. https://archive.org/details/problemspanamac00abbogoog</t>
  </si>
  <si>
    <t>A-0464</t>
  </si>
  <si>
    <t>IA: conquestisthmus00weirgoog</t>
  </si>
  <si>
    <t>'his side Jim was duplicating the action, which was soon to grow familiar to us. It was at Whitehouse, a small dot of a station between Culebra and the neighboring point of Empire, that we ag' - The conquest of the Isthmus: the men who are building the Panama Canal - their. https://archive.org/details/conquestisthmus00weirgoog</t>
  </si>
  <si>
    <t>A-0465</t>
  </si>
  <si>
    <t>IA: annualreportofgo1941cana</t>
  </si>
  <si>
    <t>'of quarters and other facilities in the new locks towns of Margarita and Cocoli; further con- struction also' - https://archive.org/details/annualreportofgo1941cana</t>
  </si>
  <si>
    <t>A-0466</t>
  </si>
  <si>
    <t>1951</t>
  </si>
  <si>
    <t>IA: annualreportofgo1951cana</t>
  </si>
  <si>
    <t>'cific side and to extend and enlarge the existing townsites of Margarita and Paraiso. The entire program includi' - https://archive.org/details/annualreportofgo1951cana</t>
  </si>
  <si>
    <t>A-0467</t>
  </si>
  <si>
    <t>1972</t>
  </si>
  <si>
    <t>IA: DTIC_AD0751782</t>
  </si>
  <si>
    <t>'ION Commanding Officer US Army Tropic Test Center Fort Clayton, Canal Zone 3. REPORT TITLE 1 Evaporimetry in the C' - https://archive.org/details/DTIC_AD0751782</t>
  </si>
  <si>
    <t>A-0468</t>
  </si>
  <si>
    <t>IA: annualreportofg1919cana_0</t>
  </si>
  <si>
    <t>'...&lt;% «feeap dere enewes ) catatee -] 86 Railroad station at Fort Davis................%.ee- sa~warnos te deve' - https://archive.org/details/annualreportofg1919cana_0 [FY1919 Governor's report; IA metadata year corrected.]</t>
  </si>
  <si>
    <t>A-0469</t>
  </si>
  <si>
    <t>'estimate. ve REPORT OF THE GOVERNOR. 837 Railroad station at Fort Davis —When Fort Davis, between Gatun and Cri' - https://archive.org/details/annualreportofg1919cana_0 [FY1919 Governor's report; IA metadata year corrected.]</t>
  </si>
  <si>
    <t>A-0470</t>
  </si>
  <si>
    <t>IA: DTIC_ADA502616</t>
  </si>
  <si>
    <t>'e service tests at. Port Hancock, New Jersey, and Fort Sherman, Canal Zone, and in experiments conducted at the Co' - https://archive.org/details/DTIC_ADA502616</t>
  </si>
  <si>
    <t>A-0471</t>
  </si>
  <si>
    <t>1921</t>
  </si>
  <si>
    <t>IA: informationonliv00unit</t>
  </si>
  <si>
    <t>'mmandant is occupying temporary Armj^ quarters at Fort Amador, Canal Zone. Desirable apartments in the city of Pa' - https://archive.org/details/informationonliv00unit</t>
  </si>
  <si>
    <t>A-0472</t>
  </si>
  <si>
    <t>1935</t>
  </si>
  <si>
    <t>IA: annualreportofgo1935cana</t>
  </si>
  <si>
    <t>'untries is due to the use for part of the year of Albrook Field, Canal Zone, instead of Paitilla Airport, Panama Ci' - https://archive.org/details/annualreportofgo1935cana</t>
  </si>
  <si>
    <t>A-0473</t>
  </si>
  <si>
    <t>1944</t>
  </si>
  <si>
    <t>IA: panama1946visit00wetm</t>
  </si>
  <si>
    <t>'neral H* R. Harmon, Headquarters Sixth Air Force, Albrook Field, Canal Zone. Dear General Harmons The safe arrival ' - https://archive.org/details/panama1946visit00wetm</t>
  </si>
  <si>
    <t>A-0474</t>
  </si>
  <si>
    <t>1946</t>
  </si>
  <si>
    <t>IA: 101705278X1.nlm.nih.gov</t>
  </si>
  <si>
    <t>'ce of The Department Commander In reply refer to: Quarry Heights, Canal Zone, AG 726.1-1 l2 February 1943. Subject: ' - https://archive.org/details/101705278X1.nlm.nih.gov</t>
  </si>
  <si>
    <t>A-0475</t>
  </si>
  <si>
    <t>IA: birdsofnorthmidd0000ridg_v1l8</t>
  </si>
  <si>
    <t>'nte; Boquete Trail; Obaldia; Per mi Cana, Darien; Barro Colorado, C. Z.). Type locality. — Carillo, Costa Rica.' - https://archive.org/details/birdsofnorthmidd0000ridg_v1l8 [Ridgway series 1901-1950; the Barro Colorado C.Z. locality citation is from a post-1914 volume - date blanked.]</t>
  </si>
  <si>
    <t>A-0476</t>
  </si>
  <si>
    <t>Colorado Island</t>
  </si>
  <si>
    <t>IA: biostor-169996</t>
  </si>
  <si>
    <t>' Pyrrhopyge erythrosticta Godman and Salvin Barro Colorado Island, C. Z., Feb. 19, 1 male; Ft. Sherman, C. Z., F' - https://archive.org/details/biostor-169996</t>
  </si>
  <si>
    <t>A-0477</t>
  </si>
  <si>
    <t>1963</t>
  </si>
  <si>
    <t>IA: DTIC_AD0405914</t>
  </si>
  <si>
    <t>'y, Cuba, or some other location in the Caribbean. Coco Solo, Canal Zone, was subsequently chosen by the Bureau ' - https://archive.org/details/DTIC_AD0405914</t>
  </si>
  <si>
    <t>A-0478</t>
  </si>
  <si>
    <t>1970</t>
  </si>
  <si>
    <t>ECU item 15321: Buccaneer 1970</t>
  </si>
  <si>
    <t>'Alan J. Va. Beach, Va. Fowler, Sally M. For Clay on, Canal Zone Fowlkes, David Hun er Raleigh'</t>
  </si>
  <si>
    <t>A-0479</t>
  </si>
  <si>
    <t>1942</t>
  </si>
  <si>
    <t>ECU item 37899: The Teco Echo, January 30, 1942</t>
  </si>
  <si>
    <t>'now in he Uni -, ed S a es Army j and s a ioned a For Amador, Canal Zone. Ac- in line wi..he program'</t>
  </si>
  <si>
    <t>A-0480</t>
  </si>
  <si>
    <t>'i -, ed S a es Army j and s a ioned a For Amador, Canal Zone. Ac- in line wi..he program'</t>
  </si>
  <si>
    <t>A-0481</t>
  </si>
  <si>
    <t>1971</t>
  </si>
  <si>
    <t>ECU item 91288: Daily Reflector, May 9, 1971</t>
  </si>
  <si>
    <t>'of Lynchburg, Va., Charles S eph a Mock of Kessler, Ifiss. Gary Hmrmon Rosen of Coco Solo, Canal Zone, and William Charles Pa erson of Edinburg, Ihd. Nephew of he brid'</t>
  </si>
  <si>
    <t>A-0482</t>
  </si>
  <si>
    <t>ICC1911</t>
  </si>
  <si>
    <t>labeled</t>
  </si>
  <si>
    <t>A-0483</t>
  </si>
  <si>
    <t>labeled; old-line Chagres crossing area</t>
  </si>
  <si>
    <t>A-0484</t>
  </si>
  <si>
    <t>labeled village (El Otro Lado adjacent)</t>
  </si>
  <si>
    <t>A-0485</t>
  </si>
  <si>
    <t>labeled (with Mulato)</t>
  </si>
  <si>
    <t>A-0486</t>
  </si>
  <si>
    <t>labeled village near Gamboa</t>
  </si>
  <si>
    <t>A-0487</t>
  </si>
  <si>
    <t>A-0488</t>
  </si>
  <si>
    <t>black building cluster</t>
  </si>
  <si>
    <t>A-0489</t>
  </si>
  <si>
    <t>label along old line</t>
  </si>
  <si>
    <t>A-0490</t>
  </si>
  <si>
    <t>A-0491</t>
  </si>
  <si>
    <t>wharf district S of Colon</t>
  </si>
  <si>
    <t>A-0492</t>
  </si>
  <si>
    <t>Ancon (district)</t>
  </si>
  <si>
    <t>district/hill labels; use ICC1909 town dot or modern ground for the point</t>
  </si>
  <si>
    <t>A-0493</t>
  </si>
  <si>
    <t>La Boca (site, labeled BALBOA by 1911)</t>
  </si>
  <si>
    <t>same drawn town as CZ-039 Balboa row; town renamed 1909; one drawn feature, two workbook identities</t>
  </si>
  <si>
    <t>A-0494</t>
  </si>
  <si>
    <t>A-0495</t>
  </si>
  <si>
    <t>Frijoles (relocated-line station)</t>
  </si>
  <si>
    <t>black cluster 4d; the NEW line station | repointed CZ-023 -&gt; CZ-173 2026-09-13 (Frijoles split: the relocated-line station is its own place)</t>
  </si>
  <si>
    <t>A-0496</t>
  </si>
  <si>
    <t>Frijoles (old-line site)</t>
  </si>
  <si>
    <t>labeled dot on old P.R.R.; pre-flood village site - separate claim from relocated station</t>
  </si>
  <si>
    <t>A-0497</t>
  </si>
  <si>
    <t>label + milepost 25/K.35</t>
  </si>
  <si>
    <t>A-0498</t>
  </si>
  <si>
    <t>label on old line</t>
  </si>
  <si>
    <t>A-0499</t>
  </si>
  <si>
    <t>labeled + 6c marker</t>
  </si>
  <si>
    <t>A-0500</t>
  </si>
  <si>
    <t>Miraflores (camp block)</t>
  </si>
  <si>
    <t>black building block 4m</t>
  </si>
  <si>
    <t>A-0501</t>
  </si>
  <si>
    <t>labeled; Mindi Magazine also drawn to E</t>
  </si>
  <si>
    <t>A-0502</t>
  </si>
  <si>
    <t>Buena Vista (Atlantic, old line)</t>
  </si>
  <si>
    <t>label + milepost 17</t>
  </si>
  <si>
    <t>A-0503</t>
  </si>
  <si>
    <t>Buena Vista (Pacific)</t>
  </si>
  <si>
    <t>labeled; second Buena Vista on sheet | repointed CZ-031 -&gt; CZ-155 2026-09-13 (Buena Vista split: Pacific camp separated from the Atlantic station)</t>
  </si>
  <si>
    <t>A-0504</t>
  </si>
  <si>
    <t>A-0505</t>
  </si>
  <si>
    <t>area label (Mamei and Culo Seco)</t>
  </si>
  <si>
    <t>A-0506</t>
  </si>
  <si>
    <t>A-0507</t>
  </si>
  <si>
    <t>label only; relocated-line era</t>
  </si>
  <si>
    <t>A-0508</t>
  </si>
  <si>
    <t>A-0509</t>
  </si>
  <si>
    <t>labeled, by reservoir</t>
  </si>
  <si>
    <t>A-0510</t>
  </si>
  <si>
    <t>label at old-line milepost 28</t>
  </si>
  <si>
    <t>A-0511</t>
  </si>
  <si>
    <t>village dots at Chagres mouth; by Fort San Lorenzo</t>
  </si>
  <si>
    <t>A-0512</t>
  </si>
  <si>
    <t>labeled area SE of Empire</t>
  </si>
  <si>
    <t>A-0513</t>
  </si>
  <si>
    <t>island drawn (parcel 2m)</t>
  </si>
  <si>
    <t>A-0514</t>
  </si>
  <si>
    <t>labeled; near Rio Grande/Paraiso</t>
  </si>
  <si>
    <t>A-0515</t>
  </si>
  <si>
    <t>A-0516</t>
  </si>
  <si>
    <t>Cocoli (Cerro Cocoli)</t>
  </si>
  <si>
    <t>hill label C.COCOLI; town built later at this area</t>
  </si>
  <si>
    <t>A-0517</t>
  </si>
  <si>
    <t>ICC1909</t>
  </si>
  <si>
    <t>town dot; drowned</t>
  </si>
  <si>
    <t>A-0518</t>
  </si>
  <si>
    <t>building cluster; drowned</t>
  </si>
  <si>
    <t>A-0519</t>
  </si>
  <si>
    <t>dot; drowned</t>
  </si>
  <si>
    <t>A-0520</t>
  </si>
  <si>
    <t>marks; drowned</t>
  </si>
  <si>
    <t>A-0521</t>
  </si>
  <si>
    <t>Gatun (old town)</t>
  </si>
  <si>
    <t>town dot; drowned 1913</t>
  </si>
  <si>
    <t>A-0522</t>
  </si>
  <si>
    <t>town dot; cf. EMPIRE plan georef (better source)</t>
  </si>
  <si>
    <t>A-0523</t>
  </si>
  <si>
    <t>town dot; drowned; cf. GORGONA plan georef (better source)</t>
  </si>
  <si>
    <t>A-0524</t>
  </si>
  <si>
    <t>flag symbol; cf. CULEBRA1910 georef (provisional)</t>
  </si>
  <si>
    <t>A-0525</t>
  </si>
  <si>
    <t>town dot; erased</t>
  </si>
  <si>
    <t>A-0526</t>
  </si>
  <si>
    <t>building cluster; erased</t>
  </si>
  <si>
    <t>A-0527</t>
  </si>
  <si>
    <t>A-0528</t>
  </si>
  <si>
    <t>town dot; survives</t>
  </si>
  <si>
    <t>A-0529</t>
  </si>
  <si>
    <t>Rio Grande (village)</t>
  </si>
  <si>
    <t>dot; erased</t>
  </si>
  <si>
    <t>A-0530</t>
  </si>
  <si>
    <t>Pedro Miguel (town)</t>
  </si>
  <si>
    <t>town dot; second dot 9766,11214 may be a camp</t>
  </si>
  <si>
    <t>A-0531</t>
  </si>
  <si>
    <t>marks; survives as district</t>
  </si>
  <si>
    <t>A-0532</t>
  </si>
  <si>
    <t>station area; drowned</t>
  </si>
  <si>
    <t>A-0533</t>
  </si>
  <si>
    <t>building cluster; survives</t>
  </si>
  <si>
    <t>A-0534</t>
  </si>
  <si>
    <t>A-0535</t>
  </si>
  <si>
    <t>A-0536</t>
  </si>
  <si>
    <t>town dot; site persists (relocated)</t>
  </si>
  <si>
    <t>A-0537</t>
  </si>
  <si>
    <t>Miraflores (village)</t>
  </si>
  <si>
    <t>A-0538</t>
  </si>
  <si>
    <t>marks; erased</t>
  </si>
  <si>
    <t>A-0539</t>
  </si>
  <si>
    <t>Buena Vista (Atlantic)</t>
  </si>
  <si>
    <t>A-0540</t>
  </si>
  <si>
    <t>marks; erased; NOTE: two Buena Vistas on sheet | repointed CZ-031 -&gt; CZ-155 2026-09-13 (Buena Vista split: Pacific camp separated from the Atlantic station)</t>
  </si>
  <si>
    <t>A-0541</t>
  </si>
  <si>
    <t>Lion Hill (station)</t>
  </si>
  <si>
    <t>station on line</t>
  </si>
  <si>
    <t>A-0542</t>
  </si>
  <si>
    <t>camp label; erased</t>
  </si>
  <si>
    <t>A-0543</t>
  </si>
  <si>
    <t>dot near label; label/symbol association uncertain</t>
  </si>
  <si>
    <t>A-0544</t>
  </si>
  <si>
    <t>point/lighthouse; from coastal anchor measurement</t>
  </si>
  <si>
    <t>A-0545</t>
  </si>
  <si>
    <t>Balboa (La Boca site)</t>
  </si>
  <si>
    <t>town dot; labeled BALBOA; pre-1909 town = La Boca (CZ-021)</t>
  </si>
  <si>
    <t>A-0546</t>
  </si>
  <si>
    <t>Taboga (village)</t>
  </si>
  <si>
    <t>building cluster; COASTAL CAVEAT: sheet misplaces Taboga ~1.6 km vs its graticule; position here is pinned by the georef anchor</t>
  </si>
  <si>
    <t>A-0547</t>
  </si>
  <si>
    <t>building cluster; COASTAL CAVEAT: compilation ~0.6 km off; pinned by georef anchor</t>
  </si>
  <si>
    <t>A-0548</t>
  </si>
  <si>
    <t>A-0549</t>
  </si>
  <si>
    <t>A-0550</t>
  </si>
  <si>
    <t>A-0551</t>
  </si>
  <si>
    <t>A-0552</t>
  </si>
  <si>
    <t>EMPIRE</t>
  </si>
  <si>
    <t>built-up footprint traced; General map of Empire (pcc00020). 2nd pass 2026-09-09, full civic inventory: RR Station, Freight House, Commissary, Court House, Municipal Bldg, Bank, Post Office, Fire Stn, YMCA, Cath. Church, Dispensary, Band Stand, School (colored), Base Ball Park, ICC Hotel, RR shops (Machine/Boiler/Blacksmith/Erecting/Transfer Table), Storehouse; streets Main/Front/4th/5th/South Ave</t>
  </si>
  <si>
    <t>A-0553</t>
  </si>
  <si>
    <t>labeled Commissary</t>
  </si>
  <si>
    <t>A-0554</t>
  </si>
  <si>
    <t>Empire Plaza (band stand)</t>
  </si>
  <si>
    <t>labeled Band Stand - plaza inferred | repointed CZ-106 -&gt; CZ-120 2026-09-13 (Grand Stand label misread on mirrored text)</t>
  </si>
  <si>
    <t>A-0555</t>
  </si>
  <si>
    <t>labeled School House (colored); a second school may exist elsewhere on sheet</t>
  </si>
  <si>
    <t>A-0556</t>
  </si>
  <si>
    <t>CULEBRA1910</t>
  </si>
  <si>
    <t>built-up footprint traced; Map of Culebra, Sept 1910 (pcc00016) - town band on cut rim; georef along-canal K.54-corroborated</t>
  </si>
  <si>
    <t>A-0557</t>
  </si>
  <si>
    <t>CULEBRANEW1905</t>
  </si>
  <si>
    <t>built-up footprint traced; Map of New Town near Culebra, Oct 1905 (pcc00015) - PLANNED relocation grid, a proposal</t>
  </si>
  <si>
    <t>A-0558</t>
  </si>
  <si>
    <t>GORGONA</t>
  </si>
  <si>
    <t>built-up footprint traced; Map of Gorgona, saloon licensing, 1:2000, Dec 1908 (pcc00017) - built-up extent as drawn | also: Gorgona (town point = RR station)</t>
  </si>
  <si>
    <t>A-0559</t>
  </si>
  <si>
    <t>Barbacoas (bridge site)</t>
  </si>
  <si>
    <t>SURVEYS1908</t>
  </si>
  <si>
    <t>old P.R.R. Chagres crossing (ladder symbol); Barbacoas = the bridge; no separate village label seen</t>
  </si>
  <si>
    <t>A-0560</t>
  </si>
  <si>
    <t>labeled village drawn at Chagres crossing | also: Cruces</t>
  </si>
  <si>
    <t>A-0561</t>
  </si>
  <si>
    <t>labeled village on Chagres bank at old line; much better than the ICC1909 read | also: Ahorca Lagarto</t>
  </si>
  <si>
    <t>A-0562</t>
  </si>
  <si>
    <t>Old Gatun (village + Gatun Island)</t>
  </si>
  <si>
    <t>GATUN + GATUN ISLAND labels, building rows drawn; pre-flood site; ICC1909 candidate was ~800 m off - disagreement recorded</t>
  </si>
  <si>
    <t>A-0563</t>
  </si>
  <si>
    <t>built-up footprint traced; ICC Surveys 1905-06 Map No.1 - Old Gatun: hillside rows + flat by GATUN label (island cluster excluded)</t>
  </si>
  <si>
    <t>A-0564</t>
  </si>
  <si>
    <t>Gorgona (1905-06, building-level)</t>
  </si>
  <si>
    <t>full town drawn: streets, buildings, GORGONA SHOPS; third independent source for CZ-012 | also: Gorgona</t>
  </si>
  <si>
    <t>A-0565</t>
  </si>
  <si>
    <t>labeled village drawn on Chagres bend; near Map1 E edge; lon there partly anchored via the ICC1911-chained candidate | also: Bohio</t>
  </si>
  <si>
    <t>A-0566</t>
  </si>
  <si>
    <t>Frijoles (occupied village)</t>
  </si>
  <si>
    <t>village blocks highlighted yellow | also: Frijoles</t>
  </si>
  <si>
    <t>A-0567</t>
  </si>
  <si>
    <t>Frijoles (abandoned site)</t>
  </si>
  <si>
    <t>labeled (Abandoned) FRIJOLES; the sheet itself documents the relocation - two claims</t>
  </si>
  <si>
    <t>A-0568</t>
  </si>
  <si>
    <t>San Pablo (probable)</t>
  </si>
  <si>
    <t>village by rail at sheet fold; label partly obscured (SAN...); verify label on the physical fold</t>
  </si>
  <si>
    <t>A-0569</t>
  </si>
  <si>
    <t>labeled; label only; Santa Cruz label not found on this pass (sheet fold)</t>
  </si>
  <si>
    <t>A-0570</t>
  </si>
  <si>
    <t>Mindi (Boca Mindi)</t>
  </si>
  <si>
    <t>BOCA MINDI label at old French canal; settlement dispersed; K/M posts of French canal adjacent</t>
  </si>
  <si>
    <t>A-0571</t>
  </si>
  <si>
    <t>Lion Hill label on old P.R.R.</t>
  </si>
  <si>
    <t>A-0572</t>
  </si>
  <si>
    <t>labeled, buildings on old line | also: Juan Grande</t>
  </si>
  <si>
    <t>A-0573</t>
  </si>
  <si>
    <t>Barbacoas (bridge, 1862)</t>
  </si>
  <si>
    <t>CHAGRES1867</t>
  </si>
  <si>
    <t>PRR Chagres crossing</t>
  </si>
  <si>
    <t>A-0574</t>
  </si>
  <si>
    <t>Bailamonos (tract, 1862)</t>
  </si>
  <si>
    <t>tierras herederos de Tomas Dutari, BailaMonos + Rio Bailamonos; tract+river; no pueblo symbol</t>
  </si>
  <si>
    <t>A-0575</t>
  </si>
  <si>
    <t>Juan Gallegos (creek label, 1862)</t>
  </si>
  <si>
    <t>Q. Juan Gallegos near Ahorca Lagarto; best 1862 trace of Cruz de Juan Gallego</t>
  </si>
  <si>
    <t>A-0576</t>
  </si>
  <si>
    <t>Gatun (pueblo, 1862)</t>
  </si>
  <si>
    <t>El pueblo de Gatun, houses drawn</t>
  </si>
  <si>
    <t>A-0577</t>
  </si>
  <si>
    <t>Buhio Soldado (Bohio, 1862)</t>
  </si>
  <si>
    <t>village + Estacion + Fonda; claim: Ahorca Lagarto i Buhio Soldado; claim bundles CZ-004+CZ-016</t>
  </si>
  <si>
    <t>A-0578</t>
  </si>
  <si>
    <t>Frijol Grande/Frijolillo (tracts, 1862)</t>
  </si>
  <si>
    <t>tract names; Frijoles' antecedents</t>
  </si>
  <si>
    <t>A-0579</t>
  </si>
  <si>
    <t>San Pablo station (1862)</t>
  </si>
  <si>
    <t>Estacion de San Pablo</t>
  </si>
  <si>
    <t>A-0580</t>
  </si>
  <si>
    <t>Tabernilla (1862)</t>
  </si>
  <si>
    <t>village + claim Tabernilla i Cano Quebrado</t>
  </si>
  <si>
    <t>A-0581</t>
  </si>
  <si>
    <t>Cerro de Lion station (1862)</t>
  </si>
  <si>
    <t>La Estacion del Cerro de Lion</t>
  </si>
  <si>
    <t>A-0582</t>
  </si>
  <si>
    <t>Mamei station (1862)</t>
  </si>
  <si>
    <t>Estacion Mamei; tract Cano seco o Mamei</t>
  </si>
  <si>
    <t>A-0583</t>
  </si>
  <si>
    <t>Monte Lirio (Gatun river, 1862)</t>
  </si>
  <si>
    <t>Toponym origin (dates decoupled from lifespan): this 1862 label is the ORIGINAL Monte Lirio on the Rio Gatun, a different location; the name later transferred to the c.1909 relocated-line station (the current CZ-036). [2026-09-13 lifespan fix] labeled on Rio Gatun; the ORIGINAL Monte Lirio</t>
  </si>
  <si>
    <t>A-0584</t>
  </si>
  <si>
    <t>Pena Blanca (tract, 1862)</t>
  </si>
  <si>
    <t>tract label</t>
  </si>
  <si>
    <t>A-0585</t>
  </si>
  <si>
    <t>GORPAN1895</t>
  </si>
  <si>
    <t>built-up footprint traced; GORPAN1895 sheet 1 - Matachin town incl. rail rows (La Loma hamlet excluded) | also: Matachin (1895) [Re-anchored 2026-09-14: SH1 refit to the 1905-06 Map No.3 frame (5-anchor LSQ, residuals 96-216 m, held-out Gamboa 99 m); the 2026-09-08 warp used the retired SH2 series scale (~8% too large).]</t>
  </si>
  <si>
    <t>A-0586</t>
  </si>
  <si>
    <t>Emperador (1895)</t>
  </si>
  <si>
    <t>NOT INDEPENDENT: this position was used as an ANCHOR for the 1895 sheet-7 fit and was seeded from the pre-refit EMPIRE chain (circular; inherits its ~800 m shift). Sheet-7 re-anchoring flagged 2026-09-09 - until then treat as provisional, incl. CZ-076 Alto Emperador [Re-anchored 2026-09-14: SH2 refit to the 1905-06 Map No.3 frame (corrected Emperador + old Culebra + Pedro Miguel village, LSQ residuals 35-123 m, Cucaracha check 263 m); previous warp carried the pre-2026-09-09 EMPIRE chain error (~900 m at Emperador).] [SH2 refit v2 2026-09-14: M3 Pacific re-anchor moved the Pedro Miguel target 430 m; coords recomputed.]</t>
  </si>
  <si>
    <t>A-0587</t>
  </si>
  <si>
    <t>Gorgona (1895)</t>
  </si>
  <si>
    <t>town drawn, station on P.R.R. | also: Gorgona [Re-anchored 2026-09-14: SH1 refit to the 1905-06 Map No.3 frame (5-anchor LSQ, residuals 96-216 m, held-out Gamboa 99 m); the 2026-09-08 warp used the retired SH2 series scale (~8% too large).]</t>
  </si>
  <si>
    <t>A-0588</t>
  </si>
  <si>
    <t>built-up footprint traced; GORPAN1895 sheet 2 - Culebra native village on rim (Campement excluded) | also: Culebra (1895) [Re-anchored 2026-09-14: SH2 refit to the 1905-06 Map No.3 frame (corrected Emperador + old Culebra + Pedro Miguel village, LSQ residuals 35-123 m, Cucaracha check 263 m); previous warp carried the pre-2026-09-09 EMPIRE chain error (~900 m at Emperador).] [SH2 refit v2 2026-09-14: M3 Pacific re-anchor moved the Pedro Miguel target 430 m; coords recomputed.]</t>
  </si>
  <si>
    <t>A-0589</t>
  </si>
  <si>
    <t>built-up footprint traced; GORPAN1895 sheet 1 - building rows near Barrage deversoir; identification as Bas Obispo proper UNCERTAIN (may be works camp) | also: Bas Obispo (1895) [Re-anchored 2026-09-14: SH1 refit to the 1905-06 Map No.3 frame (5-anchor LSQ, residuals 96-216 m, held-out Gamboa 99 m); the 2026-09-08 warp used the retired SH2 series scale (~8% too large).] Under the refit these rows land 895 m from the Map No.3 Bas Obispo village - strengthens the works-camp reading.</t>
  </si>
  <si>
    <t>A-0590</t>
  </si>
  <si>
    <t>built-up footprint traced; GORPAN1895 sheet 1 - Las Cascadas village row on P.R.R. | also: Las Cascadas (1895) [Re-anchored 2026-09-14: SH1 refit to the 1905-06 Map No.3 frame (5-anchor LSQ, residuals 96-216 m, held-out Gamboa 99 m); the 2026-09-08 warp used the retired SH2 series scale (~8% too large).]</t>
  </si>
  <si>
    <t>A-0591</t>
  </si>
  <si>
    <t>Rio Grande Superieur (1895)</t>
  </si>
  <si>
    <t>labeled; upper Rio Grande settlement [Re-anchored 2026-09-14: SH2 refit to the 1905-06 Map No.3 frame (corrected Emperador + old Culebra + Pedro Miguel village, LSQ residuals 35-123 m, Cucaracha check 263 m); previous warp carried the pre-2026-09-09 EMPIRE chain error (~900 m at Emperador).] [SH2 refit v2 2026-09-14: M3 Pacific re-anchor moved the Pedro Miguel target 430 m; coords recomputed.]</t>
  </si>
  <si>
    <t>A-0592</t>
  </si>
  <si>
    <t>Rio Grande village (1895)</t>
  </si>
  <si>
    <t>labeled village on P.R.R.; lower Rio Grande - second CZ-019 claim</t>
  </si>
  <si>
    <t>A-0593</t>
  </si>
  <si>
    <t>built-up footprint traced; GORPAN1895 sheet 2 - Pedro Miguel rows on P.R.R. | also: Pedro Miguel (1895) [Re-anchored 2026-09-14: SH2 refit to the 1905-06 Map No.3 frame (corrected Emperador + old Culebra + Pedro Miguel village, LSQ residuals 35-123 m, Cucaracha check 263 m); previous warp carried the pre-2026-09-09 EMPIRE chain error (~900 m at Emperador).] [SH2 refit v2 2026-09-14: M3 Pacific re-anchor moved the Pedro Miguel target 430 m; coords recomputed.]</t>
  </si>
  <si>
    <t>A-0594</t>
  </si>
  <si>
    <t>built-up footprint traced; GORPAN1895 sheet 3 - La Boca company town below Cerro Sosa | also: La Boca (1895)</t>
  </si>
  <si>
    <t>A-0595</t>
  </si>
  <si>
    <t>Corozal (1895)</t>
  </si>
  <si>
    <t>labeled village (bearing ref); 1895 claim disagrees with the ICC1911 claim by ~1.6 km - both recorded, unresolved</t>
  </si>
  <si>
    <t>A-0596</t>
  </si>
  <si>
    <t>built-up footprint traced; GORPAN1895 sheet 2 - Paraiso village (label sits ~500 m NW of houses) | also: Paraiso (1895) [Re-anchored 2026-09-14: SH2 refit to the 1905-06 Map No.3 frame (corrected Emperador + old Culebra + Pedro Miguel village, LSQ residuals 35-123 m, Cucaracha check 263 m); previous warp carried the pre-2026-09-09 EMPIRE chain error (~900 m at Emperador).] [SH2 refit v2 2026-09-14: M3 Pacific re-anchor moved the Pedro Miguel target 430 m; coords recomputed.]</t>
  </si>
  <si>
    <t>A-0597</t>
  </si>
  <si>
    <t>Miraflores (1895)</t>
  </si>
  <si>
    <t>labeled | 2026-09-13: the 1895 sheet draws PLANNED locks at the site - geometry claim kept, 1895 date excluded from settlement dating (see CZ-028). [Re-anchored 2026-09-14: SH2 refit to the 1905-06 Map No.3 frame (corrected Emperador + old Culebra + Pedro Miguel village, LSQ residuals 35-123 m, Cucaracha check 263 m); previous warp carried the pre-2026-09-09 EMPIRE chain error (~900 m at Emperador).] [SH2 refit v2 2026-09-14: M3 Pacific re-anchor moved the Pedro Miguel target 430 m; coords recomputed.]</t>
  </si>
  <si>
    <t>A-0598</t>
  </si>
  <si>
    <t>Cucaracha (1895)</t>
  </si>
  <si>
    <t>labeled [Re-anchored 2026-09-14: SH2 refit to the 1905-06 Map No.3 frame (corrected Emperador + old Culebra + Pedro Miguel village, LSQ residuals 35-123 m, Cucaracha check 263 m); previous warp carried the pre-2026-09-09 EMPIRE chain error (~900 m at Emperador).] [SH2 refit v2 2026-09-14: M3 Pacific re-anchor moved the Pedro Miguel target 430 m; coords recomputed.]</t>
  </si>
  <si>
    <t>A-0599</t>
  </si>
  <si>
    <t>Empire on Hill quarters (1907)</t>
  </si>
  <si>
    <t>CULEBRACAMPS</t>
  </si>
  <si>
    <t>quarters drawn; supplements EMPIRE plan | also: Empire</t>
  </si>
  <si>
    <t>A-0600</t>
  </si>
  <si>
    <t>Empire-Sabana Base Ball Grounds</t>
  </si>
  <si>
    <t>labeled - same park as EMPIRE plan (pin); sheet 011 = map 10 'EMPIRE-SABANA'; two-pin fit (RR station area + ballpark vs EMPIRE plan georef), scale fits 1:972 | repointed CZ-011 -&gt; CZ-120 2026-09-13 (ballpark promoted to its own place); the 'also' reads are now attestations in their own right (Corral, SE loop quarters).</t>
  </si>
  <si>
    <t>A-0601</t>
  </si>
  <si>
    <t>NEW Culebra as built (1907)</t>
  </si>
  <si>
    <t>town blocks drawn; lands ~130 m from the 1905 planned grid (CULEBRANEW1905) - the relocation was EXECUTED; old rim-town Culebra is on missing sheets 13/14</t>
  </si>
  <si>
    <t>A-0602</t>
  </si>
  <si>
    <t>OLD Culebra town (June 1907)</t>
  </si>
  <si>
    <t>full building-level town plan; sheet 014 = map 13 'CULEBRA'; along-tangent position pinned to ICC1911 ring/CULEBRA1910/1895 cluster - the sheet's own K.54 tick would put the town 830 m SE of all three (conflict recorded in log) | YMCA Club House, Cul</t>
  </si>
  <si>
    <t>A-0603</t>
  </si>
  <si>
    <t>Bas Obispo village (June 1907)</t>
  </si>
  <si>
    <t>village drawn building-level; sheet 002 = map 1 'BAS-OBISPO'; K46 printed at Sta 1509.2 on axis = 4th independent datum confirmation; sits centrally among ICC1909/ICC1911/1895 claims (265-550 m spread) | also: Bas Obispo W cluster; Bas Obispo E hills</t>
  </si>
  <si>
    <t>A-0604</t>
  </si>
  <si>
    <t>Las Cascadas hillside town (June 1907)</t>
  </si>
  <si>
    <t>building-level town w/ streets; sheet 006 = map 5 'LAS CASCADAS'; axis Sta 1570/1580; 120-195 m from ICC1909/1911 claims | also: Las Cascadas NE quarters rows; Las Cascadas Engine House; Las Cascadas Post Office</t>
  </si>
  <si>
    <t>A-0605</t>
  </si>
  <si>
    <t>Pedro Miguel LABOR CAMP rows (June 1907)</t>
  </si>
  <si>
    <t>labeled LABOR CAMP; sheet 021 = map 19 'P.MIGUEL'; axis monument circle Sta 1930; K58/K59 chord rotation | also: Pedro Miguel main-street buildings</t>
  </si>
  <si>
    <t>A-0606</t>
  </si>
  <si>
    <t>Pedro Miguel NE quarters street</t>
  </si>
  <si>
    <t>quarters rows; toward the 1895/1909 old-village claims (550-800 m NE) | also: Pedro Miguel shops/roundhouse area</t>
  </si>
  <si>
    <t>A-0607</t>
  </si>
  <si>
    <t>Paraiso town - hillside quarters (June 1907)</t>
  </si>
  <si>
    <t>building-level town plan; sheet 019 = map 17 'PARAISO'; fit: north arrow + nominal 1:1000, pinned to ICC1911 Paraiso dot-ring; Hotel/PRR corner lands ~150 m from modern town center | also: Paraiso shops (Machine/Boiler-Blacksmith/Storehouse); Paraiso</t>
  </si>
  <si>
    <t>A-0608</t>
  </si>
  <si>
    <t>Cucaracha village (June 1907)</t>
  </si>
  <si>
    <t>village buildings drawn; sheet 018 = map 16 'CUCARACHA'; fit via 'Approx 1841 American Axis' callout + north arrow + nominal 1:1000; agrees with ICC1909 claim within 440 m and 1895 within 740 m | also: Cucaracha ICC camp (highlighted bldgs)</t>
  </si>
  <si>
    <t>A-0609</t>
  </si>
  <si>
    <t>Buena Vista camp (1907, Pacific)</t>
  </si>
  <si>
    <t>camp drawn | also: Buena Vista | repointed CZ-031 -&gt; CZ-155 2026-09-13 (Buena Vista split: Pacific camp separated from the Atlantic station)</t>
  </si>
  <si>
    <t>A-0610</t>
  </si>
  <si>
    <t>Camp Elliott (1907)</t>
  </si>
  <si>
    <t>camp drawn building-level | also: Camp Elliott</t>
  </si>
  <si>
    <t>A-0611</t>
  </si>
  <si>
    <t>Enterprise (1907)</t>
  </si>
  <si>
    <t>camp blocks drawn building-level | also: Enterprise</t>
  </si>
  <si>
    <t>A-0612</t>
  </si>
  <si>
    <t>Gatun town (1947)</t>
  </si>
  <si>
    <t>M1947</t>
  </si>
  <si>
    <t>labeled town by locks; the post-1908 relocated New Gatun as it persisted</t>
  </si>
  <si>
    <t>A-0613</t>
  </si>
  <si>
    <t>Palo Seco leper colony (1947)</t>
  </si>
  <si>
    <t>labeled '(Leper Colony)'; label-centred</t>
  </si>
  <si>
    <t>A-0614</t>
  </si>
  <si>
    <t>Darien station (1947)</t>
  </si>
  <si>
    <t>station dot on relocated PRR; FIRST candidate anywhere for CZ-049</t>
  </si>
  <si>
    <t>A-0615</t>
  </si>
  <si>
    <t>Summit (1947)</t>
  </si>
  <si>
    <t>station dot</t>
  </si>
  <si>
    <t>A-0616</t>
  </si>
  <si>
    <t>Red Tank (1947)</t>
  </si>
  <si>
    <t>labeled village</t>
  </si>
  <si>
    <t>A-0617</t>
  </si>
  <si>
    <t>Diablo Heights (1947)</t>
  </si>
  <si>
    <t>Toponym afterlife (dates decoupled from lifespan): this 1947 label is the 1940s American successor townsite 'Diablo Heights' (equated variant of CZ-055), ~33 yr after the original village's 1913-14 erasure; geometry retained. [2026-09-13 lifespan fix] labeled | repointed CZ-055 -&gt; CZ-182 2026-09-14 (Diablo split: the 1940s Diablo Heights townsite is its own place)</t>
  </si>
  <si>
    <t>A-0618</t>
  </si>
  <si>
    <t>Cocoli (1947)</t>
  </si>
  <si>
    <t>labeled village | repointed CZ-064 -&gt; CZ-171 2026-09-13 (Cocoli split: townsite is its own place)</t>
  </si>
  <si>
    <t>A-0619</t>
  </si>
  <si>
    <t>Margarita (1947)</t>
  </si>
  <si>
    <t>labeled town</t>
  </si>
  <si>
    <t>A-0620</t>
  </si>
  <si>
    <t>Coco Solo (1947)</t>
  </si>
  <si>
    <t>labeled naval station</t>
  </si>
  <si>
    <t>A-0621</t>
  </si>
  <si>
    <t>Fort Clayton (1947)</t>
  </si>
  <si>
    <t>cantonment polygons drawn</t>
  </si>
  <si>
    <t>A-0622</t>
  </si>
  <si>
    <t>Fort Davis (1947)</t>
  </si>
  <si>
    <t>A-0623</t>
  </si>
  <si>
    <t>Fort Sherman (1947)</t>
  </si>
  <si>
    <t>label area at Toro Point; label-centred</t>
  </si>
  <si>
    <t>A-0624</t>
  </si>
  <si>
    <t>Fort Amador (1947)</t>
  </si>
  <si>
    <t>labeled + causeway drawn</t>
  </si>
  <si>
    <t>A-0625</t>
  </si>
  <si>
    <t>Albrook Field (1947)</t>
  </si>
  <si>
    <t>runways drawn</t>
  </si>
  <si>
    <t>A-0626</t>
  </si>
  <si>
    <t>Barro Colorado Island (1947)</t>
  </si>
  <si>
    <t>island centroid; BCI research reservation</t>
  </si>
  <si>
    <t>A-0627</t>
  </si>
  <si>
    <t>surveyed from CHAGRES1867 georef, +-800m | repointed CZ-074 -&gt; CZ-031 2026-09-13 (Isla Vista ruled a probable label artifact)</t>
  </si>
  <si>
    <t>A-0628</t>
  </si>
  <si>
    <t>A-0629</t>
  </si>
  <si>
    <t>surveyed from GORPAN1895 georef, +-400m [Re-anchored 2026-09-14: SH2 refit to the 1905-06 Map No.3 frame (corrected Emperador + old Culebra + Pedro Miguel village, LSQ residuals 35-123 m, Cucaracha check 263 m); previous warp carried the pre-2026-09-09 EMPIRE chain error (~900 m at Emperador).] [SH2 refit v2 2026-09-14: M3 Pacific re-anchor moved the Pedro Miguel target 430 m; coords recomputed.]</t>
  </si>
  <si>
    <t>A-0630</t>
  </si>
  <si>
    <t>A-0631</t>
  </si>
  <si>
    <t>A-0632</t>
  </si>
  <si>
    <t>A-0633</t>
  </si>
  <si>
    <t>A-0634</t>
  </si>
  <si>
    <t>A-0635</t>
  </si>
  <si>
    <t>A-0636</t>
  </si>
  <si>
    <t>A-0637</t>
  </si>
  <si>
    <t>A-0638</t>
  </si>
  <si>
    <t>A-0639</t>
  </si>
  <si>
    <t>A-0640</t>
  </si>
  <si>
    <t>surveyed from CULEBRACAMPS georef, +-250m</t>
  </si>
  <si>
    <t>A-0641</t>
  </si>
  <si>
    <t>Haut Obispo (1895)</t>
  </si>
  <si>
    <t>labeled hamlet, sheet 8 - second claim [Re-anchored 2026-09-14: SH1 refit to the 1905-06 Map No.3 frame (5-anchor LSQ, residuals 96-216 m, held-out Gamboa 99 m); the 2026-09-08 warp used the retired SH2 series scale (~8% too large).]</t>
  </si>
  <si>
    <t>A-0642</t>
  </si>
  <si>
    <t>ICC1909 (absence audit 2026-09-12)</t>
  </si>
  <si>
    <t>Town blocks drawn + CRISTOBAL label; harvest miss found by audit.</t>
  </si>
  <si>
    <t>A-0643</t>
  </si>
  <si>
    <t>MOUNT HOPE label; no distinct settlement symbol. 'Marajal' labeled ~1.5 km E (unregistered name, see harvest CSV).</t>
  </si>
  <si>
    <t>A-0644</t>
  </si>
  <si>
    <t>Building-cluster marks + label at the Chagres mouth (near San Lorenzo coastal anchor).</t>
  </si>
  <si>
    <t>A-0645</t>
  </si>
  <si>
    <t>Naos I.</t>
  </si>
  <si>
    <t>Island labeled Naos I., structures drawn on it; label names the island rather than the labour camp. Culebra I. 'Quarantine Sta.' labeled adjacent.</t>
  </si>
  <si>
    <t>A-0646</t>
  </si>
  <si>
    <t>Mindi labeled at the Mt Hope road/line junction; no separate symbol. Sheet position ~2.2 km SSE of stored workbook coordinate - source disagreement, not corrected here.</t>
  </si>
  <si>
    <t>A-0647</t>
  </si>
  <si>
    <t>EL VIGIA</t>
  </si>
  <si>
    <t>FIRST FIX. Town dot + EL VIGIA label on upper Chagres bend; church-like symbol adjacent. Off-anchor region of the georef - honest +-700 m.</t>
  </si>
  <si>
    <t>A-0648</t>
  </si>
  <si>
    <t>FIRST FIX. Two settlement dots + label at the flooded-area edge on the Las Cruces trail - the sheet itself draws it inside the future lake.</t>
  </si>
  <si>
    <t>A-0649</t>
  </si>
  <si>
    <t>fr</t>
  </si>
  <si>
    <t>Cunette labeled ~700 m N of Empire. CONFLICT: workbook position (9.0947,-79.6845, nr Bas Obispo) is ~3.4 km away - source disagreement recorded, workbook coordinate left unchanged pending arbitration.</t>
  </si>
  <si>
    <t>A-0650</t>
  </si>
  <si>
    <t>TEXT LABEL Lirio (audit upgrade: 2026-09-08 read logged marks only and was never linked when CZ-080 was created).</t>
  </si>
  <si>
    <t>A-0651</t>
  </si>
  <si>
    <t>Label + structure marks by the relocated line. Orphaned 2026-09-08 CSV read (blank place_id) now linked.</t>
  </si>
  <si>
    <t>A-0652</t>
  </si>
  <si>
    <t>Camp Diablo</t>
  </si>
  <si>
    <t>Labeled Camp Diablo; identified with CZ-055 Diablo by position (the 2026-09-08 read's 'cf. CZ-055?' resolved).</t>
  </si>
  <si>
    <t>A-0653</t>
  </si>
  <si>
    <t>Text label Lion Hill (earlier read logged the station symbol only).</t>
  </si>
  <si>
    <t>A-0654</t>
  </si>
  <si>
    <t>searched sheet (absence audit 2026-09-12)</t>
  </si>
  <si>
    <t>Bridge-site reach drawn; San Pablo and Bailamonos labeled in the same window; Barbacoas not named or marked.</t>
  </si>
  <si>
    <t>A-0655</t>
  </si>
  <si>
    <t>Frijoles-Tabernilla reach searched; not depicted.</t>
  </si>
  <si>
    <t>A-0656</t>
  </si>
  <si>
    <t>Expected reach searched - Ahorca Lagarto, Las Penitas, Palo Matias Viejo all labeled; not depicted. Corroborates A-0301 (NARA/PI-91 silence).</t>
  </si>
  <si>
    <t>A-0657</t>
  </si>
  <si>
    <t>Single GATUN symbol only (the old town, read for CZ-009); the relocation town is absent from the Jul-1908 compilation - consistent with its post-1908 construction, so absence here is temporal as much as cartographic.</t>
  </si>
  <si>
    <t>A-0658</t>
  </si>
  <si>
    <t>PRR reach Lion Hill-Ahorca Lagarto searched; both neighbours labeled, Tiger Hill absent.</t>
  </si>
  <si>
    <t>A-0659</t>
  </si>
  <si>
    <t>Unnamed structure marks near the expected site; name absent while adjacent San Pablo and Juan Grande are labeled.</t>
  </si>
  <si>
    <t>A-0660</t>
  </si>
  <si>
    <t>Upper Chagres searched including the dam-site reach; San Juan, Tranquilla, Dos Bocas, Campanas, El Vigia all labeled - Alhajuela absent.</t>
  </si>
  <si>
    <t>A-0661</t>
  </si>
  <si>
    <t>Rio Gatun corridor searched (two windows, 9.19-9.31 N); hydronyms only, no settlement.</t>
  </si>
  <si>
    <t>A-0662</t>
  </si>
  <si>
    <t>Coast searched; ALBA TRACT / U.S. PROPERTY / quarantine labels present - the leper colony itself absent from official cartography.</t>
  </si>
  <si>
    <t>A-0663</t>
  </si>
  <si>
    <t>Unnamed camp clusters near the expected site; Camacho not named while Empire, Culebra and Lirio are.</t>
  </si>
  <si>
    <t>A-0664</t>
  </si>
  <si>
    <t>The name survives only as infrastructure: AGUA CLARA RESERVOIR (twice) and RIO AGUA CLARA. The village itself is absent.</t>
  </si>
  <si>
    <t>A-0665</t>
  </si>
  <si>
    <t>Chagres corridor Gamboa-Alhajuela searched (three windows); absent.</t>
  </si>
  <si>
    <t>A-0666</t>
  </si>
  <si>
    <t>Culebra east side searched; Rio Grande village and reservoir labeled; Enterprise absent.</t>
  </si>
  <si>
    <t>A-0667</t>
  </si>
  <si>
    <t>Rio Gatun / lower Chagres windows searched; absent.</t>
  </si>
  <si>
    <t>A-0668</t>
  </si>
  <si>
    <t>Pacific locks area searched (sheet still carries the 1908 La Boca lock scheme); Cocoli absent.</t>
  </si>
  <si>
    <t>A-0669</t>
  </si>
  <si>
    <t>Obispo reach searched; Bas Obispo, Camp Elliott and Gamboa Camp labeled; the French-era Haut Obispo absent (contrast the 1895 sheet, A-0641).</t>
  </si>
  <si>
    <t>A-0670</t>
  </si>
  <si>
    <t>Empire-Culebra windows searched; absent. Expected position provisional (GORPAN1895 sheet-7 re-anchor pending).</t>
  </si>
  <si>
    <t>A-0671</t>
  </si>
  <si>
    <t>Bas Obispo-Gamboa windows searched; absent.</t>
  </si>
  <si>
    <t>A-0672</t>
  </si>
  <si>
    <t>Empire-Culebra windows searched; unnamed camp clusters only.</t>
  </si>
  <si>
    <t>A-0673</t>
  </si>
  <si>
    <t>Gorgona-Juan Grande reach searched; absent.</t>
  </si>
  <si>
    <t>A-0674</t>
  </si>
  <si>
    <t>Frijoles-Tabernilla reach searched; absent.</t>
  </si>
  <si>
    <t>A-0675</t>
  </si>
  <si>
    <t>Whitehouse (camp)</t>
  </si>
  <si>
    <t>RETRACTED 2026-09-13: written in error against a merged duplicate row - CZ-086 was folded into CZ-059 on 2026-09-09 (see places notes). The surviving place's own reads/negatives stand; ignore this row.</t>
  </si>
  <si>
    <t>A-0676</t>
  </si>
  <si>
    <t>RETRACTED 2026-09-13: written in error against a merged duplicate row - CZ-087 was folded into CZ-062 on 2026-09-09 (see places notes). The surviving place's own reads/negatives stand; ignore this row.</t>
  </si>
  <si>
    <t>A-0677</t>
  </si>
  <si>
    <t>Zone-scale sheet reduces Empire to a dot + anonymous camp clusters; no civic buildings shown (contrast the town plan, A-0553).</t>
  </si>
  <si>
    <t>A-0678</t>
  </si>
  <si>
    <t>Not shown at zone scale; Empire is a dot + anonymous clusters. | repointed CZ-103 -&gt; CZ-125 2026-09-14 (the Canal Record 'Clubhouse' and the plan's Y.M.C.A. are the same institution - ICC clubhouses were YMCA-operated)</t>
  </si>
  <si>
    <t>A-0679</t>
  </si>
  <si>
    <t>Not shown at zone scale - note even the GOLD-side quarters vanish here, framing the seeded Silver-quarters negative A-0049: at 1:80,000 the administration mapped towns, not housing.</t>
  </si>
  <si>
    <t>A-0680</t>
  </si>
  <si>
    <t>Not shown at zone scale.</t>
  </si>
  <si>
    <t>A-0681</t>
  </si>
  <si>
    <t>Not shown at zone scale (contrast the town plan, A-0555).</t>
  </si>
  <si>
    <t>A-0682</t>
  </si>
  <si>
    <t>Site drawn and labeled BALBOA (read as CZ-039): the name La Boca is already replaced on the Jul-1908 official compilation - cartographic renaming in advance of the town's physical removal.</t>
  </si>
  <si>
    <t>A-0683</t>
  </si>
  <si>
    <t>AHORCA LAGARTO</t>
  </si>
  <si>
    <t>ICC1911 (absence audit 2026-09-12)</t>
  </si>
  <si>
    <t>Caps label along the old PRR line at K.12-13; no distinct marks.</t>
  </si>
  <si>
    <t>A-0684</t>
  </si>
  <si>
    <t>SANTA CRUZ</t>
  </si>
  <si>
    <t>Labeled near Gamboa (tract 3mm adjacent) - 52 m from the stored community-memory position. Nuances A-0032: absent from the 1910 zone map, PRESENT on the 1911 property map.</t>
  </si>
  <si>
    <t>A-0685</t>
  </si>
  <si>
    <t>NEW GATUN</t>
  </si>
  <si>
    <t>Labeled with black building blocks east of the dam works - the relocation town, absent from the Jul-1908 compilation, is on official cartography by 1911.</t>
  </si>
  <si>
    <t>A-0686</t>
  </si>
  <si>
    <t>District spread-lettering + structure marks by the old line (town being dismantled for the flood); Old Gorgona Road and CARABALI RESERVATION labeled adjacent. [Read verified at the stored position; coords = workbook point.]</t>
  </si>
  <si>
    <t>A-0687</t>
  </si>
  <si>
    <t>CULEBRA / NEW CULEBRA</t>
  </si>
  <si>
    <t>CULEBRA district lettering; the town itself drawn as NEW CULEBRA / W. CULEBRA dot clusters with COW PENS - see unregistered names in harvest CSV. [Read verified at the stored position; coords = workbook point.]</t>
  </si>
  <si>
    <t>A-0688</t>
  </si>
  <si>
    <t>RIO GRANDE</t>
  </si>
  <si>
    <t>Block label with dots near K.55, stacked under ENTERPRISE. [Read verified at the stored position; coords = workbook point.]</t>
  </si>
  <si>
    <t>A-0689</t>
  </si>
  <si>
    <t>PEDRO MIGUEL</t>
  </si>
  <si>
    <t>Label + black building blocks (4j/2h) NW of the stored point (~1.2 km) - property-map town lots vs 1909 dot; not arbitrated here. [Read verified at the stored position; coords = workbook point.]</t>
  </si>
  <si>
    <t>A-0690</t>
  </si>
  <si>
    <t>PARAISO</t>
  </si>
  <si>
    <t>Label + black building blocks (48/4h); SPANISH TOWN dot cluster labeled just NE (unregistered). [Read verified at the stored position; coords = workbook point.]</t>
  </si>
  <si>
    <t>A-0691</t>
  </si>
  <si>
    <t>CAMPO ELLIOTT</t>
  </si>
  <si>
    <t>Labeled (Spanish form 'Campo Elliott') with camp dots by Bas Obispo. [Read verified at the stored position; coords = workbook point.]</t>
  </si>
  <si>
    <t>A-0692</t>
  </si>
  <si>
    <t>Toro Pt.</t>
  </si>
  <si>
    <t>Point labeled with lighthouse symbol + WEST BREAKWATER; PLAYA DE FLOR tract lettering adjacent. [Read verified at the stored position; coords = workbook point.]</t>
  </si>
  <si>
    <t>A-0693</t>
  </si>
  <si>
    <t>ALHAJUELA</t>
  </si>
  <si>
    <t>FIRST FIX. Labeled with structure cluster at a Chagres crossing. Far off-anchor for this georef - honest +-800 m; treat as Low spatial certainty.</t>
  </si>
  <si>
    <t>A-0694</t>
  </si>
  <si>
    <t>CAMACHO</t>
  </si>
  <si>
    <t>Labeled with camp dots by Empire Sta. - ABSENT from the 1909 zone map (A-0666), PRESENT on the property map: the anonymous 1909 marks now have their name.</t>
  </si>
  <si>
    <t>A-0695</t>
  </si>
  <si>
    <t>JUAN MINA</t>
  </si>
  <si>
    <t>FIRST FIX. Structures drawn at the Chagres bank by R. Juan Mina; JUAN MINA tract lettering + river name. Small but present.</t>
  </si>
  <si>
    <t>A-0696</t>
  </si>
  <si>
    <t>WHITE HOUSE</t>
  </si>
  <si>
    <t>Labeled (two words) with camp dots on the relocated line - 480 m from the CULEBRACAMPS fix; corroborates it.</t>
  </si>
  <si>
    <t>A-0697</t>
  </si>
  <si>
    <t>PENA BLANCA</t>
  </si>
  <si>
    <t>Station label at K.22 on the relocated line + district spread-lettering: the village survives 1911 as a railway stop name. [Read verified at the stored position; coords = workbook point.]</t>
  </si>
  <si>
    <t>A-0698</t>
  </si>
  <si>
    <t>CARTAGENITA</t>
  </si>
  <si>
    <t>Block label under C. PARAISO; possible hill-name ambiguity noted. Separate script 'Cartagena' nearby is a stream name. [Read verified at the stored position; coords = workbook point.]</t>
  </si>
  <si>
    <t>A-0699</t>
  </si>
  <si>
    <t>PALO GRANDE</t>
  </si>
  <si>
    <t>Labeled with dot cluster - independent second claim ~600 m from the ICC1909 first fix (A-0648); consistent within joint uncertainty.</t>
  </si>
  <si>
    <t>A-0700</t>
  </si>
  <si>
    <t>HAUT OBISPO</t>
  </si>
  <si>
    <t>Caps label along the relocated line K.47-48. Absent from the 1909 zone map (A-0657) but present 1895 (A-0641) and here - the 1909 silence was selective, not terminal. [Read verified at the stored position; coords = workbook point.]</t>
  </si>
  <si>
    <t>A-0701</t>
  </si>
  <si>
    <t>CUNETTE</t>
  </si>
  <si>
    <t>Labeled with dots at K.50-51 N of Empire - ~900 m from the ICC1909 label claim (A-0649) and ~3 km from the stored workbook position: two sheets now agree against the stored coordinate. Needs arbitration.</t>
  </si>
  <si>
    <t>A-0702</t>
  </si>
  <si>
    <t>CERRO</t>
  </si>
  <si>
    <t>CERRO label at K.52 with camp dots - ABSENT from the 1909 zone map (A-0668); named here.</t>
  </si>
  <si>
    <t>A-0703</t>
  </si>
  <si>
    <t>LIRIO</t>
  </si>
  <si>
    <t>LIRIO camp with dots, drawn DISTINCT from C. LIRIO (the hill) - resolves the camp-vs-hill ambiguity; on the 1947 sheet only the hill name survives. [Read verified at the stored position; coords = workbook point.]</t>
  </si>
  <si>
    <t>A-0704</t>
  </si>
  <si>
    <t>CABALLO VIEJO</t>
  </si>
  <si>
    <t>Labeled with marks near the Chagres bend by Juan Grande - ABSENT from the 1909 zone map (A-0670); the property map names it. [Read verified at the stored position; coords = workbook point.]</t>
  </si>
  <si>
    <t>A-0705</t>
  </si>
  <si>
    <t>LAS PENITAS</t>
  </si>
  <si>
    <t>Labeled with marks by the Former Bed of the Chagres; also 'Las Penitas Swamp'. [Read verified at the stored position; coords = workbook point.]</t>
  </si>
  <si>
    <t>A-0706</t>
  </si>
  <si>
    <t>PALO MATIAS VIEJO</t>
  </si>
  <si>
    <t>Labeled with marks beside Las Penitas. [Read verified at the stored position; coords = workbook point.]</t>
  </si>
  <si>
    <t>A-0707</t>
  </si>
  <si>
    <t>No settlement; the name survives ONLY as 'Juan Gallegos' land/swamp lettering (see Name attestation). Third negative for this place across archives.</t>
  </si>
  <si>
    <t>A-0708</t>
  </si>
  <si>
    <t>Juan Gallegos</t>
  </si>
  <si>
    <t>Spread lettering over the swamp tract NE of the old line - toponym kept as land label, settlement gone.</t>
  </si>
  <si>
    <t>A-0709</t>
  </si>
  <si>
    <t>Site consumed by the Gatun dam embankment/spillway works; no old-town symbol or label remains. NEW GATUN labeled east (read for CZ-010).</t>
  </si>
  <si>
    <t>A-0710</t>
  </si>
  <si>
    <t>No settlement symbol at the site (demolition era); BOHIO survives as district spread-lettering and R. Bohio Soldado (see Name attestation).</t>
  </si>
  <si>
    <t>A-0711</t>
  </si>
  <si>
    <t>BOHIO</t>
  </si>
  <si>
    <t>District spread-lettering + hydronym; the town itself no longer drawn.</t>
  </si>
  <si>
    <t>A-0712</t>
  </si>
  <si>
    <t>Not named; unregistered 'SPANISH TOWN' dot cluster labeled nearby (harvest CSV) - the labour settlement got a name, Cucaracha did not.</t>
  </si>
  <si>
    <t>A-0713</t>
  </si>
  <si>
    <t>Old-line reach K.12-14 searched; AHORCA LAGARTO labeled, Tiger Hill absent - second sheet (after ICC1909) to omit it.</t>
  </si>
  <si>
    <t>A-0714</t>
  </si>
  <si>
    <t>Rio Gatun / flow-line country searched; hydronyms only (Chinilla, Palenque, Conejo, Gusanillo).</t>
  </si>
  <si>
    <t>A-0715</t>
  </si>
  <si>
    <t>Palo Seco (leper colony)</t>
  </si>
  <si>
    <t>The institution is not depicted; 'palo seco' survives only as lowercase PROPERTY-TRACT lettering (6e 5035 Tract 1) - see Name attestation. Two tiny shore structures unlabeled.</t>
  </si>
  <si>
    <t>A-0716</t>
  </si>
  <si>
    <t>palo seco</t>
  </si>
  <si>
    <t>Lowercase tract lettering on the property grid; the colony unnamed as an institution (contrast 1947 '(Leper Colony)').</t>
  </si>
  <si>
    <t>A-0717</t>
  </si>
  <si>
    <t>Not named; ALHAJUELA labeled ~2 km SW (both sheets off-anchor in the upper Chagres - treat the separation cautiously).</t>
  </si>
  <si>
    <t>A-0718</t>
  </si>
  <si>
    <t>Camp Diablo (on the 1909 sheet, A-0652) is gone from the 1911 property map; returns as Diablo Heights on the 1947 sheet - an intermittent official presence.</t>
  </si>
  <si>
    <t>A-0719</t>
  </si>
  <si>
    <t>Only 'Que. Agua Clara' + RESERVOIR; BELLA VISTA tract lettering nearby. Third sheet where the village exists only as water infrastructure names.</t>
  </si>
  <si>
    <t>A-0720</t>
  </si>
  <si>
    <t>No settlement; VAMOS spread tract lettering near the old line only (see Name attestation).</t>
  </si>
  <si>
    <t>A-0721</t>
  </si>
  <si>
    <t>VAMOS [VAMOS]</t>
  </si>
  <si>
    <t>Spread tract lettering; settlement not drawn.</t>
  </si>
  <si>
    <t>A-0722</t>
  </si>
  <si>
    <t>A-0723</t>
  </si>
  <si>
    <t>Bas Obispo-Gamboa windows searched; absent (Santa Cruz, Campo Elliott, Haut Obispo all labeled in the same reach).</t>
  </si>
  <si>
    <t>A-0724</t>
  </si>
  <si>
    <t>A-0725</t>
  </si>
  <si>
    <t>A-0726</t>
  </si>
  <si>
    <t>Property map renders Empire as tracts + STA. + camp clusters (NEW EMPIRE dots); no civic buildings of any kind drawn - the genre maps ownership, not community life. (Town-plan reads: S-022.)</t>
  </si>
  <si>
    <t>A-0727</t>
  </si>
  <si>
    <t>A-0728</t>
  </si>
  <si>
    <t>Property map renders Empire as tracts + STA. + camp clusters (NEW EMPIRE dots); no civic buildings of any kind drawn - the genre maps ownership, not community life. (Town-plan reads: S-022.) | repointed CZ-103 -&gt; CZ-125 2026-09-14 (the Canal Record 'Clubhouse' and the plan's Y.M.C.A. are the same institution - ICC clubhouses were YMCA-operated)</t>
  </si>
  <si>
    <t>A-0729</t>
  </si>
  <si>
    <t>A-0730</t>
  </si>
  <si>
    <t>Property map renders Empire as tracts + STA. + camp clusters (NEW EMPIRE dots); no civic buildings of any kind drawn - the genre maps ownership, not community life. (Town-plan reads: S-022.) | repointed CZ-106 -&gt; CZ-120 2026-09-13 (Grand Stand label misread on mirrored text)</t>
  </si>
  <si>
    <t>A-0731</t>
  </si>
  <si>
    <t>A-0732</t>
  </si>
  <si>
    <t>A-0733</t>
  </si>
  <si>
    <t>A-0734</t>
  </si>
  <si>
    <t>CRISTOBAL</t>
  </si>
  <si>
    <t>M1947 (absence audit 2026-09-12)</t>
  </si>
  <si>
    <t>Labeled, with NEW CRISTOBAL / SILVER CITY / CAMP COINER as separate labels (extras already in M1947 CSV). [Read verified at the stored position; coords = workbook point.]</t>
  </si>
  <si>
    <t>A-0735</t>
  </si>
  <si>
    <t>ANCON</t>
  </si>
  <si>
    <t>Labeled beside Ancon Hill 654. [Read verified at the stored position; coords = workbook point.]</t>
  </si>
  <si>
    <t>A-0736</t>
  </si>
  <si>
    <t>Town labeled by the locks. [Read verified at the stored position; coords = workbook point.]</t>
  </si>
  <si>
    <t>A-0737</t>
  </si>
  <si>
    <t>COROZAL</t>
  </si>
  <si>
    <t>Labeled (orphaned 2026-09-08 CSV read now linked).</t>
  </si>
  <si>
    <t>A-0738</t>
  </si>
  <si>
    <t>Labeled with built area - persists while Cartagenita beside it is gone (A-negative this sheet). [Read verified at the stored position; coords = workbook point.]</t>
  </si>
  <si>
    <t>A-0739</t>
  </si>
  <si>
    <t>Labeled town at the Chagres crossing - the RELOCATED site, ~3.5 km W of the stored (1909-era) coordinate; orphaned CSV read now linked.</t>
  </si>
  <si>
    <t>A-0740</t>
  </si>
  <si>
    <t>Labeled with structures on the relocated line, ~1.6 km E of the 1909 position - the lake-shore relocation as it persisted.</t>
  </si>
  <si>
    <t>A-0741</t>
  </si>
  <si>
    <t>BALBOA</t>
  </si>
  <si>
    <t>FIRST FIX. Town labeled at Balboa Harbor (Sosa Hill, Thatcher Ferry adjacent).</t>
  </si>
  <si>
    <t>A-0742</t>
  </si>
  <si>
    <t>Mt. Hope</t>
  </si>
  <si>
    <t>Labeled (orphaned 2026-09-08 CSV 'extra' row was actually CZ-040 - now linked).</t>
  </si>
  <si>
    <t>A-0743</t>
  </si>
  <si>
    <t>Naos I</t>
  </si>
  <si>
    <t>Island labeled, causeway drawn (Perico, Flamenco adjacent). [Read verified at the stored position; coords = workbook point.]</t>
  </si>
  <si>
    <t>A-0744</t>
  </si>
  <si>
    <t>Gaillard Cut bank; no trace or label - town erased 1913, name gone from the sheet.</t>
  </si>
  <si>
    <t>A-0745</t>
  </si>
  <si>
    <t>Cut bank reach; absent.</t>
  </si>
  <si>
    <t>A-0746</t>
  </si>
  <si>
    <t>Under Gatun Lake; the name survives displaced onto lake features ('Bohio Point').</t>
  </si>
  <si>
    <t>A-0747</t>
  </si>
  <si>
    <t>Present on the 1908 compilation (A-0646), entirely absent by 1947 - not even a hydronym in the searched windows.</t>
  </si>
  <si>
    <t>A-0748</t>
  </si>
  <si>
    <t>Site labeled FORT SHERMAN only (read for CZ-069): the point's own name displaced by the military reservation.</t>
  </si>
  <si>
    <t>A-0749</t>
  </si>
  <si>
    <t>Site under Madden Lake; sheet labels the dam and lake with the engineer's name, not the drowned village's. (Village drawn on the 1911 sheet - see the first fix from this audit.)</t>
  </si>
  <si>
    <t>A-0750</t>
  </si>
  <si>
    <t>Drowned reach; lake + relocated RAILROAD only.</t>
  </si>
  <si>
    <t>A-0751</t>
  </si>
  <si>
    <t>Two windows searched; Agua Sucia hydronyms only.</t>
  </si>
  <si>
    <t>A-0752</t>
  </si>
  <si>
    <t>Pacific windows searched: BALBOA, ANCON, La Boca, Diablo Heights all labeled - the administrative CAPITAL's name is not on the sheet (the 1953 terminal-cities map should resolve it).</t>
  </si>
  <si>
    <t>A-0753</t>
  </si>
  <si>
    <t>Cut-bank reach; absent (named on 1911, gone by 1947).</t>
  </si>
  <si>
    <t>A-0754</t>
  </si>
  <si>
    <t>Site under Madden Lake ('Dam' + MADDEN labels only). Located on the 1908 sheet (A-0647), drowned by this one.</t>
  </si>
  <si>
    <t>A-0755</t>
  </si>
  <si>
    <t>Chagres corridor windows; absent (structures drawn on 1911 sheet).</t>
  </si>
  <si>
    <t>A-0756</t>
  </si>
  <si>
    <t>Only terrain names remain in the reach (Gold Hill, Lirio 543, Escobar 478); the hamlet is gone.</t>
  </si>
  <si>
    <t>A-0757</t>
  </si>
  <si>
    <t>Cut-bank reach searched; absent.</t>
  </si>
  <si>
    <t>A-0758</t>
  </si>
  <si>
    <t>Paraiso labeled and persisting beside it; the silver-roll village unnamed and gone.</t>
  </si>
  <si>
    <t>A-0759</t>
  </si>
  <si>
    <t>Site at/under the lake arm; absent.</t>
  </si>
  <si>
    <t>A-0760</t>
  </si>
  <si>
    <t>Ancon Hill windows searched; not labeled (1953 terminal-cities map should resolve it).</t>
  </si>
  <si>
    <t>A-0761</t>
  </si>
  <si>
    <t>Labeled La Boca at the Balboa waterfront. RULING 2026-09-12: same place as CZ-021 resumed - the name, replaced by BALBOA on the Jul-1908 compilation (A-0682), is back on official cartography by 1947.</t>
  </si>
  <si>
    <t>A-0762</t>
  </si>
  <si>
    <t>Name resumption after cartographic suppression (site labeled BALBOA on the 1908/1911 sheets). Feeds the name-history timeline.</t>
  </si>
  <si>
    <t>A-0763</t>
  </si>
  <si>
    <t>SPANISH TOWN</t>
  </si>
  <si>
    <t>Label + dot cluster NE of Paraiso; the settlement the zone-scale sheets never name.</t>
  </si>
  <si>
    <t>A-0764</t>
  </si>
  <si>
    <t>GOLDEN GREEN</t>
  </si>
  <si>
    <t>Label + dots between Empire Sta. and Lirio. [CORRECTED 2026-09-13: original read mis-assigned the dot cluster in a cluttered crop (~1.1 km NE error); position re-verified label-adjacent during the footprint pass.]</t>
  </si>
  <si>
    <t>A-0765</t>
  </si>
  <si>
    <t>CARABALI RESERV[ATION]</t>
  </si>
  <si>
    <t>Tract-style lettering at Gorgona; no structure marks - position is the label anchor.</t>
  </si>
  <si>
    <t>A-0766</t>
  </si>
  <si>
    <t>Emperador (Pueblo de Emperador)</t>
  </si>
  <si>
    <t>1900</t>
  </si>
  <si>
    <t>Chen 2014, fig. (Postal Vipert &amp; Dixon); MUCI biblio 6326</t>
  </si>
  <si>
    <t>'Pueblo de Emperador — la mayoría de tiendas pertenecía a chinos, década de 1900 a 1910' (postcard, Vipert &amp; Dixon). Chinese-owned commerce in the town of Emperador/Empire. Book also tabulates a 1908 census of the Chinese population of the Canal Zone by town (Cuadro 2).</t>
  </si>
  <si>
    <t>A-0767</t>
  </si>
  <si>
    <t>Chen 2014, fig.; MUCI biblio 6326</t>
  </si>
  <si>
    <t>'Tienda de mercancía general de Kam Lung Tai en el pueblo de Gorgona, Zona del Canal (1908)' — named Chinese-owned general store attests Gorgona as an inhabited commercial town in 1908. Book also tabulates a 1908 census of the Chinese population of the Canal Zone by town (Cuadro 2).</t>
  </si>
  <si>
    <t>A-0768</t>
  </si>
  <si>
    <t>Matachín</t>
  </si>
  <si>
    <t>Chen 2014, fig. (Ologwagdi); MUCI biblio 6326</t>
  </si>
  <si>
    <t>'Campamento de obreros chinos en Matachín' — Chinese labor camp at Matachín (railroad/canal construction era; the book covers 1852-1914 and the Sea Witch Chinese arrivals). Date left blank: caption undated.</t>
  </si>
  <si>
    <t>A-0769</t>
  </si>
  <si>
    <t>Cerro Paraíso</t>
  </si>
  <si>
    <t>'Huerto de propiedad de chinos en Cerro Paraíso en el área de la antigua Zona del Canal' — Chinese-owned market garden at Cerro Paraíso (Paraíso). Caption undated; construction-era context.</t>
  </si>
  <si>
    <t>A-0770</t>
  </si>
  <si>
    <t>Marks + label on the old Cruces trail; consistent across two audit windows.</t>
  </si>
  <si>
    <t>A-0771</t>
  </si>
  <si>
    <t>Building cluster + label, upper Chagres. Off-anchor region of the georef.</t>
  </si>
  <si>
    <t>A-0772</t>
  </si>
  <si>
    <t>Marks + label, upper Chagres; off-anchor region.</t>
  </si>
  <si>
    <t>A-0773</t>
  </si>
  <si>
    <t>Label only at trail/boundary junction; position is the label anchor.</t>
  </si>
  <si>
    <t>A-0774</t>
  </si>
  <si>
    <t>Marks + label + adjacent circle-cross symbol (church?), NW of El Vigia.</t>
  </si>
  <si>
    <t>A-0775</t>
  </si>
  <si>
    <t>Labeled 'Court House' on the EMPIRE plan. Registered 2026-09-13 (infrastructure mapping batch).</t>
  </si>
  <si>
    <t>A-0776</t>
  </si>
  <si>
    <t>PRR freight house beside the station. Registered 2026-09-13 (infrastructure mapping batch).</t>
  </si>
  <si>
    <t>A-0777</t>
  </si>
  <si>
    <t>Labeled 'Base Ball Park' on the EMPIRE plan; the CULEBRACAMPS Empire-Sabana sheet draws the same grounds (A-0600, repointed here) - two independent sources. Registered 2026-09-13 (infrastructure mapping batch).</t>
  </si>
  <si>
    <t>A-0778</t>
  </si>
  <si>
    <t>ICC hotel (gold-roll mess/lodging), labeled 'I.C.C. Hotel'. Registered 2026-09-13 (infrastructure mapping batch).</t>
  </si>
  <si>
    <t>A-0779</t>
  </si>
  <si>
    <t>Label only partially legible on the degraded photostat - identification tentative. Registered 2026-09-13 (infrastructure mapping batch).</t>
  </si>
  <si>
    <t>A-0780</t>
  </si>
  <si>
    <t>Labeled; found on the 2nd pass 2026-09-09. Registered 2026-09-13 (infrastructure mapping batch).</t>
  </si>
  <si>
    <t>A-0781</t>
  </si>
  <si>
    <t>Empire Machine Shop</t>
  </si>
  <si>
    <t>Labeled shop building, RR shops complex - one of six reads that constitute CZ-124.</t>
  </si>
  <si>
    <t>A-0782</t>
  </si>
  <si>
    <t>Empire Boiler Shop</t>
  </si>
  <si>
    <t>A-0783</t>
  </si>
  <si>
    <t>Empire Blacksmith's Shop</t>
  </si>
  <si>
    <t>A-0784</t>
  </si>
  <si>
    <t>Empire Erecting Shed</t>
  </si>
  <si>
    <t>A-0785</t>
  </si>
  <si>
    <t>Empire Transfer Table</t>
  </si>
  <si>
    <t>A-0786</t>
  </si>
  <si>
    <t>Empire Storehouse</t>
  </si>
  <si>
    <t>A-0787</t>
  </si>
  <si>
    <t>Labeled Y.M.C.A. - gold-roll (white) clubhouse; silver-roll workers excluded. Registered 2026-09-13 (infrastructure mapping batch).</t>
  </si>
  <si>
    <t>A-0788</t>
  </si>
  <si>
    <t>Labeled Fire Station. Registered 2026-09-13 (infrastructure mapping batch).</t>
  </si>
  <si>
    <t>A-0789</t>
  </si>
  <si>
    <t>Labeled Bank. Registered 2026-09-13 (infrastructure mapping batch).</t>
  </si>
  <si>
    <t>A-0790</t>
  </si>
  <si>
    <t>Labeled Post Office. Registered 2026-09-13 (infrastructure mapping batch).</t>
  </si>
  <si>
    <t>A-0791</t>
  </si>
  <si>
    <t>Labeled Dispensary (vertical lettering). The 2nd pass found NO hospital label on the sheet - this was the town's mapped medical facility (CZ-101 Empire Hospital remains a separate, textually-attested place with a placeholder location). Registered 2026-09-13 (infrastructure mapping batch).</t>
  </si>
  <si>
    <t>A-0792</t>
  </si>
  <si>
    <t>Labeled MARKET on the 1908 saloon-licensing plan. Registered 2026-09-13 (infrastructure mapping batch).</t>
  </si>
  <si>
    <t>A-0793</t>
  </si>
  <si>
    <t>Labeled Y.M.C.A. - gold-roll clubhouse. Registered 2026-09-13 (infrastructure mapping batch).</t>
  </si>
  <si>
    <t>A-0794</t>
  </si>
  <si>
    <t>Labeled Band Stand - plaza/recreation ground inferred around it. Registered 2026-09-13 (infrastructure mapping batch).</t>
  </si>
  <si>
    <t>A-0795</t>
  </si>
  <si>
    <t>Labeled I.C.C. HOTEL (gold-roll mess/lodging). Registered 2026-09-13 (infrastructure mapping batch).</t>
  </si>
  <si>
    <t>A-0796</t>
  </si>
  <si>
    <t>Labeled HOTEL, separate from the I.C.C. Hotel - a private (likely Panamanian-run) business; the only non-ICC commercial building labeled on the sheet. Registered 2026-09-13 (infrastructure mapping batch).</t>
  </si>
  <si>
    <t>A-0797</t>
  </si>
  <si>
    <t>Labeled YMCA Club House, sheet 014 (map 13 'CULEBRA'). Registered 2026-09-13 (infrastructure mapping batch).</t>
  </si>
  <si>
    <t>A-0798</t>
  </si>
  <si>
    <t>Labeled Culebra Hotel, sheet 014 - the ICC hotel of the crown town. Registered 2026-09-13 (infrastructure mapping batch).</t>
  </si>
  <si>
    <t>A-0799</t>
  </si>
  <si>
    <t>Labeled Post Office (building 3), sheet 014. Registered 2026-09-13 (infrastructure mapping batch).</t>
  </si>
  <si>
    <t>A-0800</t>
  </si>
  <si>
    <t>Labeled Church &amp; Lodge Hall, sheet 014 - shared religious/fraternal building. Registered 2026-09-13 (infrastructure mapping batch).</t>
  </si>
  <si>
    <t>A-0801</t>
  </si>
  <si>
    <t>Labeled 'Colored School' (building 73), sheet 014 - the segregated school, named as such on the official blueprint: direct erasure-mechanism evidence for the racial ordering of zone towns. Registered 2026-09-13 (infrastructure mapping batch).</t>
  </si>
  <si>
    <t>A-0802</t>
  </si>
  <si>
    <t>Labeled Commissary (building 69), sheet 014. Registered 2026-09-13 (infrastructure mapping batch).</t>
  </si>
  <si>
    <t>A-0803</t>
  </si>
  <si>
    <t>Labeled Fire Department, sheet 014. Registered 2026-09-13 (infrastructure mapping batch).</t>
  </si>
  <si>
    <t>A-0804</t>
  </si>
  <si>
    <t>Labeled Dispensary (building 231), sheet 014; District Physician adjacent. Registered 2026-09-13 (infrastructure mapping batch).</t>
  </si>
  <si>
    <t>A-0805</t>
  </si>
  <si>
    <t>Labeled Planing Mill (building 80), sheet 014. Registered 2026-09-13 (infrastructure mapping batch).</t>
  </si>
  <si>
    <t>A-0806</t>
  </si>
  <si>
    <t>Labeled Corral - southern outlier of the town, sheet 014. Registered 2026-09-13 (infrastructure mapping batch).</t>
  </si>
  <si>
    <t>A-0807</t>
  </si>
  <si>
    <t>Labeled Lumber Mill, sheet 013 (map 12 'Culebra on Dump') - industrial yard W of town; Planing Mill Storehouse adjacent (px 3910,5200). Registered 2026-09-13 (infrastructure mapping batch).</t>
  </si>
  <si>
    <t>A-0808</t>
  </si>
  <si>
    <t>Building labeled Depot, sheet 013 - the town's PRR depot. Registered 2026-09-13 (infrastructure mapping batch).</t>
  </si>
  <si>
    <t>A-0809</t>
  </si>
  <si>
    <t>Labeled Magazine (explosives store), sheet 013 - dynamite infrastructure of the Cut. Registered 2026-09-13 (infrastructure mapping batch).</t>
  </si>
  <si>
    <t>A-0810</t>
  </si>
  <si>
    <t>Labeled Engine House, sheet 006 (map 5 'LAS CASCADAS'). Registered 2026-09-13 (infrastructure mapping batch).</t>
  </si>
  <si>
    <t>A-0811</t>
  </si>
  <si>
    <t>Labeled Post Office, sheet 006. Registered 2026-09-13 (infrastructure mapping batch).</t>
  </si>
  <si>
    <t>A-0812</t>
  </si>
  <si>
    <t>Machine Shop / Boiler-Blacksmith / Storehouse complex SE of town along the OLD PRR - the French-era shops still standing June 1907, sheet 019 (map 17 'PARAISO'). Registered 2026-09-13 (infrastructure mapping batch).</t>
  </si>
  <si>
    <t>A-0813</t>
  </si>
  <si>
    <t>Labeled Hotel, sheet 019. Registered 2026-09-13 (infrastructure mapping batch).</t>
  </si>
  <si>
    <t>A-0814</t>
  </si>
  <si>
    <t>Rows labeled LABOR CAMP on sheet 021 (map 19 'P.MIGUEL') - laborers' housing drawn and named apart from the town proper. Roll composition not stated on the sheet (ICC labor camps were typically silver-roll); no textual source yet. Registered 2026-09-13 (infrastructure mapping batch).</t>
  </si>
  <si>
    <t>A-0815</t>
  </si>
  <si>
    <t>Shops/roundhouse area SE of town, sheet 021 - labels only partially legible, identification tentative. Registered 2026-09-13 (infrastructure mapping batch).</t>
  </si>
  <si>
    <t>A-0816</t>
  </si>
  <si>
    <t>Empire-Sabana Corral</t>
  </si>
  <si>
    <t>Labeled Corral, sheet 011 (map 10 'EMPIRE-SABANA'); re-anchored 2026-09-09 with the EMPIRE plan.</t>
  </si>
  <si>
    <t>A-0817</t>
  </si>
  <si>
    <t>Empire-Sabana SE loop quarters</t>
  </si>
  <si>
    <t>Quarters drawn, Sabana district S/SW of the ballpark, sheet 011; re-anchored 2026-09-09.</t>
  </si>
  <si>
    <t>A-0818</t>
  </si>
  <si>
    <t>Culebra W hill quarters block</t>
  </si>
  <si>
    <t>Numbered quarters (109-138 etc.) on the hillside loop road, NW part of town, sheet 014.</t>
  </si>
  <si>
    <t>A-0819</t>
  </si>
  <si>
    <t>Bas Obispo W cluster</t>
  </si>
  <si>
    <t>Buildings drawn W of the village, sheet 002 (map 1 'BAS-OBISPO').</t>
  </si>
  <si>
    <t>A-0820</t>
  </si>
  <si>
    <t>Bas Obispo E hillside cluster</t>
  </si>
  <si>
    <t>Buildings drawn on the hillside E of the village, sheet 002.</t>
  </si>
  <si>
    <t>A-0821</t>
  </si>
  <si>
    <t>Las Cascadas NE quarters rows</t>
  </si>
  <si>
    <t>Double rows of quarters NE of town, sheet 006 - likely continuous with the Cunette camp band.</t>
  </si>
  <si>
    <t>A-0822</t>
  </si>
  <si>
    <t>Cucaracha ICC camp (highlighted buildings)</t>
  </si>
  <si>
    <t>Highlighted new ICC quarters beside the village, sheet 018 (map 16 'CUCARACHA').</t>
  </si>
  <si>
    <t>A-0823</t>
  </si>
  <si>
    <t>Cucaracha W outlier cluster</t>
  </si>
  <si>
    <t>Buildings drawn W of the village, sheet 018 - read confidence low.</t>
  </si>
  <si>
    <t>A-0824</t>
  </si>
  <si>
    <t>'To be filled' lagoon at Paraiso</t>
  </si>
  <si>
    <t>Lagoon labeled 'To be filled', sheet 019 - erasure-in-progress evidence: a wetland scheduled for burial, June 1907.</t>
  </si>
  <si>
    <t>A-0825</t>
  </si>
  <si>
    <t>Pedro Miguel main-street buildings</t>
  </si>
  <si>
    <t>Buildings along the main street, sheet 021.</t>
  </si>
  <si>
    <t>A-0826</t>
  </si>
  <si>
    <t>Cunette SOUTH end quarters rows</t>
  </si>
  <si>
    <t>Sheet 009 (map 8 'CUNETTE (SOUTH END)'): one continuous camp Sta ~1544-1590 between Buena Vista and Las Cascadas - verifies sheet 008's Cunette read.</t>
  </si>
  <si>
    <t>A-0827</t>
  </si>
  <si>
    <t>Cunette S central building</t>
  </si>
  <si>
    <t>Large building drawn, sheet 009.</t>
  </si>
  <si>
    <t>A-0828</t>
  </si>
  <si>
    <t>Cunette S far-SE pair</t>
  </si>
  <si>
    <t>Buildings drawn abutting the Las Cascadas town reach, sheet 009.</t>
  </si>
  <si>
    <t>A-0829</t>
  </si>
  <si>
    <t>Police Sta.</t>
  </si>
  <si>
    <t>Labeled in Paraiso town, sheet 019 - read 2026-09-13 during footprint tracing.</t>
  </si>
  <si>
    <t>A-0830</t>
  </si>
  <si>
    <t>Paraiso Storehouse</t>
  </si>
  <si>
    <t>Labeled shop building, sheet 019 - one of the buildings constituting CZ-150; read 2026-09-13 during footprint tracing.</t>
  </si>
  <si>
    <t>A-0831</t>
  </si>
  <si>
    <t>Paraiso Carpenter Shop</t>
  </si>
  <si>
    <t>A-0832</t>
  </si>
  <si>
    <t>Paraiso Iron Rack</t>
  </si>
  <si>
    <t>A-0833</t>
  </si>
  <si>
    <t>Paraiso Machine Shop</t>
  </si>
  <si>
    <t>A-0834</t>
  </si>
  <si>
    <t>Paraiso Boiler + Blacksmith Shop</t>
  </si>
  <si>
    <t>A-0835</t>
  </si>
  <si>
    <t>SURVEYS1908 Map No.2 (absence audit 2026-09-13)</t>
  </si>
  <si>
    <t>Labeled with buildings (2026-09-08 harvest read, orphaned - CZ-081 did not exist yet; linked by audit).</t>
  </si>
  <si>
    <t>A-0836</t>
  </si>
  <si>
    <t>SURVEYS1908 Map No.3 (absence audit 2026-09-13)</t>
  </si>
  <si>
    <t>Town + street grid + B.B. Field drawn (Map No.3 arbitration read of 2026-09-09, never entered as an attestation; linked by audit). [M3 Pacific re-anchor 2026-09-14: coords transformed to the corrected frame (TPS vs the 1947 graticule sheet).]</t>
  </si>
  <si>
    <t>A-0837</t>
  </si>
  <si>
    <t>MACHINE SHOPS</t>
  </si>
  <si>
    <t>Labeled MACHINE SHOPS - same layout as the EMPIRE plan (orphaned 2026-09-09 read linked). [M3 Pacific re-anchor 2026-09-14: coords transformed to the corrected frame (TPS vs the 1947 graticule sheet).]</t>
  </si>
  <si>
    <t>A-0838</t>
  </si>
  <si>
    <t>Culebra (rim town)</t>
  </si>
  <si>
    <t>Building-level town drawn; lands exactly on the multi-source cluster (orphaned read linked). [M3 Pacific re-anchor 2026-09-14: coords transformed to the corrected frame (TPS vs the 1947 graticule sheet).]</t>
  </si>
  <si>
    <t>A-0839</t>
  </si>
  <si>
    <t>Village + label, ~700 m W of the 1947-frame position (orphaned read linked). [M3 Pacific re-anchor 2026-09-14: coords transformed to the corrected frame (TPS vs the 1947 graticule sheet).]</t>
  </si>
  <si>
    <t>A-0840</t>
  </si>
  <si>
    <t>Village clusters beside a physical fold band (orphaned read linked). [M3 Pacific re-anchor 2026-09-14: coords transformed to the corrected frame (TPS vs the 1947 graticule sheet).]</t>
  </si>
  <si>
    <t>A-0841</t>
  </si>
  <si>
    <t>Diamond-grid village + label, ~550 m NW of the merged 1907/09 position - claim recorded, not averaged (orphaned read linked). [M3 Pacific re-anchor 2026-09-14: coords transformed to the corrected frame (TPS vs the 1947 graticule sheet).]</t>
  </si>
  <si>
    <t>A-0842</t>
  </si>
  <si>
    <t>Pre-lock village + PEDRO MIGUEL YARD + planned 90-ft lock flight (orphaned read linked). [M3 Pacific re-anchor 2026-09-14: coords transformed to the corrected frame (TPS vs the 1947 graticule sheet).]</t>
  </si>
  <si>
    <t>A-0843</t>
  </si>
  <si>
    <t>Station + building grid (orphaned read linked). [M3 Pacific re-anchor 2026-09-14: coords transformed to the corrected frame (TPS vs the 1947 graticule sheet).]</t>
  </si>
  <si>
    <t>A-0844</t>
  </si>
  <si>
    <t>MATACHIN</t>
  </si>
  <si>
    <t>Spread name + village buildings + a large ORDERED ICC CAMP GRID in the canal prism. FALSIFIES the GEOREF_LOG series-gap claim: Matachin IS on Map No.2. [Coords = stored workbook point; read verified at that position.]</t>
  </si>
  <si>
    <t>A-0845</t>
  </si>
  <si>
    <t>BAS OBISPO</t>
  </si>
  <si>
    <t>Spread name + extensive buildings along the line - also on Map No.2, against the series-gap claim. [Coords = stored workbook point; read verified at that position.]</t>
  </si>
  <si>
    <t>A-0846</t>
  </si>
  <si>
    <t>LAS CASCADAS</t>
  </si>
  <si>
    <t>Full village drawn (house rows + sidings) with spread name. [Coords = stored workbook point; read verified at that position.]</t>
  </si>
  <si>
    <t>A-0847</t>
  </si>
  <si>
    <t>LAS CASADAS</t>
  </si>
  <si>
    <t>Road-label spelling variant on the same sheet.</t>
  </si>
  <si>
    <t>A-0848</t>
  </si>
  <si>
    <t>TAVERNILLA</t>
  </si>
  <si>
    <t>Rail yard + building rows drawn; sheet spells the name TAVERNILLA (V) - name variant recorded separately. [Coords = stored workbook point; read verified at that position.]</t>
  </si>
  <si>
    <t>A-0849</t>
  </si>
  <si>
    <t>V-spelling on the 1905-06 survey.</t>
  </si>
  <si>
    <t>A-0850</t>
  </si>
  <si>
    <t>MAMEI</t>
  </si>
  <si>
    <t>District spread-lettering + station-side building row on the old line.</t>
  </si>
  <si>
    <t>A-0851</t>
  </si>
  <si>
    <t>Red label along the canal prism reach. [Coords = stored workbook point; read verified at that position.]</t>
  </si>
  <si>
    <t>A-0852</t>
  </si>
  <si>
    <t>Baila[monos]</t>
  </si>
  <si>
    <t>Spread lettering + riverside structures in the window; the exact village cluster is ambiguous. NOTE: stored coordinate differs ~1.7 km from the ICC1909 read (A-0520) - unarbitrated. [Coords = stored workbook point; read verified at that position.]</t>
  </si>
  <si>
    <t>A-0853</t>
  </si>
  <si>
    <t>CRISTOBAL / COLON</t>
  </si>
  <si>
    <t>SURVEYS1908 Map No.1 (absence audit 2026-09-13)</t>
  </si>
  <si>
    <t>Full street grid + wharves drawn (Colon and the Cristobal blocks). [Coords = stored workbook point; read verified at that position.]</t>
  </si>
  <si>
    <t>A-0854</t>
  </si>
  <si>
    <t>MOUNT HOPE</t>
  </si>
  <si>
    <t>Labeled with buildings + PROPOSED RELOCATION line. [Coords = stored workbook point; read verified at that position.]</t>
  </si>
  <si>
    <t>A-0855</t>
  </si>
  <si>
    <t>Labeled with building cluster; a second unlabeled building row NE near M.O.15. [Coords = stored workbook point; read verified at that position.]</t>
  </si>
  <si>
    <t>A-0856</t>
  </si>
  <si>
    <t>Labeled beside Las Penitas at the river bend. [Coords = stored workbook point; read verified at that position.]</t>
  </si>
  <si>
    <t>A-0857</t>
  </si>
  <si>
    <t>Labeled; ANCON HOSPITAL complex + ANCON CEMETERY + CHINESE CEMETERY labeled on the hill (unregistered features in harvest CSV). [Coords = stored workbook point; read verified at that position.] [M3 Pacific re-anchor 2026-09-14: coords transformed to the corrected frame (TPS vs the 1947 graticule sheet).]</t>
  </si>
  <si>
    <t>A-0858</t>
  </si>
  <si>
    <t>East La Boca</t>
  </si>
  <si>
    <t>Labeled East La Boca with building rows on the Sosa slopes + La Boca Road/Wharf/Dump - the town under its own name in 1905-06, before the BALBOA relabeling (A-0682). [M3 Pacific re-anchor 2026-09-14: coords transformed to the corrected frame (TPS vs the 1947 graticule sheet).]</t>
  </si>
  <si>
    <t>A-0859</t>
  </si>
  <si>
    <t>Directional variant; feeds the name timeline between 'La Boca' and the 1908 'BALBOA'.</t>
  </si>
  <si>
    <t>A-0860</t>
  </si>
  <si>
    <t>Camp Diablo script + DIABLO hill labeled - on the 1905-06 survey, so the camp PREDATES the workbook's 1907 start date (lifespan note). [M3 Pacific re-anchor 2026-09-14: coords transformed to the corrected frame (TPS vs the 1947 graticule sheet).]</t>
  </si>
  <si>
    <t>A-0861</t>
  </si>
  <si>
    <t>Labeled with building clusters ~940 m N of the stored point; RIO GRANDE SUPERIOR labeled nearby (corroborates the 1895 French claim's toponym). [M3 Pacific re-anchor 2026-09-14: coords transformed to the corrected frame (TPS vs the 1947 graticule sheet).]</t>
  </si>
  <si>
    <t>A-0862</t>
  </si>
  <si>
    <t>Labeled with quarters rows E of Empire - a THIRD position claim for Lirio (1909: 9.053,-79.653; camp/hill conflation suspected across sheets; not arbitrated). [M3 Pacific re-anchor 2026-09-14: coords transformed to the corrected frame (TPS vs the 1947 graticule sheet).]</t>
  </si>
  <si>
    <t>A-0863</t>
  </si>
  <si>
    <t>Paraiso shops</t>
  </si>
  <si>
    <t>Dense building complex drawn by the RR at Paraiso (unlabeled). [Coords = stored workbook point; read verified at that position.] [M3 Pacific re-anchor 2026-09-14: coords transformed to the corrected frame (TPS vs the 1947 graticule sheet).]</t>
  </si>
  <si>
    <t>A-0864</t>
  </si>
  <si>
    <t>B.B. FIELD</t>
  </si>
  <si>
    <t>Base Ball Field labeled on the survey - second source after the encampment plans (A-0600). [Coords = stored workbook point; read verified at that position.] [M3 Pacific re-anchor 2026-09-14: coords transformed to the corrected frame (TPS vs the 1947 graticule sheet).]</t>
  </si>
  <si>
    <t>A-0865</t>
  </si>
  <si>
    <t>Italic label at the locality on Map No.2 - predates the camp; stream-name vs settlement ambiguous, so Name only.</t>
  </si>
  <si>
    <t>A-0866</t>
  </si>
  <si>
    <t>Palo Grande (rio)</t>
  </si>
  <si>
    <t>Rio Palo Grande hydronym at the drawn edge of Map No.2; site itself at the sheet margin.</t>
  </si>
  <si>
    <t>A-0867</t>
  </si>
  <si>
    <t>Full-detail terrain drawn at the site (Map No.2); no settlement, no label.</t>
  </si>
  <si>
    <t>A-0868</t>
  </si>
  <si>
    <t>Gamboa reach drawn; absent. (The 2026-09-08 harvest note already flagged the label unfound at the sheet fold.)</t>
  </si>
  <si>
    <t>A-0869</t>
  </si>
  <si>
    <t>STRONGEST negative for this place: 1:12,000 building-level survey (Map No.1) with PRR and terrain fully drawn at the expected site - nothing. Fourth source-negative.</t>
  </si>
  <si>
    <t>A-0870</t>
  </si>
  <si>
    <t>Reach drawn on Map No.2 (Aojeta stream labeled, matching the 1862 'Qa Aujeda'); no village at the stored point; one unlabeled structure E. Map No.1 torn at this edge. The 1862 pueblo lay ~600 m SW.</t>
  </si>
  <si>
    <t>A-0871</t>
  </si>
  <si>
    <t>Same windows as CZ-031; not named. NOTE identity question: the 1862 sheet's 'El Pueblo de -ista Vista' (read for CZ-031) could bear on Isla Vista. | repointed CZ-074 -&gt; CZ-031 2026-09-13 (Isla Vista ruled a probable label artifact)</t>
  </si>
  <si>
    <t>A-0872</t>
  </si>
  <si>
    <t>Lion Hill and Ahorca Lagarto labeled; between them an UNLABELED structure row + spur on the line - possibly the station itself, drawn nameless. Third sheet without the name.</t>
  </si>
  <si>
    <t>A-0873</t>
  </si>
  <si>
    <t>Obispo reach fully drawn; absent (present on 1895 + 1911 sheets - the survey and zone-map silences bracket it).</t>
  </si>
  <si>
    <t>A-0874</t>
  </si>
  <si>
    <t>Unnamed camp grids near the expected site in the prism; not named.</t>
  </si>
  <si>
    <t>A-0875</t>
  </si>
  <si>
    <t>Absent at the stored (blueprint-verified) position on the 1905-06 survey; the camp era had not begun.</t>
  </si>
  <si>
    <t>A-0876</t>
  </si>
  <si>
    <t>Empire windows searched (Map No.3); absent - fifth sheet.</t>
  </si>
  <si>
    <t>A-0877</t>
  </si>
  <si>
    <t>Site falls in the RIO GRANDE RESERVOIR / WATER SHED AREA (2015.35 acres) on Map No.3; no village drawn.</t>
  </si>
  <si>
    <t>A-0878</t>
  </si>
  <si>
    <t>Unlabeled quarters rows near the site; not named (named CERRO at K.52 only on the 1911 sheet).</t>
  </si>
  <si>
    <t>A-0879</t>
  </si>
  <si>
    <t>SOURCE CONFLICT: the 1:12,000 survey draws full detail at the site and shows NO village, yet the 1909 zone map places a town dot here (A-052x). Recorded, not resolved. | RULED 2026-09-14: NOT a conflict - corroboration. Per the founding date (no settlement before the US era), this absence is the dated LOWER bound of the founding window ('c.1906-1909?'); the 1909 town dot is the upper. The village is an ICC-era creation at the locks site.</t>
  </si>
  <si>
    <t>A-0880</t>
  </si>
  <si>
    <t>AGUADULCE hill labeled beside the site; no village.</t>
  </si>
  <si>
    <t>A-0881</t>
  </si>
  <si>
    <t>Not named on the 1905-06 survey - the settlement is named ONLY on the 1911 property map.</t>
  </si>
  <si>
    <t>A-0882</t>
  </si>
  <si>
    <t>Empire drawn at building level but civic functions unlabeled - the survey names industry (MACHINE SHOPS) and recreation (B.B. FIELD) only.</t>
  </si>
  <si>
    <t>A-0883</t>
  </si>
  <si>
    <t>Empire drawn at building level but civic functions unlabeled - the survey names industry (MACHINE SHOPS) and recreation (B.B. FIELD) only. | repointed CZ-106 -&gt; CZ-120 2026-09-13 (Grand Stand label misread on mirrored text)</t>
  </si>
  <si>
    <t>A-0884</t>
  </si>
  <si>
    <t>A-0885</t>
  </si>
  <si>
    <t>A-0886</t>
  </si>
  <si>
    <t>El Pueblo de Matachin</t>
  </si>
  <si>
    <t>CHAGRES1867 (absence audit 2026-09-13)</t>
  </si>
  <si>
    <t>'El Pueblo de Matachin' labeled with village marks on the river. Coordinates = stored point (sheet compression makes local reads unreliable). [Coords = stored workbook point; read verified at that position.]</t>
  </si>
  <si>
    <t>A-0887</t>
  </si>
  <si>
    <t>CRUCES</t>
  </si>
  <si>
    <t>Labeled with village marks + cross symbol at the Chagres crossing. [Coords = stored workbook point; read verified at that position.]</t>
  </si>
  <si>
    <t>A-0888</t>
  </si>
  <si>
    <t>Labeled at milepost 13, at the Rio Juan Gallegos confluence. [Coords = stored workbook point; read verified at that position.]</t>
  </si>
  <si>
    <t>A-0889</t>
  </si>
  <si>
    <t>Labeled with village marks; 'Cansaloma' village labeled on the opposite bank (unregistered, harvest CSV) and RIO CARAVALI labeled just south - the Carabali toponym (CZ-112) already present in 1862. [Coords = stored workbook point; read verified at that position.]</t>
  </si>
  <si>
    <t>A-0890</t>
  </si>
  <si>
    <t>El Pueblo de [Buena] Vista</t>
  </si>
  <si>
    <t>'El Pueblo de...ista Vista' labeled with village marks at milepost 17, inside the 'Buhio Soldado' tract. Read attached to Buena Vista as best fit; possible bearing on CZ-074 Isla Vista flagged.</t>
  </si>
  <si>
    <t>A-0891</t>
  </si>
  <si>
    <t>FIRST FIX. Labeled with village marks on the Chagres below Ahorca Lagarto. Lower-river compression zone: honest +-800 m, treat as Low spatial certainty.</t>
  </si>
  <si>
    <t>A-0892</t>
  </si>
  <si>
    <t>Labeled at the PRR bridge site. [Coords = stored workbook point; read verified at that position.]</t>
  </si>
  <si>
    <t>A-0893</t>
  </si>
  <si>
    <t>Station labeled. [Coords = stored workbook point; read verified at that position.]</t>
  </si>
  <si>
    <t>A-0894</t>
  </si>
  <si>
    <t>el Pueblo de Chagres</t>
  </si>
  <si>
    <t>The sheet reserves land 'para el Pueblo de Chagres' - the town attested as a LEGAL LAND-HOLDER in the PRR claims record; town symbol off the drawn area.</t>
  </si>
  <si>
    <t>A-0895</t>
  </si>
  <si>
    <t>Estacion de Obispo</t>
  </si>
  <si>
    <t>1862 PRR station name at the sheet edge - earliest Obispo-station attestation.</t>
  </si>
  <si>
    <t>A-0896</t>
  </si>
  <si>
    <t>Palo Matias (las tierras llamadas)</t>
  </si>
  <si>
    <t>Giant tract lettering: 'Las tierras llamadas Palo Matias perteneciendo a Jose Manuel Villaverde'. 'Palo Matias Nuevo' script nearby (harvest CSV). Village not drawn.</t>
  </si>
  <si>
    <t>A-0897</t>
  </si>
  <si>
    <t>BailaMonos (las tierras de los herederos de Tomas Dutari)</t>
  </si>
  <si>
    <t>The hamlet's name in 1862 = an inherited land tract; 'Tierras Baldias' (vacant lands) adjoin. Village not drawn.</t>
  </si>
  <si>
    <t>A-0898</t>
  </si>
  <si>
    <t>Buhio Soldado</t>
  </si>
  <si>
    <t>Tract lettering variant of Bohio (paired with Qa Buhio Soldado).</t>
  </si>
  <si>
    <t>A-0899</t>
  </si>
  <si>
    <t>Pena Blanca (Abajo / El Medio / Arriba)</t>
  </si>
  <si>
    <t>Tract with three named subdivisions - the name is 22 years OLDER than the workbook's c.1884 start (lifespan note).</t>
  </si>
  <si>
    <t>A-0900</t>
  </si>
  <si>
    <t>Juan Grande (rio/tierras)</t>
  </si>
  <si>
    <t>River + tract lettering; no village drawn in 1862.</t>
  </si>
  <si>
    <t>A-0901</t>
  </si>
  <si>
    <t>Rio Juan Gallegos</t>
  </si>
  <si>
    <t>Hydronym only - the name exists in 1862 as a river; no settlement.</t>
  </si>
  <si>
    <t>A-0902</t>
  </si>
  <si>
    <t>Qa Agua Clara</t>
  </si>
  <si>
    <t>Hydronym only - with this, Agua Clara appears as WATER (stream/reservoir) on all four sheets 1862-1947 while the village never once appears on official cartography.</t>
  </si>
  <si>
    <t>A-0903</t>
  </si>
  <si>
    <t>Rio Mindi</t>
  </si>
  <si>
    <t>Hydronym; grants of M.A. de Jaramillo incl. tract 'Nuevo Mundo de Dios' adjoin (harvest CSV).</t>
  </si>
  <si>
    <t>A-0904</t>
  </si>
  <si>
    <t>Corridor drawn (tracts, stations); not depicted.</t>
  </si>
  <si>
    <t>A-0905</t>
  </si>
  <si>
    <t>Same windows as Caimito; not depicted.</t>
  </si>
  <si>
    <t>A-0906</t>
  </si>
  <si>
    <t>River reach drawn; absent.</t>
  </si>
  <si>
    <t>A-0907</t>
  </si>
  <si>
    <t>Site drawn and labeled COLON (Aspinwall) with fanegada grants - Cristobal does not yet exist; a temporal negative documenting the name's later arrival.</t>
  </si>
  <si>
    <t>A-0908</t>
  </si>
  <si>
    <t>Window drawn (grants, Deposito); Monkey Hill (the pre-1905 name) not labeled in the searched window.</t>
  </si>
  <si>
    <t>A-0909</t>
  </si>
  <si>
    <t>Rio Gatun country drawn as streams + tracts (Cuatro Calle, Guineal); no village.</t>
  </si>
  <si>
    <t>A-0910</t>
  </si>
  <si>
    <t>Gorgona reach fully drawn; absent in 1862 (present on the 1905-06 survey and 1911 sheet - a settlement that APPEARS between 1862 and 1905).</t>
  </si>
  <si>
    <t>A-0911</t>
  </si>
  <si>
    <t>Reach carries only pencil annotations (Rio Chagres / Rio Chilibre / posts); sheet sparse here.</t>
  </si>
  <si>
    <t>A-0912</t>
  </si>
  <si>
    <t>Cath. Church</t>
  </si>
  <si>
    <t>EMPIRE plan (absence audit 2026-09-13)</t>
  </si>
  <si>
    <t>Labeled Cath. Church on the town plan - the read that already provides CZ-107's coordinate (equated 2026-09-09) but never had its attestation; added by audit. [Coords = stored workbook point; read verified at that position.]</t>
  </si>
  <si>
    <t>A-0913</t>
  </si>
  <si>
    <t>Whitehouse E cluster</t>
  </si>
  <si>
    <t>Quarters drawn, E cluster of the Whitehouse camp, sheet 007 (map 6 'WHITEHOUSE') - the 2026-09-08 harvest's second Whitehouse read, found unattested by the 2026-09-13 audit (W cluster = A-0639).</t>
  </si>
  <si>
    <t>A-0914</t>
  </si>
  <si>
    <t>GORPAN1895 (absence audit 2026-09-13)</t>
  </si>
  <si>
    <t>Spread lettering across the hill between Matachin and Gamboa. THIRD source for Santa Cruz's presence (1895 + 1911 vs the 1910 zone map's negative A-0032 - that silence is now provably sheet-specific). [Re-anchored 2026-09-14: SH1 refit to the 1905-06 Map No.3 frame (5-anchor LSQ, residuals 96-216 m, held-out Gamboa 99 m); the 2026-09-08 warp used the retired SH2 series scale (~8% too large).]</t>
  </si>
  <si>
    <t>A-0915</t>
  </si>
  <si>
    <t>GAMBOA</t>
  </si>
  <si>
    <t>Labeled with red buildings and the Pont metallique (metal bridge) at the Chagres crossing. [Re-anchored 2026-09-14: SH1 refit to the 1905-06 Map No.3 frame (5-anchor LSQ, residuals 96-216 m, held-out Gamboa 99 m); the 2026-09-08 warp used the retired SH2 series scale (~8% too large).]</t>
  </si>
  <si>
    <t>A-0916</t>
  </si>
  <si>
    <t>Labeled with red buildings + black village dots - the 1862 tract name is a living village + camp by 1895. [Re-anchored 2026-09-14: SH1 refit to the 1905-06 Map No.3 frame (5-anchor LSQ, residuals 96-216 m, held-out Gamboa 99 m); the 2026-09-08 warp used the retired SH2 series scale (~8% too large).]</t>
  </si>
  <si>
    <t>A-0917</t>
  </si>
  <si>
    <t>Campement de Caballo Viejo</t>
  </si>
  <si>
    <t>French campement labeled with red buildings - the camp phase of the arc: absent 1862, campement 1895, village 1905/1911, gone by 1947. [Re-anchored 2026-09-14: SH1 refit to the 1905-06 Map No.3 frame (5-anchor LSQ, residuals 96-216 m, held-out Gamboa 99 m); the 2026-09-08 warp used the retired SH2 series scale (~8% too large).]</t>
  </si>
  <si>
    <t>A-0918</t>
  </si>
  <si>
    <t>French-era name form.</t>
  </si>
  <si>
    <t>A-0919</t>
  </si>
  <si>
    <t>Ancon (Cerro Ancon / Hopital)</t>
  </si>
  <si>
    <t>Red buildings along the Cerro Ancon road + the French HOPITAL pavilion complex drawn east - the Ancon hospital feature already present in 1895. [Coords = stored workbook point.]</t>
  </si>
  <si>
    <t>A-0920</t>
  </si>
  <si>
    <t>Cerro de Casa Blanca</t>
  </si>
  <si>
    <t>The hill at Whitehouse's site carries the SPANISH name in 1895 - 'Whitehouse' is its translation; the camp later takes the translated name. Toponym ancestry recorded.</t>
  </si>
  <si>
    <t>A-0921</t>
  </si>
  <si>
    <t>Rio Carabali</t>
  </si>
  <si>
    <t>Hydronym labeled again (after 1862) - second cartographic attestation of the Carabali toponym at Gorgona.</t>
  </si>
  <si>
    <t>A-0922</t>
  </si>
  <si>
    <t>Drawn area covers the site (sheet edge adjacent); no village symbol or label - Cruces largely defunct after the railroad era.</t>
  </si>
  <si>
    <t>A-0923</t>
  </si>
  <si>
    <t>Culebra campements drawn in force; Enterprise absent - it exists only in the 1905-1911 window.</t>
  </si>
  <si>
    <t>A-0924</t>
  </si>
  <si>
    <t>Site drawn (Cerro Mariotte / Quebrada Molleron reach); not named. NOTE: a second 'CARTAGENITA' with buildings appears on the PANAMA sheet near the Rio Curundu (~8.958,-79.565) - unregistered namesake candidate, see GORPAN1895_town_positions.csv.</t>
  </si>
  <si>
    <t>A-0925</t>
  </si>
  <si>
    <t>Carabali (settlement)</t>
  </si>
  <si>
    <t>Hydronym only in 1895; no reservation or settlement label (the RESERVATION lettering is 1911-only so far).</t>
  </si>
  <si>
    <t>A-0926</t>
  </si>
  <si>
    <t>CULEBRA1910 (absence audit 2026-09-13)</t>
  </si>
  <si>
    <t>Cross-plan building labeled Church on the 1910 town map - second source after the 1907 blueprint. [Coords = stored workbook point.]</t>
  </si>
  <si>
    <t>A-0927</t>
  </si>
  <si>
    <t>New Commissary 163</t>
  </si>
  <si>
    <t>CULEBRA1910 (label pass 2026-09-13)</t>
  </si>
  <si>
    <t>Labeled 'New Commissary 163' - the commissary present on the 1910 town map, and RENAMED 'New' (the 1907 blueprint's commissary was a different/earlier building ~250 m SE).</t>
  </si>
  <si>
    <t>A-0928</t>
  </si>
  <si>
    <t>Label pass over all old-town quadrants (rotated high-res): buildings appear only as NUMBERED quarters/blocks; this function is not labeled (the sheet does label Church, New Commissary, Baptist Mission church 164, garages, storehouses). Structure-under-a-number indeterminate - label absence only. HIGH-RES PASS 2026-09-14: the 1907 site is unlabeled, but an 'I.C.C. Club House' is LABELED at 9.042088,-79.650688 - ~1.0 km SE in the post-slide new town. Identity unresolved (relocated vs new): features CSV.</t>
  </si>
  <si>
    <t>A-0929</t>
  </si>
  <si>
    <t>Label pass over all old-town quadrants (rotated high-res): buildings appear only as NUMBERED quarters/blocks; this function is not labeled (the sheet does label Church, New Commissary, Baptist Mission church 164, garages, storehouses). Structure-under-a-number indeterminate - label absence only. HIGH-RES PASS 2026-09-14: 1907 site unlabeled, but 'C.C. Culebra Hotel' is LABELED at 9.040314,-79.649322 - ~1.1 km SE in the new town. Identity unresolved.</t>
  </si>
  <si>
    <t>A-0930</t>
  </si>
  <si>
    <t>Label pass over all old-town quadrants (rotated high-res): buildings appear only as NUMBERED quarters/blocks; this function is not labeled (the sheet does label Church, New Commissary, Baptist Mission church 164, garages, storehouses). Structure-under-a-number indeterminate - label absence only. HIGH-RES PASS 2026-09-14: 1907 site unlabeled, but 'Post Office 13' is LABELED at 9.040057,-79.648325 - ~1.2 km SE in the new town. Identity unresolved.</t>
  </si>
  <si>
    <t>A-0931</t>
  </si>
  <si>
    <t>Label pass over all old-town quadrants (rotated high-res): buildings appear only as NUMBERED quarters/blocks; this function is not labeled (the sheet does label Church, New Commissary, Baptist Mission church 164, garages, storehouses). Structure-under-a-number indeterminate - label absence only. HIGH-RES PASS 2026-09-14: '130 School' is LABELED at 9.046427,-79.654344 - 415 m SSE of the stored 1907 Colored School site, and WITHOUT the racial designation the 1907 blueprint carried. Same school renumbered/moved, or the white school? Ruling pending - either way the 'Colored' label vanishes from the official map by 1910.</t>
  </si>
  <si>
    <t>A-0932</t>
  </si>
  <si>
    <t>Label pass over all old-town quadrants (rotated high-res): buildings appear only as NUMBERED quarters/blocks; this function is not labeled (the sheet does label Church, New Commissary, Baptist Mission church 164, garages, storehouses). Structure-under-a-number indeterminate - label absence only. HIGH-RES PASS 2026-09-14 confirms: no Fire Department label anywhere on the sheet.</t>
  </si>
  <si>
    <t>A-0933</t>
  </si>
  <si>
    <t>Label pass over all old-town quadrants (rotated high-res): buildings appear only as NUMBERED quarters/blocks; this function is not labeled (the sheet does label Church, New Commissary, Baptist Mission church 164, garages, storehouses). Structure-under-a-number indeterminate - label absence only. HIGH-RES PASS 2026-09-14 confirms: no Dispensary label anywhere on the sheet.</t>
  </si>
  <si>
    <t>A-0934</t>
  </si>
  <si>
    <t>Label pass over all old-town quadrants (rotated high-res): buildings appear only as NUMBERED quarters/blocks; this function is not labeled (the sheet does label Church, New Commissary, Baptist Mission church 164, garages, storehouses). Structure-under-a-number indeterminate - label absence only. HIGH-RES PASS 2026-09-14: 1907 site unlabeled, but 'Corral 41' and '35 Corral' are LABELED at 9.038274,-79.65137 (+ Wagon Shed, Harness bldg) - ~1.2 km SE. Identity unresolved.</t>
  </si>
  <si>
    <t>A-0935</t>
  </si>
  <si>
    <t>Label pass over all old-town quadrants (rotated high-res): buildings appear only as NUMBERED quarters/blocks; this function is not labeled (the sheet does label Church, New Commissary, Baptist Mission church 164, garages, storehouses). Structure-under-a-number indeterminate - label absence only. HIGH-RES PASS 2026-09-14 confirms: no depot label; the west rail strip carries only numbered quarters and an unlabeled bldg 12 by the tracks.</t>
  </si>
  <si>
    <t>A-0936</t>
  </si>
  <si>
    <t>Industrial yard relabeled by 1910: Tin Shop 43, [Electrical] Substation, Storehouse C.M. 170, Storehouse Track Dept 37 - this 1907 facility's label is gone; plant turnover between blueprint and town map. HIGH-RES PASS 2026-09-14 confirms the yard relabeling verdict.</t>
  </si>
  <si>
    <t>A-0937</t>
  </si>
  <si>
    <t>A-0938</t>
  </si>
  <si>
    <t>A-0939</t>
  </si>
  <si>
    <t>Canal Record page search (audit probe 2026-09-13)</t>
  </si>
  <si>
    <t>152 Canal Record page hits (UFDC full-text probe of audit-born places; first: v00011/p182, full list in data/ufdc/audit_probe_20260913.csv). Page-level import + KWIC verification pending. Dated to the first hit volume; later pages may extend the range (import pending). KWIC VERIFIED: hits are predominantly the Juan Mina HYDROGRAPHIC/RAIN STATION in monthly tables (with Alhajuela, Vigia, Darien) - attests an occupied named site; village-life mentions not yet isolated.</t>
  </si>
  <si>
    <t>A-0940</t>
  </si>
  <si>
    <t>2 Canal Record page hits (UFDC full-text probe of audit-born places; first: v00005/p298, full list in data/ufdc/audit_probe_20260913.csv). Page-level import + KWIC verification pending. Dated to the first hit volume; later pages may extend the range (import pending). KWIC VERIFIED: 1914-15 claims award for "the lands of Penas Blancas and Vamos Vamos" (v00029/p325) - retrospective estate-name context; corroborates the 1862 land-title pattern.</t>
  </si>
  <si>
    <t>A-0941</t>
  </si>
  <si>
    <t>2 Canal Record page hits (UFDC full-text probe of audit-born places; first: v00005/p73, full list in data/ufdc/audit_probe_20260913.csv). Page-level import + KWIC verification pending. Dated to the first hit volume; later pages may extend the range (import pending). KWIC VERIFIED: land cleared near Pena Blanca for beacons/range towers 1911-13 - the drowned site living on as navigation-aid ground.</t>
  </si>
  <si>
    <t>A-0942</t>
  </si>
  <si>
    <t>10 Canal Record page hits (UFDC full-text probe of audit-born places; first: v00014/p211, full list in data/ufdc/audit_probe_20260913.csv). Page-level import + KWIC verification pending. Dated to the first hit volume; later pages may extend the range (import pending). KWIC VERIFIED: pre-1913 hits are the SETTLEMENT (messes 54/56, colored missions list v00003/p399, resident Cedoya v00005/p388, mess closed 1912); 1917+ hits are the Haut Obispo SLIDE. Re-dated to the settlement era - the 1922 lifespan flag was the slide name.</t>
  </si>
  <si>
    <t>A-0943</t>
  </si>
  <si>
    <t>13 Canal Record page hits (UFDC full-text probe of audit-born places; first: v00003/p36, full list in data/ufdc/audit_probe_20260913.csv). Page-level import + KWIC verification pending. Dated to the first hit volume; later pages may extend the range (import pending).</t>
  </si>
  <si>
    <t>A-0944</t>
  </si>
  <si>
    <t>6 Canal Record page hits (UFDC full-text probe of audit-born places; first: v00003/p20, full list in data/ufdc/audit_probe_20260913.csv). Page-level import + KWIC verification pending. Dated to the first hit volume; later pages may extend the range (import pending).</t>
  </si>
  <si>
    <t>A-0945</t>
  </si>
  <si>
    <t>2 Canal Record page hits (UFDC full-text probe of audit-born places; first: v00008/p476, full list in data/ufdc/audit_probe_20260913.csv). Page-level import + KWIC verification pending. CAVEAT: may include Jamaica Spanish Town in labour context - KWIC verification needed. Dated to the first hit volume; later pages may extend the range (import pending). KWIC VERIFIED 2026-09-13: quarters/labor table under the Paraiso district lists Spanish Town beside JAMAICA TOWN (v00008/p476, 1915-16) - the Zone settlement, not Jamaica; extends life to 1915-16.</t>
  </si>
  <si>
    <t>A-0946</t>
  </si>
  <si>
    <t>15 Canal Record page hits (UFDC full-text probe of audit-born places; first: v00011/p559, full list in data/ufdc/audit_probe_20260913.csv). Page-level import + KWIC verification pending. Dated to the first hit volume; later pages may extend the range (import pending). KWIC VERIFIED: "the village of Golden Green, near Culebra" (sanitation v00005/p59 1911; sewage pumping 1912-13; parish + Lenten services incl. NEW TOWN 1910-11; displaced lot-lease holders offered land at West Culebra/Golden Green/Cowpens v00004/p454; Barbadian dredging-division resident 1914-15; labor tables to 1916-17). Claimed c.1913 end contradicted - RULING: extend.</t>
  </si>
  <si>
    <t>A-0947</t>
  </si>
  <si>
    <t>7 Canal Record page hits (UFDC full-text probe of audit-born places; first: v00001/p63, full list in data/ufdc/audit_probe_20260913.csv). Page-level import + KWIC verification pending. May include Rio Carabali hydronym uses - KWIC verification needed. Dated to the first hit volume; later pages may extend the range (import pending). KWIC VERIFIED: all 7 hits are the Carabali RIVER and RESERVOIR (water supply for Gorgona/Caballo Viejo/Mamei/Jamaica Town towns list, v00002/p116 1907-08; hunting boundary; claims near Juan Grande) - toponym + waterworks, no settlement mention. Converted to Name.</t>
  </si>
  <si>
    <t>A-0948</t>
  </si>
  <si>
    <t>3 Canal Record page hits (UFDC full-text probe of audit-born places; first: v00003/p23, full list in data/ufdc/audit_probe_20260913.csv). Page-level import + KWIC verification pending. Generic confluence name - KWIC verification needed. Dated to the first hit volume; later pages may extend the range (import pending). KWIC VERIFIED: all 3 hits are the Chagres-Pequeni CONFLUENCE ("the Chagres divides into two branches", boundary point) - geographic toponym only. Converted to Name.</t>
  </si>
  <si>
    <t>A-0949</t>
  </si>
  <si>
    <t>ZERO pages across all 28 volumes of the official weekly (UFDC full-text, quoted-phrase query; recipe in data/ufdc/audit_probe_20260913.csv) - textual silence matching the cartographic silence.</t>
  </si>
  <si>
    <t>A-0950</t>
  </si>
  <si>
    <t>A-0951</t>
  </si>
  <si>
    <t>A-0952</t>
  </si>
  <si>
    <t>A-0953</t>
  </si>
  <si>
    <t>A-0954</t>
  </si>
  <si>
    <t>A-0955</t>
  </si>
  <si>
    <t>A-0956</t>
  </si>
  <si>
    <t>A-0957</t>
  </si>
  <si>
    <t>Canal Record page search (audit probe 2 2026-09-13)</t>
  </si>
  <si>
    <t>36 Canal Record page hits across probed phrases (Agua Clara:36); first v00004/p14. Full-corpus phrase probe of previously unqueried places; per-page import + KWIC verification pending; dated to first-hit volume. CAVEAT: many hits likely the Agua Clara reservoir/waterworks, not the village - KWIC verification needed. KWIC VERIFIED - KEY FIND: "22 houses in Agua Clara, the whole village" below the flood safety line (v00004/p14, 1910-11) - the village never drawn on ANY map is textually attested with a house count; remaining hits are the reservoir/filtration plant/river.</t>
  </si>
  <si>
    <t>A-0958</t>
  </si>
  <si>
    <t>19 Canal Record page hits across probed phrases (Whitehouse:15; White House camp:1; Casa Blanca:3); first v00033/p494. Full-corpus phrase probe of previously unqueried places; per-page import + KWIC verification pending; dated to first-hit volume. KWIC NOTE: the 3 "Casa Blanca" hits are false positives (a Panama City shop La Casa Blanca; Casablanca, Africa in shipping tables) - effective count 16, all Whitehouse forms.</t>
  </si>
  <si>
    <t>A-0959</t>
  </si>
  <si>
    <t>7 Canal Record page hits across probed phrases (Cartagenita:7); first v00006/p280. Full-corpus phrase probe of previously unqueried places; per-page import + KWIC verification pending; dated to first-hit volume.</t>
  </si>
  <si>
    <t>A-0960</t>
  </si>
  <si>
    <t>2 Canal Record page hits across probed phrases (Palo Grande:2); first v00006/p104. Full-corpus phrase probe of previously unqueried places; per-page import + KWIC verification pending; dated to first-hit volume.</t>
  </si>
  <si>
    <t>A-0961</t>
  </si>
  <si>
    <t>107 Canal Record page hits across probed phrases (Cocoli:107); first v00003/p86. Full-corpus phrase probe of previously unqueried places; per-page import + KWIC verification pending; dated to first-hit volume.</t>
  </si>
  <si>
    <t>A-0962</t>
  </si>
  <si>
    <t>81 Canal Record page hits across probed phrases (Margarita:81); first v00010/p213. Full-corpus phrase probe of previously unqueried places; per-page import + KWIC verification pending; dated to first-hit volume. KWIC VERIFIED: pre-1940 hits are Margarita POINT/ISLAND/BAY/ROAD (Fort Randolph works) and the LA MARGARITA land tract (award dockets 3480/3577, July 1918) plus personal names - name-from-tract ancestry; the TOWN is not evidenced before the 1940s in these hits. Converted to Name; lifespan flag reinterpreted.</t>
  </si>
  <si>
    <t>A-0963</t>
  </si>
  <si>
    <t>174 Canal Record page hits across probed phrases (Coco Solo:174); first v00032/p690. Full-corpus phrase probe of previously unqueried places; per-page import + KWIC verification pending; dated to first-hit volume.</t>
  </si>
  <si>
    <t>A-0964</t>
  </si>
  <si>
    <t>7 Canal Record page hits across probed phrases (Fort Clayton:7); first v00011/p9. Full-corpus phrase probe of previously unqueried places; per-page import + KWIC verification pending; dated to first-hit volume.</t>
  </si>
  <si>
    <t>A-0965</t>
  </si>
  <si>
    <t>5 Canal Record page hits across probed phrases (Fort Davis:5); first v00032/p526. Full-corpus phrase probe of previously unqueried places; per-page import + KWIC verification pending; dated to first-hit volume.</t>
  </si>
  <si>
    <t>A-0966</t>
  </si>
  <si>
    <t>29 Canal Record page hits across probed phrases (Fort Sherman:29); first v00009/p321. Full-corpus phrase probe of previously unqueried places; per-page import + KWIC verification pending; dated to first-hit volume.</t>
  </si>
  <si>
    <t>A-0967</t>
  </si>
  <si>
    <t>64 Canal Record page hits across probed phrases (Fort Amador:64); first v00011/p31. Full-corpus phrase probe of previously unqueried places; per-page import + KWIC verification pending; dated to first-hit volume.</t>
  </si>
  <si>
    <t>A-0968</t>
  </si>
  <si>
    <t>19 Canal Record page hits across probed phrases (Albrook Field:19); first v00032/p673. Full-corpus phrase probe of previously unqueried places; per-page import + KWIC verification pending; dated to first-hit volume.</t>
  </si>
  <si>
    <t>A-0969</t>
  </si>
  <si>
    <t>44 Canal Record page hits across probed phrases (Quarry Heights:44); first v00011/p698. Full-corpus phrase probe of previously unqueried places; per-page import + KWIC verification pending; dated to first-hit volume.</t>
  </si>
  <si>
    <t>A-0970</t>
  </si>
  <si>
    <t>11 Canal Record page hits across probed phrases (Barro Colorado:11); first v00009/p126. Full-corpus phrase probe of previously unqueried places; per-page import + KWIC verification pending; dated to first-hit volume.</t>
  </si>
  <si>
    <t>A-0971</t>
  </si>
  <si>
    <t>ZERO pages for all probed phrases (Isla Vista:0) across the 28-volume run - mention under other wording not excluded for compound feature names (method: quoted-phrase full-text; see data/ufdc/audit_probe2_20260913.csv). | repointed CZ-074 -&gt; CZ-031 2026-09-13 (Isla Vista ruled a probable label artifact)</t>
  </si>
  <si>
    <t>A-0972</t>
  </si>
  <si>
    <t>3 Canal Record page hits across probed phrases (Cerro camp:3); first v00008/p476. Full-corpus phrase probe of previously unqueried places; per-page import + KWIC verification pending; dated to first-hit volume. KWIC VERIFIED: labor-force tables list Cerro Camp beside Lirio Camp/Golden Green/Cunette/MARTINIQUE CAMP and Cowpens/West Culebra 1913-16 - camp alive past the claimed 1913 end, and textual corroboration for the 1911-map camp names.</t>
  </si>
  <si>
    <t>A-0973</t>
  </si>
  <si>
    <t>Caimito Mulato</t>
  </si>
  <si>
    <t>9 Canal Record page hits across probed phrases (Caimito Mulato:9); first v00002/p104. Full-corpus phrase probe of previously unqueried places; per-page import + KWIC verification pending; dated to first-hit volume. KWIC VERIFIED: French-era workings rediscovered at Caimito Mulato 1907; ICC HOTEL there (San Pablo district); the 22 May 1908 dynamite explosion (two deaths); residents in claims dockets (house tax No. 1024 etc.).</t>
  </si>
  <si>
    <t>A-0974</t>
  </si>
  <si>
    <t>San Juan de Pequeni</t>
  </si>
  <si>
    <t>ZERO pages for all probed phrases (San Juan de Pequeni:0) across the 28-volume run - mention under other wording not excluded for compound feature names (method: quoted-phrase full-text; see data/ufdc/audit_probe2_20260913.csv).</t>
  </si>
  <si>
    <t>A-0975</t>
  </si>
  <si>
    <t>Empire silver quarters</t>
  </si>
  <si>
    <t>ZERO pages for all probed phrases (Empire silver quarters:0; silver quarters at Empire:0) across the 28-volume run - mention under other wording not excluded for compound feature names (method: quoted-phrase full-text; see data/ufdc/audit_probe2_20260913.csv).</t>
  </si>
  <si>
    <t>A-0976</t>
  </si>
  <si>
    <t>Empire gold quarters</t>
  </si>
  <si>
    <t>ZERO pages for all probed phrases (Empire gold quarters:0; gold quarters at Empire:0) across the 28-volume run - mention under other wording not excluded for compound feature names (method: quoted-phrase full-text; see data/ufdc/audit_probe2_20260913.csv).</t>
  </si>
  <si>
    <t>A-0977</t>
  </si>
  <si>
    <t>plaza at Empire</t>
  </si>
  <si>
    <t>ZERO pages for all probed phrases (plaza at Empire:0; Empire plaza:0) across the 28-volume run - mention under other wording not excluded for compound feature names (method: quoted-phrase full-text; see data/ufdc/audit_probe2_20260913.csv). | repointed CZ-106 -&gt; CZ-120 2026-09-13 (Grand Stand label misread on mirrored text)</t>
  </si>
  <si>
    <t>A-0978</t>
  </si>
  <si>
    <t>church at Empire</t>
  </si>
  <si>
    <t>11 Canal Record page hits across probed phrases (church at Empire:8; Empire church:3); first v00003/p392. Full-corpus phrase probe of previously unqueried places; per-page import + KWIC verification pending; dated to first-hit volume.</t>
  </si>
  <si>
    <t>A-0979</t>
  </si>
  <si>
    <t>cemetery at Empire</t>
  </si>
  <si>
    <t>ZERO pages for all probed phrases (cemetery at Empire:0; Empire cemetery:0) across the 28-volume run - mention under other wording not excluded for compound feature names (method: quoted-phrase full-text; see data/ufdc/audit_probe2_20260913.csv).</t>
  </si>
  <si>
    <t>A-0980</t>
  </si>
  <si>
    <t>Empire court house</t>
  </si>
  <si>
    <t>2 Canal Record page hits across probed phrases (Empire court house:0; court house at Empire:2); first v00001/p234. Full-corpus phrase probe of previously unqueried places; per-page import + KWIC verification pending; dated to first-hit volume.</t>
  </si>
  <si>
    <t>A-0981</t>
  </si>
  <si>
    <t>Empire freight house</t>
  </si>
  <si>
    <t>1 Canal Record page hits across probed phrases (Empire freight house:0; freight house at Empire:1); first v00002/p48. Full-corpus phrase probe of previously unqueried places; per-page import + KWIC verification pending; dated to first-hit volume.</t>
  </si>
  <si>
    <t>A-0982</t>
  </si>
  <si>
    <t>Empire base ball</t>
  </si>
  <si>
    <t>ZERO pages for all probed phrases (Empire base ball:0; ball grounds at Empire:0) across the 28-volume run - mention under other wording not excluded for compound feature names (method: quoted-phrase full-text; see data/ufdc/audit_probe2_20260913.csv).</t>
  </si>
  <si>
    <t>A-0983</t>
  </si>
  <si>
    <t>hotel at Empire</t>
  </si>
  <si>
    <t>1 Canal Record page hits across probed phrases (hotel at Empire:0; Empire hotel:1); first v00002/p392. Full-corpus phrase probe of previously unqueried places; per-page import + KWIC verification pending; dated to first-hit volume.</t>
  </si>
  <si>
    <t>A-0984</t>
  </si>
  <si>
    <t>police station at Empire</t>
  </si>
  <si>
    <t>1 Canal Record page hits across probed phrases (police station at Empire:0; Empire police station:1); first v00003/p385. Full-corpus phrase probe of previously unqueried places; per-page import + KWIC verification pending; dated to first-hit volume.</t>
  </si>
  <si>
    <t>A-0985</t>
  </si>
  <si>
    <t>municipal building at Empire</t>
  </si>
  <si>
    <t>ZERO pages for all probed phrases (municipal building at Empire:0; Empire municipal building:0) across the 28-volume run - mention under other wording not excluded for compound feature names (method: quoted-phrase full-text; see data/ufdc/audit_probe2_20260913.csv).</t>
  </si>
  <si>
    <t>A-0986</t>
  </si>
  <si>
    <t>machine shops at Empire</t>
  </si>
  <si>
    <t>58 Canal Record page hits across probed phrases (machine shops at Empire:0; Empire shops:58); first v00003/p53. Full-corpus phrase probe of previously unqueried places; per-page import + KWIC verification pending; dated to first-hit volume. Phrase 'Empire shops' may include divisional usage. KWIC VERIFIED: all sampled hits are the Empire machine shops (division transfers, 25 air hammers 1908-09, reoccupation 1913); divisional-usage caveat removed.</t>
  </si>
  <si>
    <t>A-0987</t>
  </si>
  <si>
    <t>Y. M. C. A. at Empire</t>
  </si>
  <si>
    <t>33 Canal Record page hits across probed phrases (Y. M. C. A. at Empire:0; Empire clubhouse:33); first v00005/p364. Full-corpus phrase probe of previously unqueried places; per-page import + KWIC verification pending; dated to first-hit volume.</t>
  </si>
  <si>
    <t>A-0988</t>
  </si>
  <si>
    <t>fire station at Empire</t>
  </si>
  <si>
    <t>1 Canal Record page hits across probed phrases (fire station at Empire:0; Empire fire station:1); first v00006/p150. Full-corpus phrase probe of previously unqueried places; per-page import + KWIC verification pending; dated to first-hit volume.</t>
  </si>
  <si>
    <t>A-0989</t>
  </si>
  <si>
    <t>bank at Empire</t>
  </si>
  <si>
    <t>ZERO pages for all probed phrases (bank at Empire:0; Empire bank:0) across the 28-volume run - mention under other wording not excluded for compound feature names (method: quoted-phrase full-text; see data/ufdc/audit_probe2_20260913.csv).</t>
  </si>
  <si>
    <t>A-0990</t>
  </si>
  <si>
    <t>post office at Empire</t>
  </si>
  <si>
    <t>ZERO pages for all probed phrases (post office at Empire:0; Empire post office:0) across the 28-volume run - mention under other wording not excluded for compound feature names (method: quoted-phrase full-text; see data/ufdc/audit_probe2_20260913.csv).</t>
  </si>
  <si>
    <t>A-0991</t>
  </si>
  <si>
    <t>dispensary at Empire</t>
  </si>
  <si>
    <t>1 Canal Record page hits across probed phrases (dispensary at Empire:1; Empire dispensary:0); first v00001/p61. Full-corpus phrase probe of previously unqueried places; per-page import + KWIC verification pending; dated to first-hit volume.</t>
  </si>
  <si>
    <t>A-0992</t>
  </si>
  <si>
    <t>market at Gorgona</t>
  </si>
  <si>
    <t>2 Canal Record page hits across probed phrases (market at Gorgona:1; Gorgona market:1); first v00006/p460. Full-corpus phrase probe of previously unqueried places; per-page import + KWIC verification pending; dated to first-hit volume.</t>
  </si>
  <si>
    <t>A-0993</t>
  </si>
  <si>
    <t>Y. M. C. A. at Gorgona</t>
  </si>
  <si>
    <t>9 Canal Record page hits across probed phrases (Y. M. C. A. at Gorgona:0; Gorgona clubhouse:9); first v00006/p473. Full-corpus phrase probe of previously unqueried places; per-page import + KWIC verification pending; dated to first-hit volume.</t>
  </si>
  <si>
    <t>A-0994</t>
  </si>
  <si>
    <t>band stand at Gorgona</t>
  </si>
  <si>
    <t>ZERO pages for all probed phrases (band stand at Gorgona:0; Gorgona band stand:0) across the 28-volume run - mention under other wording not excluded for compound feature names (method: quoted-phrase full-text; see data/ufdc/audit_probe2_20260913.csv).</t>
  </si>
  <si>
    <t>A-0995</t>
  </si>
  <si>
    <t>hotel at Gorgona</t>
  </si>
  <si>
    <t>6 Canal Record page hits across probed phrases (hotel at Gorgona:1; Gorgona hotel:5); first v00004/p39. Full-corpus phrase probe of previously unqueried places; per-page import + KWIC verification pending; dated to first-hit volume. Phrase 'Gorgona hotel' shared with CZ-134 - which hotel is per-hit work. KWIC VERIFIED: hits are the ICC Gorgona hotel (Ohio Club room over the hotel 1908, chief steward district, training table, material to Camp Otis 1913-14).</t>
  </si>
  <si>
    <t>A-0996</t>
  </si>
  <si>
    <t>Gorgona hotel</t>
  </si>
  <si>
    <t>5 Canal Record page hits across probed phrases (Gorgona hotel:5); first v00007/p229. Full-corpus phrase probe of previously unqueried places; per-page import + KWIC verification pending; dated to first-hit volume. Phrase shared with CZ-133 - attribution per hit pending. KWIC VERIFIED: every hit attributes to the ICC hotel (CZ-133); the private Gorgona hotel is not distinguishable in the phrase record. Converted to searched-absent for THIS phrase method.</t>
  </si>
  <si>
    <t>A-0997</t>
  </si>
  <si>
    <t>Y. M. C. A. at Culebra</t>
  </si>
  <si>
    <t>14 Canal Record page hits across probed phrases (Y. M. C. A. at Culebra:0; Culebra clubhouse:14); first v00007/p414. Full-corpus phrase probe of previously unqueried places; per-page import + KWIC verification pending; dated to first-hit volume.</t>
  </si>
  <si>
    <t>A-0998</t>
  </si>
  <si>
    <t>hotel at Culebra</t>
  </si>
  <si>
    <t>12 Canal Record page hits across probed phrases (hotel at Culebra:4; Culebra hotel:8); first v00004/p222. Full-corpus phrase probe of previously unqueried places; per-page import + KWIC verification pending; dated to first-hit volume.</t>
  </si>
  <si>
    <t>A-0999</t>
  </si>
  <si>
    <t>post office at Culebra</t>
  </si>
  <si>
    <t>2 Canal Record page hits across probed phrases (post office at Culebra:1; Culebra post office:1); first v00003/p123. Full-corpus phrase probe of previously unqueried places; per-page import + KWIC verification pending; dated to first-hit volume.</t>
  </si>
  <si>
    <t>A-1000</t>
  </si>
  <si>
    <t>church at Culebra</t>
  </si>
  <si>
    <t>9 Canal Record page hits across probed phrases (church at Culebra:5; lodge hall at Culebra:4); first v00001/p17. Full-corpus phrase probe of previously unqueried places; per-page import + KWIC verification pending; dated to first-hit volume.</t>
  </si>
  <si>
    <t>A-1001</t>
  </si>
  <si>
    <t>colored school at Culebra</t>
  </si>
  <si>
    <t>ZERO pages for all probed phrases (colored school at Culebra:0; Culebra colored school:0) across the 28-volume run - mention under other wording not excluded for compound feature names (method: quoted-phrase full-text; see data/ufdc/audit_probe2_20260913.csv).</t>
  </si>
  <si>
    <t>A-1002</t>
  </si>
  <si>
    <t>commissary at Culebra</t>
  </si>
  <si>
    <t>5 Canal Record page hits across probed phrases (commissary at Culebra:0; Culebra commissary:5); first v00010/p533. Full-corpus phrase probe of previously unqueried places; per-page import + KWIC verification pending; dated to first-hit volume.</t>
  </si>
  <si>
    <t>A-1003</t>
  </si>
  <si>
    <t>fire station at Culebra</t>
  </si>
  <si>
    <t>ZERO pages for all probed phrases (fire station at Culebra:0; Culebra fire department:0) across the 28-volume run - mention under other wording not excluded for compound feature names (method: quoted-phrase full-text; see data/ufdc/audit_probe2_20260913.csv).</t>
  </si>
  <si>
    <t>A-1004</t>
  </si>
  <si>
    <t>dispensary at Culebra</t>
  </si>
  <si>
    <t>ZERO pages for all probed phrases (dispensary at Culebra:0; Culebra dispensary:0) across the 28-volume run - mention under other wording not excluded for compound feature names (method: quoted-phrase full-text; see data/ufdc/audit_probe2_20260913.csv).</t>
  </si>
  <si>
    <t>A-1005</t>
  </si>
  <si>
    <t>planing mill at Culebra</t>
  </si>
  <si>
    <t>1 Canal Record page hits across probed phrases (planing mill at Culebra:1; Culebra planing mill:0); first v00003/p240. Full-corpus phrase probe of previously unqueried places; per-page import + KWIC verification pending; dated to first-hit volume.</t>
  </si>
  <si>
    <t>A-1006</t>
  </si>
  <si>
    <t>corral at Culebra</t>
  </si>
  <si>
    <t>ZERO pages for all probed phrases (corral at Culebra:0) across the 28-volume run - mention under other wording not excluded for compound feature names (method: quoted-phrase full-text; see data/ufdc/audit_probe2_20260913.csv).</t>
  </si>
  <si>
    <t>A-1007</t>
  </si>
  <si>
    <t>lumber mill at Culebra</t>
  </si>
  <si>
    <t>ZERO pages for all probed phrases (lumber mill at Culebra:0) across the 28-volume run - mention under other wording not excluded for compound feature names (method: quoted-phrase full-text; see data/ufdc/audit_probe2_20260913.csv).</t>
  </si>
  <si>
    <t>A-1008</t>
  </si>
  <si>
    <t>depot at Culebra</t>
  </si>
  <si>
    <t>ZERO pages for all probed phrases (depot at Culebra:0) across the 28-volume run - mention under other wording not excluded for compound feature names (method: quoted-phrase full-text; see data/ufdc/audit_probe2_20260913.csv).</t>
  </si>
  <si>
    <t>A-1009</t>
  </si>
  <si>
    <t>magazine at Culebra</t>
  </si>
  <si>
    <t>ZERO pages for all probed phrases (magazine at Culebra:0) across the 28-volume run - mention under other wording not excluded for compound feature names (method: quoted-phrase full-text; see data/ufdc/audit_probe2_20260913.csv).</t>
  </si>
  <si>
    <t>A-1010</t>
  </si>
  <si>
    <t>engine house at Las Cascadas</t>
  </si>
  <si>
    <t>ZERO pages for all probed phrases (engine house at Las Cascadas:0) across the 28-volume run - mention under other wording not excluded for compound feature names (method: quoted-phrase full-text; see data/ufdc/audit_probe2_20260913.csv).</t>
  </si>
  <si>
    <t>A-1011</t>
  </si>
  <si>
    <t>post office at Las Cascadas</t>
  </si>
  <si>
    <t>ZERO pages for all probed phrases (post office at Las Cascadas:0; Las Cascadas post office:0) across the 28-volume run - mention under other wording not excluded for compound feature names (method: quoted-phrase full-text; see data/ufdc/audit_probe2_20260913.csv).</t>
  </si>
  <si>
    <t>A-1012</t>
  </si>
  <si>
    <t>shops at Paraiso</t>
  </si>
  <si>
    <t>37 Canal Record page hits across probed phrases (shops at Paraiso:5; Paraiso shops:32); first v00007/p112. Full-corpus phrase probe of previously unqueried places; per-page import + KWIC verification pending; dated to first-hit volume.</t>
  </si>
  <si>
    <t>A-1013</t>
  </si>
  <si>
    <t>hotel at Paraiso</t>
  </si>
  <si>
    <t>2 Canal Record page hits across probed phrases (hotel at Paraiso:1; Paraiso hotel:1); first v00008/p214. Full-corpus phrase probe of previously unqueried places; per-page import + KWIC verification pending; dated to first-hit volume.</t>
  </si>
  <si>
    <t>A-1014</t>
  </si>
  <si>
    <t>labor camp at Pedro Miguel</t>
  </si>
  <si>
    <t>ZERO pages for all probed phrases (labor camp at Pedro Miguel:0) across the 28-volume run - mention under other wording not excluded for compound feature names (method: quoted-phrase full-text; see data/ufdc/audit_probe2_20260913.csv).</t>
  </si>
  <si>
    <t>A-1015</t>
  </si>
  <si>
    <t>roundhouse at Pedro Miguel</t>
  </si>
  <si>
    <t>1 Canal Record page hits across probed phrases (roundhouse at Pedro Miguel:0; shops at Pedro Miguel:1); first v00008/p167. Full-corpus phrase probe of previously unqueried places; per-page import + KWIC verification pending; dated to first-hit volume.</t>
  </si>
  <si>
    <t>A-1016</t>
  </si>
  <si>
    <t>police station at Paraiso</t>
  </si>
  <si>
    <t>1 Canal Record page hits across probed phrases (police station at Paraiso:1); first v00006/p450. Full-corpus phrase probe of previously unqueried places; per-page import + KWIC verification pending; dated to first-hit volume.</t>
  </si>
  <si>
    <t>A-1017</t>
  </si>
  <si>
    <t>NARA catalog RG-185 search (roster probe 2026-09-13)</t>
  </si>
  <si>
    <t>17 digitized-record hits (naId 495298543: Duty(ies) Custom(s) THRU Eminent Domain, Right of). [Undated at probe level - catalog spans 1904-1979; per-record dating awaits import.]</t>
  </si>
  <si>
    <t>A-1018</t>
  </si>
  <si>
    <t>23 digitized-record hits (naId 6973400: Application #42135 for S. Boyd, Born:1866, POB: Jamaica B.W.I.). [Undated at probe level - catalog spans 1904-1979; per-record dating awaits import.]</t>
  </si>
  <si>
    <t>A-1019</t>
  </si>
  <si>
    <t>6 digitized-record hits (naId 495250085: Mattatal, Ira C. (Dr.) THRU Mileage, Administrator). [Undated at probe level - catalog spans 1904-1979; per-record dating awaits import.]</t>
  </si>
  <si>
    <t>A-1020</t>
  </si>
  <si>
    <t>2 digitized-record hits (naId 495302884: Fan(s) (Electric) THRU Fish Pond(s)). [Undated at probe level - catalog spans 1904-1979; per-record dating awaits import.]</t>
  </si>
  <si>
    <t>A-1021</t>
  </si>
  <si>
    <t>2 digitized-record hits (naId 495362771: Train, Special THRU Transportation (S. S.)). [Undated at probe level - catalog spans 1904-1979; per-record dating awaits import.]</t>
  </si>
  <si>
    <t>A-1022</t>
  </si>
  <si>
    <t>1 digitized-record hits (naId 495237045: Dobbie Foundry and Machine Co. THRU Employee(s) Retired). [Undated at probe level - catalog spans 1904-1979; per-record dating awaits import.]</t>
  </si>
  <si>
    <t>A-1023</t>
  </si>
  <si>
    <t>5 digitized-record hits (naId 495245592: Joly E., Nicolas V. THRU Lalanne, Frank D.). [Undated at probe level - catalog spans 1904-1979; per-record dating awaits import.]</t>
  </si>
  <si>
    <t>A-1024</t>
  </si>
  <si>
    <t>61 digitized-record hits (naId 6961124: Application #24583 for S. Wright, POB: Spanish Town). CAUTION: hits dominated by metal-check applications with POB Spanish Town, JAMAICA (workers FROM Spanish Town) - Zone-settlement referent needs per-record check [Undated at probe level - catalog spans 1904-1979; per-record dating awaits import.]</t>
  </si>
  <si>
    <t>A-1025</t>
  </si>
  <si>
    <t>36 digitized-record hits (naId 100997762: Typical house of West Indian Laborer, Golden Green, CZ). first hit is the PHOTOGRAPH 'Typical house of West Indian Laborer, Golden Green, CZ' (naId 100997762) [Undated at probe level - catalog spans 1904-1979; per-record dating awaits import.]</t>
  </si>
  <si>
    <t>A-1026</t>
  </si>
  <si>
    <t>7 digitized-record hits (naId 495284411: Car(s) Pay THRU Charcoal). [Undated at probe level - catalog spans 1904-1979; per-record dating awaits import.]</t>
  </si>
  <si>
    <t>A-1027</t>
  </si>
  <si>
    <t>8 digitized-record hits (naId 495350729: School(s) at Ancon THRU Sewer(s) at Palo Seco). [Undated at probe level - catalog spans 1904-1979; per-record dating awaits import.]</t>
  </si>
  <si>
    <t>A-1028</t>
  </si>
  <si>
    <t>31 digitized-record hits (naId 100998596: Panama Railroad Timetable No 7, 1896). first hit: Panama Railroad Timetable No 7, 1896 - Haut Obispo as a scheduled stop</t>
  </si>
  <si>
    <t>A-1029</t>
  </si>
  <si>
    <t>ZERO hits in the digitized layer for the probed phrase(s).  Paper-only holdings not excluded (ARC-01 caveat). [Undated at probe level - catalog spans 1904-1979; per-record dating awaits import.]</t>
  </si>
  <si>
    <t>A-1030</t>
  </si>
  <si>
    <t>18 digitized-record hits (naId 100995366: Canal Zone Free Public School Cunette - 1905). first hit 'Canal Zone Free Public School Cunette - 1905' (naId 100995366) - a SCHOOL at Cunette</t>
  </si>
  <si>
    <t>A-1031</t>
  </si>
  <si>
    <t>2 digitized-record hits (naId 495253063: Murphy, James Eldon THRU Norza, Seferino). [Undated at probe level - catalog spans 1904-1979; per-record dating awaits import.]</t>
  </si>
  <si>
    <t>A-1032</t>
  </si>
  <si>
    <t>A-1033</t>
  </si>
  <si>
    <t>1 digitized-record hits (naId 75684644: D-5 - Palo Matias and Ahorra Lagarto Property). 'D-5 - Palo Matias and Ahorra Lagarto Property' file (naId 75684644) - a property file for the tract [Undated at probe level - catalog spans 1904-1979; per-record dating awaits import.]</t>
  </si>
  <si>
    <t>A-1034</t>
  </si>
  <si>
    <t>5 digitized-record hits (naId 546406095: Marriage Licenses 15133-16341 (1955-1966)). [Undated at probe level - catalog spans 1904-1979; per-record dating awaits import.]</t>
  </si>
  <si>
    <t>A-1035</t>
  </si>
  <si>
    <t>A-1036</t>
  </si>
  <si>
    <t>4 digitized-record hits (naId 495284411: Car(s) Pay THRU Charcoal). [Undated at probe level - catalog spans 1904-1979; per-record dating awaits import.]</t>
  </si>
  <si>
    <t>A-1037</t>
  </si>
  <si>
    <t>7 digitized-record hits (naId 495368614: Water THRU Wattmeter(s)). [Undated at probe level - catalog spans 1904-1979; per-record dating awaits import.]</t>
  </si>
  <si>
    <t>A-1038</t>
  </si>
  <si>
    <t>A-1039</t>
  </si>
  <si>
    <t>153 digitized-record hits (naId 202799891: Photograph of Cocoli Diesel Station). [Undated at probe level - catalog spans 1904-1979; per-record dating awaits import.]</t>
  </si>
  <si>
    <t>A-1040</t>
  </si>
  <si>
    <t>219 digitized-record hits (naId 202800109: Photograph of Margarita Hospital). [Undated at probe level - catalog spans 1904-1979; per-record dating awaits import.]</t>
  </si>
  <si>
    <t>A-1041</t>
  </si>
  <si>
    <t>348 digitized-record hits (naId 202800063: Photograph of Coco Solo Hospital). [Undated at probe level - catalog spans 1904-1979; per-record dating awaits import.]</t>
  </si>
  <si>
    <t>A-1042</t>
  </si>
  <si>
    <t>103 digitized-record hits (naId 202800101: Photograph of Fort Clayton Dispensary). [Undated at probe level - catalog spans 1904-1979; per-record dating awaits import.]</t>
  </si>
  <si>
    <t>A-1043</t>
  </si>
  <si>
    <t>104 digitized-record hits (naId 546469784: Marriage Licenses 16300-25099). [Undated at probe level - catalog spans 1904-1979; per-record dating awaits import.]</t>
  </si>
  <si>
    <t>A-1044</t>
  </si>
  <si>
    <t>96 digitized-record hits (naId 495304410: Five Day Week THRU Freight Check System(s)). [Undated at probe level - catalog spans 1904-1979; per-record dating awaits import.]</t>
  </si>
  <si>
    <t>A-1045</t>
  </si>
  <si>
    <t>134 digitized-record hits (naId 202801535: Photograph of Fort Amador Theater). [Undated at probe level - catalog spans 1904-1979; per-record dating awaits import.]</t>
  </si>
  <si>
    <t>A-1046</t>
  </si>
  <si>
    <t>145 digitized-record hits (naId 100996076: Photograph of Albrook Field). [Undated at probe level - catalog spans 1904-1979; per-record dating awaits import.]</t>
  </si>
  <si>
    <t>A-1047</t>
  </si>
  <si>
    <t>103 digitized-record hits (naId 100995254: Residence of Com Officer Quarry Heights June 1916). 'Residence of Com Officer Quarry Heights June 1916' - a 1916 photograph</t>
  </si>
  <si>
    <t>A-1048</t>
  </si>
  <si>
    <t>55 digitized-record hits (naId 100999014: Barro Colorado - General View of Dock and Buildings). [Undated at probe level - catalog spans 1904-1979; per-record dating awaits import.]</t>
  </si>
  <si>
    <t>A-1049</t>
  </si>
  <si>
    <t>ZERO hits in the digitized layer for the probed phrase(s).  Paper-only holdings not excluded (ARC-01 caveat). [Undated at probe level - catalog spans 1904-1979; per-record dating awaits import.] | repointed CZ-074 -&gt; CZ-031 2026-09-13 (Isla Vista ruled a probable label artifact)</t>
  </si>
  <si>
    <t>A-1050</t>
  </si>
  <si>
    <t>5 digitized-record hits (naId 495269550: Teacher(s) THRU Traxle R. Real Estate Co.). caution: 'Cerro camp' phrase weak in catalog context [Undated at probe level - catalog spans 1904-1979; per-record dating awaits import.]</t>
  </si>
  <si>
    <t>A-1051</t>
  </si>
  <si>
    <t>2 digitized-record hits (naId 495281175: Bond(s) Security THRU Building(s) at White House). [Undated at probe level - catalog spans 1904-1979; per-record dating awaits import.]</t>
  </si>
  <si>
    <t>A-1052</t>
  </si>
  <si>
    <t>5 digitized-record hits (naId 495261696: Riasco, Jose Maria THRU Saleswoman(en)). [Undated at probe level - catalog spans 1904-1979; per-record dating awaits import.]</t>
  </si>
  <si>
    <t>A-1053</t>
  </si>
  <si>
    <t>A-1054</t>
  </si>
  <si>
    <t>A-1055</t>
  </si>
  <si>
    <t>ZERO hits in the digitized layer for the probed phrase(s).  Paper-only holdings not excluded (ARC-01 caveat). [Undated at probe level - catalog spans 1904-1979; per-record dating awaits import.] | repointed CZ-106 -&gt; CZ-120 2026-09-13 (Grand Stand label misread on mirrored text)</t>
  </si>
  <si>
    <t>A-1056</t>
  </si>
  <si>
    <t>A-1057</t>
  </si>
  <si>
    <t>1 digitized-record hits (naId 495231429: Castillero J., Ernesto THRU Coach(es)). [Undated at probe level - catalog spans 1904-1979; per-record dating awaits import.]</t>
  </si>
  <si>
    <t>A-1058</t>
  </si>
  <si>
    <t>A-1059</t>
  </si>
  <si>
    <t>1 digitized-record hits (naId 495370156: Wave(s) THRU Zyklon - B). [Undated at probe level - catalog spans 1904-1979; per-record dating awaits import.] | RETRACTED 2026-09-16 by the integrity sweep: the single match counted here is the Central Files index volume 'Wave(s) THRU Zyklon - B', a fuzzy word hit inside an unread index with no snippet. Under the rule applied throughout this audit that is not a described record, and it contradicted the searched-absent row beside it (A-1055).</t>
  </si>
  <si>
    <t>A-1060</t>
  </si>
  <si>
    <t>5 digitized-record hits (naId 495368614: Water THRU Wattmeter(s)). [Undated at probe level - catalog spans 1904-1979; per-record dating awaits import.]</t>
  </si>
  <si>
    <t>A-1061</t>
  </si>
  <si>
    <t>3 digitized-record hits (naId 100995370: Empire Police Station - Dec 1904). 'Empire Police Station - Dec 1904' photograph (naId 100995370)</t>
  </si>
  <si>
    <t>A-1062</t>
  </si>
  <si>
    <t>55 digitized-record hits (naId 100997488: Gen View of Empire Shops - October, 1906). 'Gen View of Empire Shops - October 1906' photograph</t>
  </si>
  <si>
    <t>A-1063</t>
  </si>
  <si>
    <t>2 digitized-record hits (naId 495334452: Permit(s) THRU Playa de Flor). [Undated at probe level - catalog spans 1904-1979; per-record dating awaits import.]</t>
  </si>
  <si>
    <t>A-1064</t>
  </si>
  <si>
    <t>7 digitized-record hits (naId 6965522: Application #31546 for L. Otorous, Born:1887, POB: Empire). hits incl. metal-check applications with POB Empire - the post office as address context [Undated at probe level - catalog spans 1904-1979; per-record dating awaits import.]</t>
  </si>
  <si>
    <t>A-1065</t>
  </si>
  <si>
    <t>A-1066</t>
  </si>
  <si>
    <t>A-1067</t>
  </si>
  <si>
    <t>A-1068</t>
  </si>
  <si>
    <t>7 digitized-record hits (naId 495352190: Sewer(s) at Panama THRU Signal Station(s) Marine). [Undated at probe level - catalog spans 1904-1979; per-record dating awaits import.]</t>
  </si>
  <si>
    <t>A-1069</t>
  </si>
  <si>
    <t>2 digitized-record hits (naId 495287184: Classification of Employees THRU College(s)). [Undated at probe level - catalog spans 1904-1979; per-record dating awaits import.]</t>
  </si>
  <si>
    <t>A-1070</t>
  </si>
  <si>
    <t>40 digitized-record hits (naId 495310021: Horse(s) THRU Hygiene). [Undated at probe level - catalog spans 1904-1979; per-record dating awaits import.]</t>
  </si>
  <si>
    <t>A-1071</t>
  </si>
  <si>
    <t>2 digitized-record hits (naId 495321499: Magazine(s) (Explos) THRU Marihuana). [Undated at probe level - catalog spans 1904-1979; per-record dating awaits import.]</t>
  </si>
  <si>
    <t>A-1072</t>
  </si>
  <si>
    <t>2 digitized-record hits (naId 495247075: La Nacion THRU Lyster, T. C.). [Undated at probe level - catalog spans 1904-1979; per-record dating awaits import.]</t>
  </si>
  <si>
    <t>A-1073</t>
  </si>
  <si>
    <t>A-1074</t>
  </si>
  <si>
    <t>7 digitized-record hits (naId 495257372: Patient(s) THRU Pillsbury, Henry C. (Col.)). [Undated at probe level - catalog spans 1904-1979; per-record dating awaits import.]</t>
  </si>
  <si>
    <t>A-1075</t>
  </si>
  <si>
    <t>A-1076</t>
  </si>
  <si>
    <t>31 digitized-record hits (naId 495352190: Sewer(s) at Panama THRU Signal Station(s)). [Undated at probe level - catalog spans 1904-1979; per-record dating awaits import.]</t>
  </si>
  <si>
    <t>A-1077</t>
  </si>
  <si>
    <t>A-1078</t>
  </si>
  <si>
    <t>A-1079</t>
  </si>
  <si>
    <t>A-1080</t>
  </si>
  <si>
    <t>SI Open Access bulk-corpus scan (roster probe 2026-09-13)</t>
  </si>
  <si>
    <t>1 digitized-record hits (NMNHBOTANY: Episcia lilacina Hanst.). botany locality 'Trail from Casa Larga to Rio Indio, vicinity of Madden dam' - independent natural-history corroboration of the ICC1909 position [Undated at probe level - catalog spans 1904-1979; per-record dating awaits import.]</t>
  </si>
  <si>
    <t>A-1081</t>
  </si>
  <si>
    <t>5 digitized-record hits (NMNHBOTANY: Leptogium azureum (Sw. ex Ach.) Mont.). localities are Quebrada Tranquilla incl. 'Drowned forest of Quebrada Tranquilla' - post-Madden collecting in the drowned landscape [Undated at probe level - catalog spans 1904-1979; per-record dating awaits import.]</t>
  </si>
  <si>
    <t>A-1082</t>
  </si>
  <si>
    <t>ZERO records in the 45,040-record bulk corpus. Raw hits were false positives: single hit is Dos Bocas in the Rio Fato valley, Colon province - a different Dos Bocas. [Undated at probe level - catalog spans 1904-1979; per-record dating awaits import.]</t>
  </si>
  <si>
    <t>A-1083</t>
  </si>
  <si>
    <t>ZERO records in the 45,040-record bulk corpus. [Undated at probe level - catalog spans 1904-1979; per-record dating awaits import.]</t>
  </si>
  <si>
    <t>A-1084</t>
  </si>
  <si>
    <t>ZERO records in the 45,040-record bulk corpus. Raw hits were false positives: single hit is an atlas chapter on Spanish colonial towns - false positive. [Undated at probe level - catalog spans 1904-1979; per-record dating awaits import.]</t>
  </si>
  <si>
    <t>A-1085</t>
  </si>
  <si>
    <t>A-1086</t>
  </si>
  <si>
    <t>A-1087</t>
  </si>
  <si>
    <t>A-1088</t>
  </si>
  <si>
    <t>A-1089</t>
  </si>
  <si>
    <t>A-1090</t>
  </si>
  <si>
    <t>A-1091</t>
  </si>
  <si>
    <t>A-1092</t>
  </si>
  <si>
    <t>A-1093</t>
  </si>
  <si>
    <t>A-1094</t>
  </si>
  <si>
    <t>A-1095</t>
  </si>
  <si>
    <t>307 digitized-record hits (NMNHINV: Pleocyemata). localities are Margarita ISLAND/BAY (Limon Bay) - the geographic name, consistent with the name-from-tract/island ancestry [Undated at probe level - catalog spans 1904-1979; per-record dating awaits import.]</t>
  </si>
  <si>
    <t>A-1096</t>
  </si>
  <si>
    <t>92 digitized-record hits (NMNHBOTANY: Stigmaphyllon puberum (Rich.) A. Juss.). [Undated at probe level - catalog spans 1904-1979; per-record dating awaits import.]</t>
  </si>
  <si>
    <t>A-1097</t>
  </si>
  <si>
    <t>400 digitized-record hits (NMNHBOTANY: Ludwigia helminthorrhiza (Mart.) H. Hara). [Undated at probe level - catalog spans 1904-1979; per-record dating awaits import.]</t>
  </si>
  <si>
    <t>A-1098</t>
  </si>
  <si>
    <t>122 digitized-record hits (NMNHENTO: Stephanolla cazapana). [Undated at probe level - catalog spans 1904-1979; per-record dating awaits import.]</t>
  </si>
  <si>
    <t>A-1099</t>
  </si>
  <si>
    <t>1600 digitized-record hits (NMNHINV: Gecarcinidae). [Undated at probe level - catalog spans 1904-1979; per-record dating awaits import.]</t>
  </si>
  <si>
    <t>A-1100</t>
  </si>
  <si>
    <t>350 digitized-record hits (SIL: A history of Fort Amador and Fort Grant: the former Panama Canal Zone, Republic of Panama). [Undated at probe level - catalog spans 1904-1979; per-record dating awaits import.]</t>
  </si>
  <si>
    <t>A-1101</t>
  </si>
  <si>
    <t>156 digitized-record hits (NMNHENTO: Acanthinus umbilicatus). [Undated at probe level - catalog spans 1904-1979; per-record dating awaits import.]</t>
  </si>
  <si>
    <t>A-1102</t>
  </si>
  <si>
    <t>12 digitized-record hits (NMNHMAMMALS: Marmosa robinsoni). mammal specimens collected AT Quarry Heights - locality attestations for the still-unlocated HQ [Undated at probe level - catalog spans 1904-1979; per-record dating awaits import.]</t>
  </si>
  <si>
    <t>A-1103</t>
  </si>
  <si>
    <t>4473 digitized-record hits (SIL: Bibliography of papers pertaining to the natural history of Barro Colorado Island, Canal Z). [Undated at probe level - catalog spans 1904-1979; per-record dating awaits import.]</t>
  </si>
  <si>
    <t>A-1104</t>
  </si>
  <si>
    <t>ZERO records in the 45,040-record bulk corpus. [Undated at probe level - catalog spans 1904-1979; per-record dating awaits import.] | repointed CZ-074 -&gt; CZ-031 2026-09-13 (Isla Vista ruled a probable label artifact)</t>
  </si>
  <si>
    <t>A-1105</t>
  </si>
  <si>
    <t>ZERO records in the 45,040-record bulk corpus. Raw hits were false positives: all hits are Cerro Campana (the collecting mountain) - false positives. [Undated at probe level - catalog spans 1904-1979; per-record dating awaits import.]</t>
  </si>
  <si>
    <t>A-1106</t>
  </si>
  <si>
    <t>A-1107</t>
  </si>
  <si>
    <t>A-1108</t>
  </si>
  <si>
    <t>A-1109</t>
  </si>
  <si>
    <t>A-1110</t>
  </si>
  <si>
    <t>ZERO records in the 45,040-record bulk corpus. [Undated at probe level - catalog spans 1904-1979; per-record dating awaits import.] | repointed CZ-106 -&gt; CZ-120 2026-09-13 (Grand Stand label misread on mirrored text)</t>
  </si>
  <si>
    <t>A-1111</t>
  </si>
  <si>
    <t>A-1112</t>
  </si>
  <si>
    <t>A-1113</t>
  </si>
  <si>
    <t>A-1114</t>
  </si>
  <si>
    <t>A-1115</t>
  </si>
  <si>
    <t>A-1116</t>
  </si>
  <si>
    <t>A-1117</t>
  </si>
  <si>
    <t>A-1118</t>
  </si>
  <si>
    <t>A-1119</t>
  </si>
  <si>
    <t>A-1120</t>
  </si>
  <si>
    <t>A-1121</t>
  </si>
  <si>
    <t>A-1122</t>
  </si>
  <si>
    <t>A-1123</t>
  </si>
  <si>
    <t>A-1124</t>
  </si>
  <si>
    <t>A-1125</t>
  </si>
  <si>
    <t>A-1126</t>
  </si>
  <si>
    <t>A-1127</t>
  </si>
  <si>
    <t>A-1128</t>
  </si>
  <si>
    <t>A-1129</t>
  </si>
  <si>
    <t>A-1130</t>
  </si>
  <si>
    <t>A-1131</t>
  </si>
  <si>
    <t>A-1132</t>
  </si>
  <si>
    <t>A-1133</t>
  </si>
  <si>
    <t>A-1134</t>
  </si>
  <si>
    <t>A-1135</t>
  </si>
  <si>
    <t>Plan centroid at the rail x main-street anchor (GEOREF_LOG single-point fit +-50 m; village extent adds ~150 m); the one town plan anchorable to modern ground.</t>
  </si>
  <si>
    <t>A-1136</t>
  </si>
  <si>
    <t>Village marks + label opposite Gorgona on the 1862 plano.</t>
  </si>
  <si>
    <t>A-1137</t>
  </si>
  <si>
    <t>Labeled silver-roll town; later Rainbow City.</t>
  </si>
  <si>
    <t>A-1138</t>
  </si>
  <si>
    <t>Building 164A labeled on the official town map - West Indian congregation on official cartography.</t>
  </si>
  <si>
    <t>A-1139</t>
  </si>
  <si>
    <t>Mt Zion</t>
  </si>
  <si>
    <t>Labeled church/reserve SE of Culebra on the 1905-06 survey. [M3 Pacific re-anchor 2026-09-14: coords transformed to the corrected frame (TPS vs the 1947 graticule sheet).]</t>
  </si>
  <si>
    <t>A-1140</t>
  </si>
  <si>
    <t>ANCON HOSPITAL</t>
  </si>
  <si>
    <t>Complex labeled on Map No.3; coordinate read queued for the Panama City second pass.</t>
  </si>
  <si>
    <t>A-1141</t>
  </si>
  <si>
    <t>ANCON CEMETERY</t>
  </si>
  <si>
    <t>Labeled on Map No.3; coordinate read queued for the Panama City second pass.</t>
  </si>
  <si>
    <t>A-1142</t>
  </si>
  <si>
    <t>CHINESE CEMETERY</t>
  </si>
  <si>
    <t>Labeled on Map No.3; pairs with Museo del Canal S-032; coordinate read queued.</t>
  </si>
  <si>
    <t>A-1143</t>
  </si>
  <si>
    <t>Label + dots by Empire Sta.; the relocated-Empire settlement.</t>
  </si>
  <si>
    <t>A-1144</t>
  </si>
  <si>
    <t>CERRO GORDO</t>
  </si>
  <si>
    <t>CERRO GORDO + camp dots; distinct from CZ-079 Cerro.</t>
  </si>
  <si>
    <t>A-1145</t>
  </si>
  <si>
    <t>Labeled on the 1947 sheet.</t>
  </si>
  <si>
    <t>A-1146</t>
  </si>
  <si>
    <t>Labeled on the 1947 sheet near Coco Solo.</t>
  </si>
  <si>
    <t>A-1147</t>
  </si>
  <si>
    <t>Labeled on the 1947 sheet beside Colon.</t>
  </si>
  <si>
    <t>A-1148</t>
  </si>
  <si>
    <t>Labeled; 'housing area near Cocoli?' per the harvest CSV.</t>
  </si>
  <si>
    <t>A-1149</t>
  </si>
  <si>
    <t>Label + black buildings near the Rio Curundu; namesake question vs CZ-062.</t>
  </si>
  <si>
    <t>A-1150</t>
  </si>
  <si>
    <t>Pedro Miguel (property blocks)</t>
  </si>
  <si>
    <t>Blocks drawn ~1.2 km W of the old town dot; pixel read queued - split 2026-09-13.</t>
  </si>
  <si>
    <t>A-1151</t>
  </si>
  <si>
    <t>naId 5838606; ED 1-2</t>
  </si>
  <si>
    <t>1940 Census ED map item (12 pp): the Census Bureau mapped this town for enumeration - dated official cartographic presence.</t>
  </si>
  <si>
    <t>A-1152</t>
  </si>
  <si>
    <t>naId 5838607; ED 1-7, ED 1-8</t>
  </si>
  <si>
    <t>A-1153</t>
  </si>
  <si>
    <t>naId 5838608; ED 1-18</t>
  </si>
  <si>
    <t>1940 Census ED map item (8 pp): the Census Bureau mapped this town for enumeration - dated official cartographic presence.</t>
  </si>
  <si>
    <t>A-1154</t>
  </si>
  <si>
    <t>naId 5838609; ED 1-21</t>
  </si>
  <si>
    <t>1940 Census ED map item (4 pp): the Census Bureau mapped this town for enumeration - dated official cartographic presence.</t>
  </si>
  <si>
    <t>A-1155</t>
  </si>
  <si>
    <t>naId 5838611; no ED in title</t>
  </si>
  <si>
    <t>1940 Census ED map item (4 pp): the Census Bureau mapped this town for enumeration - dated official cartographic presence. | repointed CZ-023 -&gt; CZ-173 2026-09-13 (Frijoles split: the relocated-line station is its own place)</t>
  </si>
  <si>
    <t>A-1156</t>
  </si>
  <si>
    <t>naId 5838613; ED 1-33</t>
  </si>
  <si>
    <t>1940 Census ED map item (6 pp): the Census Bureau mapped this town for enumeration - dated official cartographic presence.</t>
  </si>
  <si>
    <t>A-1157</t>
  </si>
  <si>
    <t>naId 5838614; ED 1-34</t>
  </si>
  <si>
    <t>A-1158</t>
  </si>
  <si>
    <t>naId 5838615; ED 1-37</t>
  </si>
  <si>
    <t>A-1159</t>
  </si>
  <si>
    <t>naId 5838616; ED 1-16</t>
  </si>
  <si>
    <t>A-1160</t>
  </si>
  <si>
    <t>naId 5838622; ED 2-6</t>
  </si>
  <si>
    <t>A-1161</t>
  </si>
  <si>
    <t>Fort William Davis Military Reservation</t>
  </si>
  <si>
    <t>naId 5838623; ED 2-3, ED 2-7, ED 2-12, ED 2</t>
  </si>
  <si>
    <t>A-1162</t>
  </si>
  <si>
    <t>naId 5838624; ED 2-12</t>
  </si>
  <si>
    <t>1940 Census ED map item (15 pp): the Census Bureau mapped this town for enumeration - dated official cartographic presence.</t>
  </si>
  <si>
    <t>A-1163</t>
  </si>
  <si>
    <t>naId 5838625; ED 2-22</t>
  </si>
  <si>
    <t>A-1164</t>
  </si>
  <si>
    <t>naId 5838626; ED 2-14</t>
  </si>
  <si>
    <t>A-1165</t>
  </si>
  <si>
    <t>dloc1 item-level probe 2026-09-13</t>
  </si>
  <si>
    <t>0 items in the digitized Caribbean corpus co-mention this name + panama - the Caribbean press silence, bounded to what is digitized (dloc1).</t>
  </si>
  <si>
    <t>A-1166</t>
  </si>
  <si>
    <t>A-1167</t>
  </si>
  <si>
    <t>A-1168</t>
  </si>
  <si>
    <t>dLOC Caribbean corpus: 26 items co-mention this name + panama (2 beyond the already-swept PCM overlap; item dates seen 1867-Sept). ITEM-level lead - KWIC verification pending; undated by design. | KWIC 2026-09-13 - VERIFIED (relocation aftermath): 1915 Panamanian gazette timetables serve 'Nueva Gorgona' (Chame) - the displaced community's resettlement town, not the drowned site; date excluded from this place's dating (AA00087627 00157 p7)</t>
  </si>
  <si>
    <t>A-1169</t>
  </si>
  <si>
    <t>dLOC Caribbean corpus: 8 items co-mention this name + panama (3 beyond the already-swept PCM overlap; item dates seen 1925-Octo). ITEM-level lead - KWIC verification pending; undated by design. | KWIC 2026-09-13 - VERIFIED: St. Croix Avis, French era: 'At Emperador the new town on the side of the hill is finished' + per-town works table 'Emperador 80,000' (AA00083639 01508 p1, 06863 p3); late-era 'NUEVO EMPERADOR' AP stories continue the toponym | repointed CZ-201 -&gt; CZ-011 2026-09-14 (CZ-201 erased): the French-era 'new town on the side of the hill' IS Empire under its Spanish name; the 1990s NUEVO EMPERADOR datelines refer to the Arraijan-side village, kept here as toponym-afterlife context only.</t>
  </si>
  <si>
    <t>A-1170</t>
  </si>
  <si>
    <t>dLOC Caribbean corpus: 27 items co-mention this name + panama (2 beyond the already-swept PCM overlap; item dates seen 1908-Sept). ITEM-level lead - KWIC verification pending; undated by design. | KWIC 2026-09-13 - VERIFIED: Panama American/AP: Jamaican-descended resident born in the Zone 'lives in a trim Canal Zone block house close to the Pedro Miguel Locks' (AA00083639 15681 p57) - Caribbean-voice testimony at the locks town; person-name matches ('Pedro Miguel Gonzalez') excluded as false positives</t>
  </si>
  <si>
    <t>A-1171</t>
  </si>
  <si>
    <t>A-1172</t>
  </si>
  <si>
    <t>A-1173</t>
  </si>
  <si>
    <t>dLOC Caribbean corpus: 21 items co-mention this name + panama (1 beyond the already-swept PCM overlap; item dates seen 1925-Sept). ITEM-level lead - KWIC verification pending; undated by design. | KWIC 2026-09-13 - VERIFIED (era note): Panama American c.1925: 'Cocoli Cotillion Class Graduates Tonight', Pacific Twilight League Cocoli team (AA00010883) - PRE-dates the Third Locks townsite (CZ-171): boundary evidence for the split</t>
  </si>
  <si>
    <t>A-1174</t>
  </si>
  <si>
    <t>A-1175</t>
  </si>
  <si>
    <t>dloc1 item-level probe 2026-09-13 (pcm-overlap lane)</t>
  </si>
  <si>
    <t>dLOC Caribbean corpus: 1 item(s) co-mention this name + panama; all sit in the PCM aggregation, which earlier sweeps item-searched only against the smaller then-current roster - so this is a fresh lead for this place. Item dates seen 2003-2003. KWIC verification pending; undated by design. | KWIC 2026-09-13 - VERIFIED (retrospective): Isthmian Collectors Club Journal reprints construction-era captions: 'WASH DAY ON THE CHAGRES RIVER MATACHIN C.Z.', TR 'At Bas Matachin... machine shops, foundries' (AA00114072 2003-04 p5-6); reprints, not new dates</t>
  </si>
  <si>
    <t>A-1176</t>
  </si>
  <si>
    <t>dLOC Caribbean corpus: 3 item(s) co-mention this name + panama; all sit in the PCM aggregation, which earlier sweeps item-searched only against the smaller then-current roster - so this is a fresh lead for this place. Item dates seen 1907-1989. KWIC verification pending; undated by design. | KWIC 2026-09-13 - VERIFIED (retrospective): ICC Journal reprint of 1911-01 report: 'Mr. Seligman, the aviator, will make a flight... from New Gatun'; photo catalogs 'Old French Village and New Gatun' (AA00114072 1989-08)</t>
  </si>
  <si>
    <t>A-1177</t>
  </si>
  <si>
    <t>dLOC Caribbean corpus: 6 item(s) co-mention this name + panama; all sit in the PCM aggregation, which earlier sweeps item-searched only against the smaller then-current roster - so this is a fresh lead for this place. Item dates seen 1989-2007. KWIC verification pending; undated by design. | KWIC 2026-09-13 - VERIFIED (retrospective): ICC Journal: 'BAS OBISPO C.Z. FEB 1906' captions; 'Camp Elliott... adjacent to the existing old French town of Bas Obispo' (AA00114072)</t>
  </si>
  <si>
    <t>A-1178</t>
  </si>
  <si>
    <t>dLOC Caribbean corpus: 6 item(s) co-mention this name + panama; all sit in the PCM aggregation, which earlier sweeps item-searched only against the smaller then-current roster - so this is a fresh lead for this place. Item dates seen 1907-[191. KWIC verification pending; undated by design. | KWIC 2026-09-13 - VERIFIED (retrospective): ICC Journal: 'Street Scene at Las Cascadas, Canal Zone' caption series, JAN 1907 ballpark caption (AA00114072 1993-01)</t>
  </si>
  <si>
    <t>A-1179</t>
  </si>
  <si>
    <t>dLOC Caribbean corpus: 1 item(s) co-mention this name + panama; all sit in the PCM aggregation, which earlier sweeps item-searched only against the smaller then-current roster - so this is a fresh lead for this place. Item dates seen 1965-1965. KWIC verification pending; undated by design. | KWIC 2026-09-13 - VERIFIED (retrospective): USMC 1965 photo caption 'CAMP ELLIOTT, PANAMA - Marines...' - mounted units stationed through 1911 (AA00114114 1965-11)</t>
  </si>
  <si>
    <t>A-1180</t>
  </si>
  <si>
    <t>dLOC Caribbean corpus: 4 item(s) co-mention this name + panama; all sit in the PCM aggregation, which earlier sweeps item-searched only against the smaller then-current roster - so this is a fresh lead for this place. Item dates seen Janu-[191. KWIC verification pending; undated by design. | KWIC 2026-09-13 - VERIFIED: Panama American: 'New Frijoles was a better town than Monte Lirio' (community rivalry quip) + Monte Lirio in the tide/schedule tables (AA00010883) - live town-era references</t>
  </si>
  <si>
    <t>A-1181</t>
  </si>
  <si>
    <t>dLOC Caribbean corpus: 1 item(s) co-mention this name + panama; all sit in the PCM aggregation, which earlier sweeps item-searched only against the smaller then-current roster - so this is a fresh lead for this place. Item dates seen 1949-1949. KWIC verification pending; undated by design. | KWIC 2026-09-13 - CLARIFIED (toponym afterlife): the 1949 hit is USGS paleontology: the 'Gatuncillo formation' (Eocene), the rock unit NAMED for the drowned village near its type area (AA00054952 1949) - not a settlement record; the name outlived the place in stratigraphy</t>
  </si>
  <si>
    <t>A-1182</t>
  </si>
  <si>
    <t>dLOC Caribbean corpus: 4 item(s) co-mention this name + panama; all sit in the PCM aggregation, which earlier sweeps item-searched only against the smaller then-current roster - so this is a fresh lead for this place. Item dates seen 1907-Marc. KWIC verification pending; undated by design. | KWIC 2026-09-13 - VERIFIED (strong): 'Pacifico' - La Boca school yearbook 1959: 'TO MY LA BOCA and RED TANK CANAL ZONE BUDDIES', 'Red Tank School', Carlos Garnett 'born in Red Tank... grew up in Red Tank and Paraiso' (AA00015058 1959) - silver-roll community self-documentation, incl. Kingston, Jamaica school ties</t>
  </si>
  <si>
    <t>A-1183</t>
  </si>
  <si>
    <t>dLOC Caribbean corpus: 1 item(s) co-mention this name + panama; all sit in the PCM aggregation, which earlier sweeps item-searched only against the smaller then-current roster - so this is a fresh lead for this place. Item dates seen 1957-1957. KWIC verification pending; undated by design. | KWIC 2026-09-13 - CLARIFIED (submergence record): 1957 USGS memoir: 'Vamos Vamos station, Panama Canal... the nearby SUBMERGED Vamos Vamos locality' (AA00022346 1957) - independent scientific record that the site drowned; date excluded from settlement dating</t>
  </si>
  <si>
    <t>A-1184</t>
  </si>
  <si>
    <t>dLOC Caribbean corpus: 64 item(s) co-mention this name + panama; all sit in the PCM aggregation, which earlier sweeps item-searched only against the smaller then-current roster - so this is a fresh lead for this place. Item dates seen Apri-Sept. KWIC verification pending; undated by design. | KWIC 2026-09-13 - VERIFIED (strong): IHS 'Silver People' letter: 'Hodges, George; 5th Cuba Ave... Guachapali, Panama R.P. My arrival on the Isthmus May 21st, 1906... steam ship Tagus' (AA00016037 p0 - see S-036) + West Indian lodge addresses 'Morning Star Lodge, St Guachapali' in the Panama press (AA00027053)</t>
  </si>
  <si>
    <t>A-1185</t>
  </si>
  <si>
    <t>dLOC Caribbean corpus: 41 item(s) co-mention this name + panama; all sit in the PCM aggregation, which earlier sweeps item-searched only against the smaller then-current roster - so this is a fresh lead for this place. Item dates seen 1925-Sept. KWIC verification pending; undated by design. | KWIC 2026-09-13 - VERIFIED (retrospective): Zonian reunion/Spillway retrospectives: 'The Curundu Post Theater...', 'CURUNDU CLUBHOUSE MINI-REUNION' (AA00010871 2015-06)</t>
  </si>
  <si>
    <t>A-1186</t>
  </si>
  <si>
    <t>dLOC Caribbean corpus: 2 item(s) co-mention this name + panama; all sit in the PCM aggregation, which earlier sweeps item-searched only against the smaller then-current roster - so this is a fresh lead for this place. Item dates seen Marc-Sept. KWIC verification pending; undated by design. | KWIC 2026-09-13 - VERIFIED: Panama American 1949: Atlantic Twilight Baseball League 'Coco Solito tangling with Powell's Garage'; birth announcements of Coco Solito residents (AA00010883 1949)</t>
  </si>
  <si>
    <t>A-1187</t>
  </si>
  <si>
    <t>dLOC Caribbean corpus: 7 item(s) co-mention this name + panama; all sit in the PCM aggregation, which earlier sweeps item-searched only against the smaller then-current roster - so this is a fresh lead for this place. Item dates seen 1925-Octo. KWIC verification pending; undated by design. | KWIC 2026-09-13 - VERIFIED: Panama American society/scout notes: 'Troop 31 of New Cristobal', 'now at home in New Cristobal' (AA00010883)</t>
  </si>
  <si>
    <t>A-1188</t>
  </si>
  <si>
    <t>naId 5838612; ED 1-6</t>
  </si>
  <si>
    <t>1940 Census ED map item (1 pp): the leper colony mapped and enumerated as its own district - an institution of confinement rendered administratively visible while its residents were segregated from the Zone's towns.</t>
  </si>
  <si>
    <t>A-1189</t>
  </si>
  <si>
    <t>Guachapali, Panama, R.P.</t>
  </si>
  <si>
    <t>AA00016037 (dLOC), Hodges letter</t>
  </si>
  <si>
    <t>First-person West Indian testimony: George Hodges, 5th Cuba Ave, Guachapali - arrived 21 May 1906 aboard SS Tagus; written for the 1963 IHS competition. The Silver People letters, full-text on dLOC - counter-archive gold; full-roster probe queued.</t>
  </si>
  <si>
    <t>A-1190</t>
  </si>
  <si>
    <t>AA00010883 (Panama American)</t>
  </si>
  <si>
    <t>'New Frijoles was a better town than Monte Lirio' - Panama American community quip; live town-era press reference to the relocated station town. KWIC 2026-09-13.</t>
  </si>
  <si>
    <t>A-1191</t>
  </si>
  <si>
    <t>Chronicling America page search (roster probe 2026-09-13)</t>
  </si>
  <si>
    <t>18 newspaper-page hits for "El Vigia" + "Panama", Chronicling America 1880-1920; earliest 1884-11-09. 'El Vigia' is also a prominent Venezuelan town. [Undated at probe level - KWIC verification needed before dating / page import.]</t>
  </si>
  <si>
    <t>A-1192</t>
  </si>
  <si>
    <t>16 newspaper-page hits for "Agua Clara" + "Panama", Chronicling America 1880-1920; earliest 1883-12-07. 'Agua Clara' is a common Hispanic toponym. [Undated at probe level - KWIC verification needed before dating / page import.]</t>
  </si>
  <si>
    <t>A-1193</t>
  </si>
  <si>
    <t>ZERO newspaper-page hits for "Juan Mina" + "Panama", Chronicling America 1880-01-01..1920-12-31 (searched 2026-09-13). Coverage caveat: digitized US titles only - Panama-local and Caribbean papers largely absent from the corpus.</t>
  </si>
  <si>
    <t>A-1194</t>
  </si>
  <si>
    <t>3901 newspaper-page hits for "Whitehouse" + "Panama", Chronicling America 1880-1920; earliest 1880-01-06. 'Whitehouse' is a common surname and matches White House OCR variants. [Undated at probe level - KWIC verification needed before dating / page import.]</t>
  </si>
  <si>
    <t>A-1195</t>
  </si>
  <si>
    <t>8 newspaper-page hits for "Vamos Vamos" + "Panama", Chronicling America 1880-1920; earliest 1893-06-01. Phrase unique to the Chagres town. Dated to earliest hit; per-page import + KWIC verification pending.</t>
  </si>
  <si>
    <t>A-1196</t>
  </si>
  <si>
    <t>70 newspaper-page hits for "Pena Blanca" + "Panama", Chronicling America 1880-1920; earliest 1884-06-27. 'Pena Blanca' is a common Hispanic toponym (NM etc.). [Undated at probe level - KWIC verification needed before dating / page import.]</t>
  </si>
  <si>
    <t>A-1197</t>
  </si>
  <si>
    <t>3 newspaper-page hits for "Cartagenita" + "Panama", Chronicling America 1880-1920; earliest 1908-05-10. Dated to earliest hit; per-page import + KWIC verification pending.</t>
  </si>
  <si>
    <t>A-1198</t>
  </si>
  <si>
    <t>5 newspaper-page hits for "Palo Grande" + "Panama", Chronicling America 1880-1920; earliest 1881-08-18. 'Palo Grande' is a common Hispanic toponym. [Undated at probe level - KWIC verification needed before dating / page import.]</t>
  </si>
  <si>
    <t>A-1199</t>
  </si>
  <si>
    <t>15 newspaper-page hits for "Cocoli" + "Panama", Chronicling America 1880-1920; earliest 1905-07-05. Dated to earliest hit; per-page import + KWIC verification pending.</t>
  </si>
  <si>
    <t>A-1200</t>
  </si>
  <si>
    <t>3250 newspaper-page hits for "Margarita" + "Panama", Chronicling America 1880-1920; earliest 1880-01-31. 'Margarita' dominated by the Venezuelan island and personal names; earliest 1880 predates c.1917 town. [Undated at probe level - KWIC verification needed before dating / page import.]</t>
  </si>
  <si>
    <t>A-1201</t>
  </si>
  <si>
    <t>59 newspaper-page hits for "Coco Solo" + "Panama", Chronicling America 1880-1920; earliest 1893-03-08. Earliest 1893 predates the c.1918 naval base; may reflect the pre-base locality name or the Spanish phrase 'coco solo' - KWIC needed. [Undated at probe level - KWIC verification needed before dating / page import.]</t>
  </si>
  <si>
    <t>A-1202</t>
  </si>
  <si>
    <t>2 newspaper-page hits for "Fort Clayton" + "Panama", Chronicling America 1880-1920; earliest 1919-07-24. Earliest hit coincides with the fort establishment c.1919. Dated to earliest hit; per-page import + KWIC verification pending.</t>
  </si>
  <si>
    <t>A-1203</t>
  </si>
  <si>
    <t>687 newspaper-page hits for "Fort Davis" + "Panama", Chronicling America 1880-1920; earliest 1880-03-21. Almost certainly Fort Davis, Texas; the CZ fort (c.1919) barely overlaps the 1880-1920 window. [Undated at probe level - KWIC verification needed before dating / page import.]</t>
  </si>
  <si>
    <t>A-1204</t>
  </si>
  <si>
    <t>241 newspaper-page hits for "Fort Sherman" + "Panama", Chronicling America 1880-1920; earliest 1880-12-23. Multiple historic US Fort Shermans; CZ fort c.1912. [Undated at probe level - KWIC verification needed before dating / page import.]</t>
  </si>
  <si>
    <t>A-1205</t>
  </si>
  <si>
    <t>54 newspaper-page hits for "Fort Amador" + "Panama", Chronicling America 1880-1920; earliest 1909-05-07. Earliest 1909 predates the c.1913 fort; 'Amador' is a prominent Panamanian surname. [Undated at probe level - KWIC verification needed before dating / page import.]</t>
  </si>
  <si>
    <t>A-1206</t>
  </si>
  <si>
    <t>Albrook</t>
  </si>
  <si>
    <t>141 newspaper-page hits for "Albrook" + "Panama", Chronicling America 1880-1920; earliest 1884-12-04. 'Albrook' is a surname; the airfield dates from c.1928, entirely outside the searched window. [Undated at probe level - KWIC verification needed before dating / page import.]</t>
  </si>
  <si>
    <t>A-1207</t>
  </si>
  <si>
    <t>15 newspaper-page hits for "Quarry Heights" + "Panama", Chronicling America 1880-1920; earliest 1916-07-28. Corroborates NARA "Quarry Heights June 1916" photo title. Dated to earliest hit; per-page import + KWIC verification pending.</t>
  </si>
  <si>
    <t>A-1208</t>
  </si>
  <si>
    <t>7 newspaper-page hits for "Barro Colorado" + "Panama", Chronicling America 1880-1920; earliest 1891-07-16. Earliest hit predates the c.1914 lake island naming - KWIC needed. [Undated at probe level - KWIC verification needed before dating / page import.]</t>
  </si>
  <si>
    <t>A-1209</t>
  </si>
  <si>
    <t>1 newspaper-page hits for "Isla Vista" + "Panama", Chronicling America 1880-1920; earliest 1890-02-26. 'Isla Vista' is also a common US subdivision name. [Undated at probe level - KWIC verification needed before dating / page import.] | REPOINTED 2026-09-16 by the integrity sweep: CZ-074 Isla Vista was merged into CZ-031 Buena Vista on 2026-09-13. The row was left behind by that merge and was invisible to the model until now. | RETRACTED 2026-09-16: the single newspaper hit for 'Isla Vista' is a United States subdivision name, and Isla Vista was ruled a reading artifact of the 1862 label after seven consecutive zeros. Repointed for the record; not counted as evidence.</t>
  </si>
  <si>
    <t>A-1210</t>
  </si>
  <si>
    <t>7 newspaper-page hits for "Haut Obispo" + "Panama", Chronicling America 1880-1920; earliest 1883-10-28. French-era name; 1883 consistent with pre-1895 start and corroborates the SI Haut Obispo 1896 record. Dated to earliest hit; per-page import + KWIC verification pending.</t>
  </si>
  <si>
    <t>A-1211</t>
  </si>
  <si>
    <t>ZERO newspaper-page hits for "Alto Emperador" + "Panama", Chronicling America 1880-01-01..1920-12-31 (searched 2026-09-13). Coverage caveat: digitized US titles only - Panama-local and Caribbean papers largely absent from the corpus.</t>
  </si>
  <si>
    <t>A-1212</t>
  </si>
  <si>
    <t>7 newspaper-page hits for "Corosita" + "Panama", Chronicling America 1880-1920; earliest 1899-01-02. Earliest hit predates claimed c.1905 start - potential French-era evidence, KWIC priority. [Undated at probe level - KWIC verification needed before dating / page import.]</t>
  </si>
  <si>
    <t>A-1213</t>
  </si>
  <si>
    <t>9 newspaper-page hits for "Cunette" + "Panama", Chronicling America 1880-1920; earliest 1897-08-18. 'Cunette' is also a canal-engineering common noun (drainage trench); earliest 1897 predates claimed c.1905 start - KWIC needed. [Undated at probe level - KWIC verification needed before dating / page import.]</t>
  </si>
  <si>
    <t>A-1214</t>
  </si>
  <si>
    <t>ZERO newspaper-page hits for "Cerro camp" + "Panama", Chronicling America 1880-01-01..1920-12-31 (searched 2026-09-13). Coverage caveat: digitized US titles only - Panama-local and Caribbean papers largely absent from the corpus.</t>
  </si>
  <si>
    <t>A-1215</t>
  </si>
  <si>
    <t>2 newspaper-page hits for "Caballo Viejo" + "Panama", Chronicling America 1880-1920; earliest 1902-04-04. Dated to earliest hit; per-page import + KWIC verification pending.</t>
  </si>
  <si>
    <t>A-1216</t>
  </si>
  <si>
    <t>14 newspaper-page hits for "Chagresito" + "Panama", Chronicling America 1880-1920; earliest 1912-07-26. Dated to earliest hit; per-page import + KWIC verification pending.</t>
  </si>
  <si>
    <t>A-1217</t>
  </si>
  <si>
    <t>8 newspaper-page hits for "Caimito Mulato" + "Panama", Chronicling America 1880-1920; earliest 1907-12-03. Dated to earliest hit; per-page import + KWIC verification pending.</t>
  </si>
  <si>
    <t>A-1218</t>
  </si>
  <si>
    <t>ZERO newspaper-page hits for "Las Penitas" + "Panama", Chronicling America 1880-01-01..1920-12-31 (searched 2026-09-13). Coverage caveat: digitized US titles only - Panama-local and Caribbean papers largely absent from the corpus.</t>
  </si>
  <si>
    <t>A-1219</t>
  </si>
  <si>
    <t>1 newspaper-page hits for "Palo Matias" + "Panama", Chronicling America 1880-1920; earliest 1902-01-26. Dated to earliest hit; per-page import + KWIC verification pending.</t>
  </si>
  <si>
    <t>A-1220</t>
  </si>
  <si>
    <t>ZERO newspaper-page hits for "Empire silver quarters" + "Panama", Chronicling America 1880-01-01..1920-12-31 (searched 2026-09-13). Coverage caveat: digitized US titles only - Panama-local and Caribbean papers largely absent from the corpus.</t>
  </si>
  <si>
    <t>A-1221</t>
  </si>
  <si>
    <t>ZERO newspaper-page hits for "Empire gold quarters" + "Panama", Chronicling America 1880-01-01..1920-12-31 (searched 2026-09-13). Coverage caveat: digitized US titles only - Panama-local and Caribbean papers largely absent from the corpus.</t>
  </si>
  <si>
    <t>A-1222</t>
  </si>
  <si>
    <t>Empire plaza</t>
  </si>
  <si>
    <t>ZERO newspaper-page hits for "Empire plaza" + "Panama", Chronicling America 1880-01-01..1920-12-31 (searched 2026-09-13). Coverage caveat: digitized US titles only - Panama-local and Caribbean papers largely absent from the corpus. | REPOINTED 2026-09-16 by the integrity sweep: CZ-106 Empire Plaza was merged into CZ-120 on 2026-09-13. The row was left behind by that merge and was invisible to the model until now.</t>
  </si>
  <si>
    <t>A-1223</t>
  </si>
  <si>
    <t>Empire church</t>
  </si>
  <si>
    <t>7 newspaper-page hits for "Empire church" + "Panama", Chronicling America 1880-1920; earliest 1902-07-22. 'Empire church' phrase matches non-CZ contexts; earliest 1902 predates claimed 1906 start. [Undated at probe level - KWIC verification needed before dating / page import.]</t>
  </si>
  <si>
    <t>A-1224</t>
  </si>
  <si>
    <t>Empire cemetery</t>
  </si>
  <si>
    <t>2 newspaper-page hits for "Empire cemetery" + "Panama", Chronicling America 1880-1920; earliest 1907-12-07. KWIC PRIORITY: if verified, newspaper presence vs. Canal Record silence is a differential-visibility finding. [Undated at probe level - KWIC verification needed before dating / page import.]</t>
  </si>
  <si>
    <t>A-1225</t>
  </si>
  <si>
    <t>479 newspaper-page hits for "Spanish Town" + "Panama", Chronicling America 1880-1920; earliest 1880-11-10. Most hits are Spanish Town, Jamaica, in Caribbean news columns; earliest predates claimed c.1906 start. [Undated at probe level - KWIC verification needed before dating / page import.]</t>
  </si>
  <si>
    <t>A-1226</t>
  </si>
  <si>
    <t>86 newspaper-page hits for "Golden Green" + "Panama", Chronicling America 1880-1920; earliest 1881-03-04. Color-phrase risk ('golden green'); earliest 1881 predates claimed c.1907 start. [Undated at probe level - KWIC verification needed before dating / page import.]</t>
  </si>
  <si>
    <t>A-1227</t>
  </si>
  <si>
    <t>2 newspaper-page hits for "Carabali" + "Panama", Chronicling America 1880-1920; earliest 1906-02-20. Distinctive name; within claimed lifespan. Dated to earliest hit; per-page import + KWIC verification pending.</t>
  </si>
  <si>
    <t>A-1228</t>
  </si>
  <si>
    <t>ZERO newspaper-page hits for "Casa Larga" + "Panama", Chronicling America 1880-01-01..1920-12-31 (searched 2026-09-13). Coverage caveat: digitized US titles only - Panama-local and Caribbean papers largely absent from the corpus.</t>
  </si>
  <si>
    <t>A-1229</t>
  </si>
  <si>
    <t>ZERO newspaper-page hits for "San Juan de Pequeni" + "Panama", Chronicling America 1880-01-01..1920-12-31 (searched 2026-09-13). Coverage caveat: digitized US titles only - Panama-local and Caribbean papers largely absent from the corpus.</t>
  </si>
  <si>
    <t>A-1230</t>
  </si>
  <si>
    <t>141 newspaper-page hits for "Tranquilla" + "Panama", Chronicling America 1880-1920; earliest 1894-08-28. 'Tranquilla' also occurs as a common noun / vessel name. [Undated at probe level - KWIC verification needed before dating / page import.]</t>
  </si>
  <si>
    <t>A-1231</t>
  </si>
  <si>
    <t>49 newspaper-page hits for "Dos Bocas" + "Panama", Chronicling America 1880-1920; earliest 1886-02-07. 'Dos Bocas' also names the famous 1908 Mexican oil-well fire and other sites. [Undated at probe level - KWIC verification needed before dating / page import.]</t>
  </si>
  <si>
    <t>A-1232</t>
  </si>
  <si>
    <t>2984 newspaper-page hits for "Campanas" + "Panama", Chronicling America 1880-1920; earliest 1880-01-08. 'Campanas' is a generic Spanish noun (bells); hit count dominated by false positives. [Undated at probe level - KWIC verification needed before dating / page import.]</t>
  </si>
  <si>
    <t>A-1233</t>
  </si>
  <si>
    <t>1 newspaper-page hits for "Empire court house" + "Panama", Chronicling America 1880-1920; earliest 1905-11-02. Phrase may match 'Inland Empire' court houses etc. [Undated at probe level - KWIC verification needed before dating / page import.]</t>
  </si>
  <si>
    <t>A-1234</t>
  </si>
  <si>
    <t>Empire ball</t>
  </si>
  <si>
    <t>12 newspaper-page hits for "Empire ball" + "Panama", Chronicling America 1880-1920; earliest 1907-11-20. 'Empire Ball' matches society-ball reporting. [Undated at probe level - KWIC verification needed before dating / page import.]</t>
  </si>
  <si>
    <t>A-1235</t>
  </si>
  <si>
    <t>Empire hotel</t>
  </si>
  <si>
    <t>260 newspaper-page hits for "Empire hotel" + "Panama", Chronicling America 1880-1920; earliest 1882-01-12. 'Empire Hotel' is a ubiquitous hotel name. [Undated at probe level - KWIC verification needed before dating / page import.]</t>
  </si>
  <si>
    <t>A-1236</t>
  </si>
  <si>
    <t>Empire police</t>
  </si>
  <si>
    <t>10 newspaper-page hits for "Empire police" + "Panama", Chronicling America 1880-1920; earliest 1905-07-22. 'Empire police' matches imperial-policing contexts. [Undated at probe level - KWIC verification needed before dating / page import.]</t>
  </si>
  <si>
    <t>A-1237</t>
  </si>
  <si>
    <t>Empire shops</t>
  </si>
  <si>
    <t>20 newspaper-page hits for "Empire shops" + "Panama", Chronicling America 1880-1920; earliest 1905-12-09. 'Empire shops' may match commercial-empire phrasing. [Undated at probe level - KWIC verification needed before dating / page import.]</t>
  </si>
  <si>
    <t>A-1238</t>
  </si>
  <si>
    <t>Empire clubhouse</t>
  </si>
  <si>
    <t>ZERO newspaper-page hits for "Empire clubhouse" + "Panama", Chronicling America 1880-01-01..1920-12-31 (searched 2026-09-13). Coverage caveat: digitized US titles only - Panama-local and Caribbean papers largely absent from the corpus.</t>
  </si>
  <si>
    <t>A-1239</t>
  </si>
  <si>
    <t>Empire post office</t>
  </si>
  <si>
    <t>ZERO newspaper-page hits for "Empire post office" + "Panama", Chronicling America 1880-01-01..1920-12-31 (searched 2026-09-13). Coverage caveat: digitized US titles only - Panama-local and Caribbean papers largely absent from the corpus.</t>
  </si>
  <si>
    <t>A-1240</t>
  </si>
  <si>
    <t>Empire dispensary</t>
  </si>
  <si>
    <t>ZERO newspaper-page hits for "Empire dispensary" + "Panama", Chronicling America 1880-01-01..1920-12-31 (searched 2026-09-13). Coverage caveat: digitized US titles only - Panama-local and Caribbean papers largely absent from the corpus.</t>
  </si>
  <si>
    <t>A-1241</t>
  </si>
  <si>
    <t>Gorgona market</t>
  </si>
  <si>
    <t>ZERO newspaper-page hits for "Gorgona market" + "Panama", Chronicling America 1880-01-01..1920-12-31 (searched 2026-09-13). Coverage caveat: digitized US titles only - Panama-local and Caribbean papers largely absent from the corpus.</t>
  </si>
  <si>
    <t>A-1242</t>
  </si>
  <si>
    <t>Gorgona clubhouse</t>
  </si>
  <si>
    <t>ZERO newspaper-page hits for "Gorgona clubhouse" + "Panama", Chronicling America 1880-01-01..1920-12-31 (searched 2026-09-13). Coverage caveat: digitized US titles only - Panama-local and Caribbean papers largely absent from the corpus.</t>
  </si>
  <si>
    <t>A-1243</t>
  </si>
  <si>
    <t>2 newspaper-page hits for "Gorgona hotel" + "Panama", Chronicling America 1880-1920; earliest 1907-10-15. 'Gorgona hotel' may match Gorgona, Colombia / Italy. [Undated at probe level - KWIC verification needed before dating / page import.]</t>
  </si>
  <si>
    <t>A-1244</t>
  </si>
  <si>
    <t>Culebra clubhouse</t>
  </si>
  <si>
    <t>2 newspaper-page hits for "Culebra clubhouse" + "Panama", Chronicling America 1880-1920; earliest 1912-09-13. Compound phrase is CZ-specific. Dated to earliest hit; per-page import + KWIC verification pending.</t>
  </si>
  <si>
    <t>A-1245</t>
  </si>
  <si>
    <t>Culebra hotel</t>
  </si>
  <si>
    <t>13 newspaper-page hits for "Culebra hotel" + "Panama", Chronicling America 1880-1920; earliest 1905-06-28. Culebra also names the Puerto Rican island; hotel phrase generic. [Undated at probe level - KWIC verification needed before dating / page import.]</t>
  </si>
  <si>
    <t>A-1246</t>
  </si>
  <si>
    <t>Culebra post office</t>
  </si>
  <si>
    <t>ZERO newspaper-page hits for "Culebra post office" + "Panama", Chronicling America 1880-01-01..1920-12-31 (searched 2026-09-13). Coverage caveat: digitized US titles only - Panama-local and Caribbean papers largely absent from the corpus.</t>
  </si>
  <si>
    <t>A-1247</t>
  </si>
  <si>
    <t>Culebra church</t>
  </si>
  <si>
    <t>ZERO newspaper-page hits for "Culebra church" + "Panama", Chronicling America 1880-01-01..1920-12-31 (searched 2026-09-13). Coverage caveat: digitized US titles only - Panama-local and Caribbean papers largely absent from the corpus.</t>
  </si>
  <si>
    <t>A-1248</t>
  </si>
  <si>
    <t>Colored school Culebra</t>
  </si>
  <si>
    <t>ZERO newspaper-page hits for "Colored school Culebra" + "Panama", Chronicling America 1880-01-01..1920-12-31 (searched 2026-09-13). Coverage caveat: digitized US titles only - Panama-local and Caribbean papers largely absent from the corpus.</t>
  </si>
  <si>
    <t>A-1249</t>
  </si>
  <si>
    <t>Culebra commissary</t>
  </si>
  <si>
    <t>ZERO newspaper-page hits for "Culebra commissary" + "Panama", Chronicling America 1880-01-01..1920-12-31 (searched 2026-09-13). Coverage caveat: digitized US titles only - Panama-local and Caribbean papers largely absent from the corpus.</t>
  </si>
  <si>
    <t>A-1250</t>
  </si>
  <si>
    <t>Culebra depot</t>
  </si>
  <si>
    <t>ZERO newspaper-page hits for "Culebra depot" + "Panama", Chronicling America 1880-01-01..1920-12-31 (searched 2026-09-13). Coverage caveat: digitized US titles only - Panama-local and Caribbean papers largely absent from the corpus.</t>
  </si>
  <si>
    <t>A-1251</t>
  </si>
  <si>
    <t>1 newspaper-page hits for "Paraiso shops" + "Panama", Chronicling America 1880-1920; earliest 1915-02-20. Compound phrase is CZ-specific; shops active in 1915. Dated to earliest hit; per-page import + KWIC verification pending.</t>
  </si>
  <si>
    <t>A-1252</t>
  </si>
  <si>
    <t>Pedro Miguel labor camp</t>
  </si>
  <si>
    <t>ZERO newspaper-page hits for "Pedro Miguel labor camp" + "Panama", Chronicling America 1880-01-01..1920-12-31 (searched 2026-09-13). Coverage caveat: digitized US titles only - Panama-local and Caribbean papers largely absent from the corpus.</t>
  </si>
  <si>
    <t>A-1253</t>
  </si>
  <si>
    <t>Pedro Miguel roundhouse</t>
  </si>
  <si>
    <t>ZERO newspaper-page hits for "Pedro Miguel roundhouse" + "Panama", Chronicling America 1880-01-01..1920-12-31 (searched 2026-09-13). Coverage caveat: digitized US titles only - Panama-local and Caribbean papers largely absent from the corpus.</t>
  </si>
  <si>
    <t>A-1254</t>
  </si>
  <si>
    <t>Buena Vista camp</t>
  </si>
  <si>
    <t>ZERO newspaper-page hits for "Buena Vista camp" + "Panama", Chronicling America 1880-01-01..1920-12-31 (searched 2026-09-13). Coverage caveat: digitized US titles only - Panama-local and Caribbean papers largely absent from the corpus.</t>
  </si>
  <si>
    <t>A-1255</t>
  </si>
  <si>
    <t>AA00016037 (1 page hits)</t>
  </si>
  <si>
    <t>Silver People letters (1963, recalling 1904-14): named in the workers' own accounts - 'rvour wafs instituted at M.t iloce which furnish the Atlantic side residents with water. iLatr a rescrvour was built at Agua Clara to reinforce the amount of water for the use of A' (v00032 p0). Undated by design; per-letter years in windows. Probe 2026-09-13.</t>
  </si>
  <si>
    <t>A-1256</t>
  </si>
  <si>
    <t>AA00016037 (0 page hits)</t>
  </si>
  <si>
    <t>Absent from all Silver People letters (1963, recalling 1904-14): the workers' recalled geography - their own telling of where they lived and worked - does not include this place. Bounded to the digitized letter corpus; phrase-level search. Probe 2026-09-13.</t>
  </si>
  <si>
    <t>A-1257</t>
  </si>
  <si>
    <t>A-1258</t>
  </si>
  <si>
    <t>A-1259</t>
  </si>
  <si>
    <t>AA00016037 (29 page hits)</t>
  </si>
  <si>
    <t>Silver People letters (1963, recalling 1904-14): named in the workers' own accounts - 'my nose to the Gorgas Hospital. I worked there but did not like it. I sought a better position which I obtained at the "Ancon Club House." During those various changes, I also did ' (v00112 p1). Undated by design; per-letter years in windows. Probe 2026-09-13. | GEOMETRY(letters) 2026-09-14, Butcher v00025 (1906 landmarks): St. Luke's Cathedral area = former hospital grounds; laundry at the present Payroll Bureau; Morgan's Flower Gardens beside; toward Gorgas 'the community then known as Bishop's Hollow where the U.S. citizens resided' (new-place candidate); old corral + mental hospital same direction (asylum later at Corozal, White v00112).</t>
  </si>
  <si>
    <t>A-1260</t>
  </si>
  <si>
    <t>AA00016037 (9 page hits)</t>
  </si>
  <si>
    <t>Silver People letters (1963, recalling 1904-14): named in the workers' own accounts - 'work an a waiter in 1914 at the then I.C.C. hotel, Balboa:- In the yenr 1919 I wasG employed as an attendant at the old Ancon hospital and even when the name was changed to Gorgas,' (v00114 p0). Undated by design; per-letter years in windows. Probe 2026-09-13. | GEOMETRY(letters) 2026-09-14, Williams v00113 (patient, 1910): 'Ward 30-32... where the Engineer of Maintenance is being housed today'; typhoid 'Ward 24... just where the Governor's house' - ward-level geography tied to 1963 buildings.</t>
  </si>
  <si>
    <t>A-1261</t>
  </si>
  <si>
    <t>A-1262</t>
  </si>
  <si>
    <t>AA00016037 (61 page hits)</t>
  </si>
  <si>
    <t>Silver People letters (1963, recalling 1904-14): named in the workers' own accounts - 'Brown, Lessep 0.; J. Arosemena Street, Box 4673 (Balboa? Panama?), c/o J. A. Williams. I, Lessep 0. Brown, Born in Panama of West Indian Parents. Started to work 1904 as' (v00021 p0). Undated by design; per-letter years in windows. Probe 2026-09-13. | GEOMETRY(letters) 2026-09-14, Suazo v00004 (resident from 1902): school stood at today's foundry shops; cattle at the later bowling-alley/Commissary/caserio; 1905 Albrook ground cleared, 1905-06 Cerro Sosa cleared + tidal lagoon filled (-&gt; Ft Clayton, Amador, Balboa areas, all canal spoil). Butcher: commissary near the later bachelor building on Barnebey St, QM office beside.</t>
  </si>
  <si>
    <t>A-1263</t>
  </si>
  <si>
    <t>AA00016037 (8 page hits)</t>
  </si>
  <si>
    <t>Silver People letters (1963, recalling 1904-14): named in the workers' own accounts - 'Hodges, G. p.5 As I have already stated, these happenings should be recorded in Balboa Heights. The only thing that bother me, the dates I really cannot remember. Should there be a' (v00057 p4). Undated by design; per-letter years in windows. Probe 2026-09-13.</t>
  </si>
  <si>
    <t>A-1264</t>
  </si>
  <si>
    <t>Silver People letters (1963, recalling 1904-14): named in the workers' own accounts - 'on the Lines. From Corozal, Matachin, Lascascadas, Miraflores, Baa Obispo (now Gamboa), Pedro Miguel, Gorgona, Empire, Barbacoas, Bohio, Frijoles and Gatun. Those old trunks of tre' (v00012 p3). Undated by design; per-letter years in windows. Probe 2026-09-13.</t>
  </si>
  <si>
    <t>A-1265</t>
  </si>
  <si>
    <t>AA00016037 (15 page hits)</t>
  </si>
  <si>
    <t>Silver People letters (1963, recalling 1904-14): named in the workers' own accounts - 'McDonald, Philip p.2 Cascadas but they reside at Bas Obispo. 'We took his advise and landed at Bas Obispo. Next day went for our baggage. We had a very warm reception from our sch' (v00072 p1). Undated by design; per-letter years in windows. Probe 2026-09-13.</t>
  </si>
  <si>
    <t>A-1266</t>
  </si>
  <si>
    <t>AA00016037 (3 page hits)</t>
  </si>
  <si>
    <t>Silver People letters (1963, recalling 1904-14): named in the workers' own accounts - 'bra" and the Suction Dredge "Carribean" were sucking up mud at Cfistobal Harbor.tc-Tug-Empire and Tug Portobelo and Tug Bohio were towing scows from Cristobal Harbor to.the dump w' (v00008 p0). Undated by design; per-letter years in windows. Probe 2026-09-13.</t>
  </si>
  <si>
    <t>A-1267</t>
  </si>
  <si>
    <t>A-1268</t>
  </si>
  <si>
    <t>RETRACTION 2026-09-14: the probe's zero was a spelling miss - the letters write 'Cabello Viejo'. McDonald (v00072): first night at 'Lower Cabello Viejo a Camp'; meals at 'Mess kitchen No C-L-415... in upper Cabello Viejo'; 'Baseball park lower Cabello Viejo west of Chagres River'. Upper + lower camps adjacent to Gorgona - worker-attested structure.</t>
  </si>
  <si>
    <t>A-1269</t>
  </si>
  <si>
    <t>A-1270</t>
  </si>
  <si>
    <t>AA00016037 (2 page hits)</t>
  </si>
  <si>
    <t>Silver People letters (1963, recalling 1904-14): named in the workers' own accounts - 'M. we have to dispatch every customer in there sometimes to 9 PM. The route for delivery to house are designated as Big Camacho Small Camacho, Big Empire &amp; Small Empire.... After ' (v00072 p6). Undated by design; per-letter years in windows. Probe 2026-09-13.</t>
  </si>
  <si>
    <t>A-1271</t>
  </si>
  <si>
    <t>A-1272</t>
  </si>
  <si>
    <t>A-1273</t>
  </si>
  <si>
    <t>A-1274</t>
  </si>
  <si>
    <t>A-1275</t>
  </si>
  <si>
    <t>A-1276</t>
  </si>
  <si>
    <t>A-1277</t>
  </si>
  <si>
    <t>A-1278</t>
  </si>
  <si>
    <t>AA00016037 (11 page hits)</t>
  </si>
  <si>
    <t>Silver People letters (1963, recalling 1904-14): named in the workers' own accounts - 'the day, to the cemetery. While ht the boat house I had the pleasure of taking sever- al Congressmen on trips to the Chagres. I had the opportunity of working while the Prince of W' (v00020 p1). Undated by design; per-letter years in windows. Probe 2026-09-13.</t>
  </si>
  <si>
    <t>A-1279</t>
  </si>
  <si>
    <t>A-1280</t>
  </si>
  <si>
    <t>Silver People letters (1963, recalling 1904-14): named in the workers' own accounts - 'Some times the rocks were so hnad, as fast as we could chnre a drill and put a sharp one the rocks would break them in Cocoli excavation, but it had to be done. I.have witnessed a ' (v00010 p2). Undated by design; per-letter years in windows. Probe 2026-09-13.</t>
  </si>
  <si>
    <t>A-1281</t>
  </si>
  <si>
    <t>A-1282</t>
  </si>
  <si>
    <t>AA00016037 (19 page hits)</t>
  </si>
  <si>
    <t>Silver People letters (1963, recalling 1904-14): named in the workers' own accounts - 'ow City, C.Z. I came to the Isthmun of Panama in 1905. My first employ- ment in the early construction days was at Corozal as a painter under Supervisor, Mr. Stcwart. Like many oth' (v00058 p0). Undated by design; per-letter years in windows. Probe 2026-09-13. | GEOMETRY(letters) 2026-09-14, Butcher v00025: receiving town of the erasures - the Ancon dead reburied here from 1912 ('Corozal which was being opened then'), the asylum moved here (White v00112), dismantled line-town buildings re-erected here; commissary opened Mar 1910 (McDonald).</t>
  </si>
  <si>
    <t>A-1283</t>
  </si>
  <si>
    <t>AA00016037 (42 page hits)</t>
  </si>
  <si>
    <t>Silver People letters (1963, recalling 1904-14): named in the workers' own accounts - 'on October 17, 1892, arrived on the Isthmus in the year 1907. I started to work as a water boy with Tom Franstram at Cristobal, C.Z. From there to Dock 13 in the year 1909, work- i' (v00008 p0). Undated by design; per-letter years in windows. Probe 2026-09-13. | GEOMETRY(letters) 2026-09-14, McDonald v00072 (Jun 1908): 'Only two streets then in Colon Front str &amp; Bottley Alley'; boarding house by the pier; 'Coolie Town' swampy, board-plank walks (Colon fringe, out-of-scope note).</t>
  </si>
  <si>
    <t>A-1284</t>
  </si>
  <si>
    <t>Silver People letters (1963, recalling 1904-14): named in the workers' own accounts - 'vision, Gamboa, C.Z. as a laborer, and after a period of four years I was pro- moted to an oiler on the U.S. Dredge Las Cruces under the super- vision of Capt. Halter. After a peri' (v00102 p0). Undated by design; per-letter years in windows. Probe 2026-09-13.</t>
  </si>
  <si>
    <t>A-1285</t>
  </si>
  <si>
    <t>A-1286</t>
  </si>
  <si>
    <t>Silver People letters (1963, recalling 1904-14): named in the workers' own accounts - 'tment I started to work as a waterboy with Mr Green as my foreman for the I C C company in 1907 till 1909. In 1909 in Cucaracha I worked as waterboy and switcher with Mr. Galliger ' (v00040 p0). Undated by design; per-letter years in windows. Probe 2026-09-13. | GEOMETRY(letters) 2026-09-14, Hodges v00057: 1906 arrival machinery - box-car train cut one car per section; at 'Cocoracha Section' the Mess Hall, then the Government Camp.</t>
  </si>
  <si>
    <t>A-1287</t>
  </si>
  <si>
    <t>AA00016037 (51 page hits)</t>
  </si>
  <si>
    <t>Silver People letters (1963, recalling 1904-14): named in the workers' own accounts - 'R.P. This is to inform you that I came here in 1905 and started working for the 'Building &amp; Construction Division In Culebra Lumber Yard as checker with W. B. Honey as Foreman, the' (v00044 p0). Undated by design; per-letter years in windows. Probe 2026-09-13. | GEOMETRY(letters) 2026-09-14, Gard v00048: 1906 'Culebra Rio Grandi' camp (3-tier bunks), rest house, hotel kitchen extension; Stevens lived in Culebra (Butcher v00025); 1907 'New Town Culebra were blown up and ready for excavating' - the planned new town's ground dynamited (feeds the old/new relocation record).</t>
  </si>
  <si>
    <t>A-1288</t>
  </si>
  <si>
    <t>A-1289</t>
  </si>
  <si>
    <t>Silver People letters (1963, recalling 1904-14): named in the workers' own accounts - 'Simmons, E. L. p.8 scow off Darien. We were cut loose from the Tipperary and left her hanging on to the boo'. Even when dumped the scow she still cling on' (v00101 p7). Undated by design; per-letter years in windows. Probe 2026-09-13.</t>
  </si>
  <si>
    <t>A-1290</t>
  </si>
  <si>
    <t>Silver People letters (1963, recalling 1904-14): named in the workers' own accounts - 'tion Division. The Yard Office was at Paraiso,.at that time I ran Brake up to around 1910. When the big wreck around Diablo Curse with Engines 289 and 262, I was the Brakeman on E' (v00021 p0). Undated by design; per-letter years in windows. Probe 2026-09-13.</t>
  </si>
  <si>
    <t>A-1291</t>
  </si>
  <si>
    <t>A-1292</t>
  </si>
  <si>
    <t>A-1293</t>
  </si>
  <si>
    <t>AA00016037 (39 page hits)</t>
  </si>
  <si>
    <t>Silver People letters (1963, recalling 1904-14): named in the workers' own accounts - 'McDonald, Philip p.6 back to Empire in a few days for a job. "I learn to write fast in the comsy" of Empire. On the morning of 9th July I went of R.R Stati' (v00072 p5). Undated by design; per-letter years in windows. Probe 2026-09-13. | GEOMETRY(letters) 2026-09-14: new hotel 'at or near the Panama Rail Road Station' Dec 1907 (Hodges v00057), painted during TR's Nov 1906 visit (Gard v00048); old French building was the prior hotel; 'Swains Ice House' soda shop (Trinidadian); upper/'lower down town at end of Empire'; commissary delivery districts Big/Small Camacho + Big/Small Empire (Camacho kitchen per Gard - new-place queued); Suazo v00004: a park, bank, merry-go-round - commerce 'como en la avenida central'. McDonald: the liners' petition to Goethals to stay, refused.</t>
  </si>
  <si>
    <t>A-1294</t>
  </si>
  <si>
    <t>A-1295</t>
  </si>
  <si>
    <t>A-1296</t>
  </si>
  <si>
    <t>Silver People letters (1963, recalling 1904-14): named in the workers' own accounts - 'High Street, Gatun. After my business got going, I began making many queries about North America. making an expensive enterprise in this Republic. First I was told that two French ' (v00077 p0). Undated by design; per-letter years in windows. Probe 2026-09-13.</t>
  </si>
  <si>
    <t>A-1297</t>
  </si>
  <si>
    <t>AA00016037 (5 page hits)</t>
  </si>
  <si>
    <t>Silver People letters (1963, recalling 1904-14): named in the workers' own accounts - 'Canal some of it was dumped in Balboa and some of it in Laboca'so a part of La Boca and a part of Balboa is dump land Fort Amador is dump land A part of the sea was dumped up and b' (v00069 p1). Undated by design; per-letter years in windows. Probe 2026-09-13.</t>
  </si>
  <si>
    <t>A-1298</t>
  </si>
  <si>
    <t>Silver People letters (1963, recalling 1904-14): named in the workers' own accounts - 'Constantine; Box 1337, Colon, R.P. I was born 1894 the 12 of November at a place call Playa de Flor now by the name Fort Sherman this little town was inhabited around french Canal ' (v00086 p0). Undated by design; per-letter years in windows. Probe 2026-09-13.</t>
  </si>
  <si>
    <t>A-1299</t>
  </si>
  <si>
    <t>Silver People letters (1963, recalling 1904-14): named in the workers' own accounts - 'the construction of the new railroad tracks after the Balboa dike was filled with water. I worked.as a wagon checker in Frijoles, The water was brought on train in big tanks from t' (v00040 p0). Undated by design; per-letter years in windows. Probe 2026-09-13. | GEOMETRY(letters) 2026-09-14, De la Rosa v00040 (1913-14 wagon checker): 'water was brought on train in big tanks from the mountains' - the relocated-line station's supply in its first years (cf. CZ-173).</t>
  </si>
  <si>
    <t>A-1300</t>
  </si>
  <si>
    <t>AA00016037 (35 page hits)</t>
  </si>
  <si>
    <t>Silver People letters (1963, recalling 1904-14): named in the workers' own accounts - 'and got to work at P.M. Comsy. Whilst there a Manager who kneh me at Empire comsy saw me and want me to work for him at Gamboa Comey. He made a request to Mr Jacobson General Manag' (v00072 p7). Undated by design; per-letter years in windows. Probe 2026-09-13. | GEOMETRY(letters) 2026-09-14, McDonald v00072: commissary '2 small box cars coupled together just south of the present RR station... RR station at that time was on the bank of the Canal'; Moses v00084 built the Gamboa Commissary, Post Office and Police Station as carpenter; Williams: the Mar 1918 train accident.</t>
  </si>
  <si>
    <t>A-1301</t>
  </si>
  <si>
    <t>A-1302</t>
  </si>
  <si>
    <t>Silver People letters (1963, recalling 1904-14): named in the workers' own accounts - 'st crawling so myself and 9 more friends decided to get out, which we did. One of the boys knew a French man leaving at Golden Green Culebra CZ. Visit him and making new friends, w' (v00072 p4). Undated by design; per-letter years in windows. Probe 2026-09-13. | GEOMETRY(letters) 2026-09-14, McDonald v00072 (4 Jul 1909): 'One of the boys knew a French man leaving at Golden Green Culebra CZ' - a resident, a date, a nationality.</t>
  </si>
  <si>
    <t>A-1303</t>
  </si>
  <si>
    <t>AA00016037 (25 page hits)</t>
  </si>
  <si>
    <t>Silver People letters (1963, recalling 1904-14): named in the workers' own accounts - 'McDonald, Philip p.3 Gorgona a section very flat with the Chagres river running; their is one little hill midway, where the Y.M.C.A are located A ru' (v00072 p2). Undated by design; per-letter years in windows. Probe 2026-09-13. | GEOMETRY(letters) 2026-09-14, McDonald v00072: flat, Chagres running; 'one little hill midway, where the Y.M.C.A are located'; Gorgona Shops S of town 'near Jamaica Town a colored section' (unmapped WI quarter - queued); repair shops E of RR track N of Jamaica Town; House #89 on hill SW of Shops (built for Colored Americans); rum distillery mid-river NE. Phillips v00089: blacksmith shop closed late 1913, staff to Empire.</t>
  </si>
  <si>
    <t>A-1304</t>
  </si>
  <si>
    <t>RETRACTION 2026-09-14: spelling miss - McDonald (v00072) writes 'Hot Obispo': 'They are now widening it now 300 ft to 500 ft opposite Gamboa stockade its called Hot Obispo' (the explosion reach).</t>
  </si>
  <si>
    <t>A-1305</t>
  </si>
  <si>
    <t>A-1306</t>
  </si>
  <si>
    <t>A-1307</t>
  </si>
  <si>
    <t>AA00016037 (20 page hits)</t>
  </si>
  <si>
    <t>Silver People letters (1963, recalling 1904-14): named in the workers' own accounts - 'as reoaployed in. October 1922 in the Commissary in Pedro Miguel, Canal Zone, between that Coinmmissary, and Anoon also La Boca, terminated from the La Boca Commissary in 1926, I n' (v00113 p3). Undated by design; per-letter years in windows. Probe 2026-09-13. | GEOMETRY(letters) 2026-09-14, Butcher v00025: 1909-12 the site was open water, filled by dump trains (incl. Quarry Heights stone); first WI families moved Oct + Nov 1913 (DuSaire, Bossiere, Eastmond...); 6 family-houses only; line-town houses arrived in box cars; first school 1913 (principal Innis, WI teachers); the 'gold' street later named Trinidad Street. Suazo v00004: extent from French Pier 4; whites toward Cerro Sosa; the multi-ethnic commercial quarter 'le llamaban Cartasenita' (see CZ-170).</t>
  </si>
  <si>
    <t>A-1308</t>
  </si>
  <si>
    <t>Silver People letters (1963, recalling 1904-14): named in the workers' own accounts - 'are now call Fort Clayton. On our way back we got orders to tie up at Pedro Miguel. Engineer and Conductor %went bac to Las Cascadas, while I remained at V.1iguel under Gillam, as ' (v00101 p3). Undated by design; per-letter years in windows. Probe 2026-09-13.</t>
  </si>
  <si>
    <t>A-1309</t>
  </si>
  <si>
    <t>A-1310</t>
  </si>
  <si>
    <t>Silver People letters (1963, recalling 1904-14): named in the workers' own accounts - ''. Undated by design; per-letter years in windows. Probe 2026-09-13.</t>
  </si>
  <si>
    <t>A-1311</t>
  </si>
  <si>
    <t>Silver People letters (1963, recalling 1904-14): named in the workers' own accounts - 'that as occurred in the canal in December 1908 twenty six people were killed and a dozen were permanently maimed the Lirio bridge that crosses the canal at Lirio Black Swamp lies a' (v00024 p0). Undated by design; per-letter years in windows. Probe 2026-09-13.</t>
  </si>
  <si>
    <t>A-1312</t>
  </si>
  <si>
    <t>A-1313</t>
  </si>
  <si>
    <t>Silver People letters (1963, recalling 1904-14): named in the workers' own accounts - 't high when they understood that the American Government were incharge of the new undertaking. This took place at Bas Matachin (proper Bajo Matachin). The name of this place was ch' (v00033 p0). Undated by design; per-letter years in windows. Probe 2026-09-13. | GEOMETRY(letters) 2026-09-14, White v00112 (Apr 1911): 'the little town of Matachin, small, but crowded. Life buzzed there like any big city'; path up to 'the little Zone' (school; teacher Emma Monroe); lodging at 'a little place called Banana Walk' (micro-place queued). Hunt v00061 drilled there.</t>
  </si>
  <si>
    <t>A-1314</t>
  </si>
  <si>
    <t>Silver People letters (1963, recalling 1904-14): named in the workers' own accounts - 'er boy clearing Sang. 1909 work Toro Point survey gang as chairman with Mr. Bertatan and Mr. J. Kitts. 1910 transfer to Mindi cut as chain- man foreman survey gang with Mr. J. Kitt' (v00086 p0). Undated by design; per-letter years in windows. Probe 2026-09-13. | GEOMETRY(letters) 2026-09-14, Moses v00084: Dredging Division 'at Mindi with Capt Dimitre as a sailor and diver'.</t>
  </si>
  <si>
    <t>A-1315</t>
  </si>
  <si>
    <t>AA00016037 (27 page hits)</t>
  </si>
  <si>
    <t>Silver People letters (1963, recalling 1904-14): named in the workers' own accounts - 'eformed. I return to Fedro Miguel in 1912 this time doing carpenter work with Mr. Hall as forman, from 1cdro iMiguel to Miraflores doing the same work from miraflores to Balboa Con' (v00041 p0). Undated by design; per-letter years in windows. Probe 2026-09-13.</t>
  </si>
  <si>
    <t>A-1316</t>
  </si>
  <si>
    <t>Silver People letters (1963, recalling 1904-14): named in the workers' own accounts - 'rentona. E1. Jefe de trabajo era el Capitan Lutts. Regresamos al Lago Gatun y se leVbntaron las dos hojas del punnte de Monte Lirio e hicimos canales con dinamitas para trasladar s' (v00047 p1). Undated by design; per-letter years in windows. Probe 2026-09-13.</t>
  </si>
  <si>
    <t>A-1317</t>
  </si>
  <si>
    <t>Silver People letters (1963, recalling 1904-14): named in the workers' own accounts - 'ber of years at that time i was living on the Zone house number 6025 Painbow City, bachelor quarters. My 4th job was at Mount Hope Albatorr for quite a while. Ny foreman name was M' (v00087 p0). Undated by design; per-letter years in windows. Probe 2026-09-13.</t>
  </si>
  <si>
    <t>A-1318</t>
  </si>
  <si>
    <t>A-1319</t>
  </si>
  <si>
    <t>A-1320</t>
  </si>
  <si>
    <t>Silver People letters (1963, recalling 1904-14): named in the workers' own accounts - 'e to place all over the second locks doing the same work, the camp life.ra so rought, that I had to go in a place call new Gatun paying five dollers for a room, the hard part of i' (v00045 p0). Undated by design; per-letter years in windows. Probe 2026-09-13.</t>
  </si>
  <si>
    <t>A-1321</t>
  </si>
  <si>
    <t>A-1322</t>
  </si>
  <si>
    <t>A-1323</t>
  </si>
  <si>
    <t>Silver People letters (1963, recalling 1904-14): named in the workers' own accounts - 'e de Col6n y otras en la entrada de los dos rompeolas. Luego nos trasladamos a Balboa a poner redes desde la Punta de Palo Seco a la orilla del canal y de allf hasta el otro extrem' (v00047 p1). Undated by design; per-letter years in windows. Probe 2026-09-13.</t>
  </si>
  <si>
    <t>A-1324</t>
  </si>
  <si>
    <t>AA00016037 (28 page hits)</t>
  </si>
  <si>
    <t>Silver People letters (1963, recalling 1904-14): named in the workers' own accounts - 'atune to Paralso and a certain amount of men was left at these Stations I was left at a Section called Cucarach next to Paraiso. When we came off the Train each man was given a cot' (v00069 p0). Undated by design; per-letter years in windows. Probe 2026-09-13. | GEOMETRY(letters) 2026-09-14, Hodges v00057: 1906 coal bunker + water-main ditch 'just about exactly where the Club House and Commissary in Paraiso right now'; a garbage lake 'at the very spot where the High School built right now'. Butcher v00025: first Gamboa trail cut by Culebra prisoners through Paraiso Hill, 1908.</t>
  </si>
  <si>
    <t>A-1325</t>
  </si>
  <si>
    <t>AA00016037 (32 page hits)</t>
  </si>
  <si>
    <t>Silver People letters (1963, recalling 1904-14): named in the workers' own accounts - 'Foreman at that time was Mr. Degley. I cannot definitely remember what year the train yard and Office were shifted to Pedro Miguel, but at the time of the wreck the Train Yard and ' (v00021 p1). Undated by design; per-letter years in windows. Probe 2026-09-13.</t>
  </si>
  <si>
    <t>A-1326</t>
  </si>
  <si>
    <t>Absent from all Silver People letters (1963, recalling 1904-14): the workers' recalled geography - their own telling of where they lived and worked - does not include this place. Bounded to the digitized letter corpus; phrase-level search. Probe 2026-09-13. | RETRACTED 2026-09-16: false negative. The probe searched the proper name 'Pedro Miguel Labor Camp'; the letters describe the camp in the workers' own words (v00097: 'I lived in the I.C.C. camp, about 150 men, slept in a canvas bunk'). Replaced by the positive from the full-text re-read.</t>
  </si>
  <si>
    <t>A-1327</t>
  </si>
  <si>
    <t>A-1328</t>
  </si>
  <si>
    <t>AA00016037 (4 page hits)</t>
  </si>
  <si>
    <t>Silver People letters (1963, recalling 1904-14): named in the workers' own accounts - 'ospital 15 days when I came out I went to Empire I stood their for some time coming to the close of the year.1 went to Porto Bello I worked until closing of 1910, I took sick in P' (v00048 p1). Undated by design; per-letter years in windows. Probe 2026-09-13.</t>
  </si>
  <si>
    <t>A-1329</t>
  </si>
  <si>
    <t>AA00016037 (6 page hits)</t>
  </si>
  <si>
    <t>Silver People letters (1963, recalling 1904-14): named in the workers' own accounts - 'at by the name of Martinique. I start to work in thenext day wioh was the 19 of said December 1905 on the track line in Rio grande with a forman by the name of Morker couple months' (v00085 p0). Undated by design; per-letter years in windows. Probe 2026-09-13.</t>
  </si>
  <si>
    <t>A-1330</t>
  </si>
  <si>
    <t>AA00016037 (7 page hits)</t>
  </si>
  <si>
    <t>Silver People letters (1963, recalling 1904-14): named in the workers' own accounts - 'th day of March 1910 in Colon, on the S.S. Metapah, with my Aunt Kra. Greenidge, who had her home in the Section called San Pablo, C.Z. Her house was right against the hotel. my fi' (v00113 p0). Undated by design; per-letter years in windows. Probe 2026-09-13. | GEOMETRY(letters) 2026-09-14, Williams v00113 (1910): aunt's house 'right against the hotel'; labor camps; kitchen 'situated on the bank of the Shagres River'; a Sick Camp (Dr. Beard).</t>
  </si>
  <si>
    <t>A-1331</t>
  </si>
  <si>
    <t>Silver People letters (1963, recalling 1904-14): named in the workers' own accounts - 'Ir. Hoscoe Seawall, its named was "Spikeedee." He took me with him in the same launch, in 1908 up the Chagres river to Santa Cruz, to interpret Spanish to English. They were three ' (v00033 p1). Undated by design; per-letter years in windows. Probe 2026-09-13.</t>
  </si>
  <si>
    <t>A-1332</t>
  </si>
  <si>
    <t>Silver People letters (1963, recalling 1904-14): named in the workers' own accounts - 'Panama City others are Here in Jamaica. In Case of death Communicate to my Son Mr. Arthur McKenzie 38 White Church St. Spanish Town P.O. Jamaica. I am Yrs truly Z.HI. McKENZIE Dr. ' (v00074 p1). Undated by design; per-letter years in windows. Probe 2026-09-13.</t>
  </si>
  <si>
    <t>A-1333</t>
  </si>
  <si>
    <t>Silver People letters (1963, recalling 1904-14): named in the workers' own accounts - 'Culebra Cut, in 1904, receiving dirt that came by the train from the digging done in the Canal. This dirt was dumped in Summit. In 1906 I worked at the LA Boca lumberyard packing, ' (v00084 p0). Undated by design; per-letter years in windows. Probe 2026-09-13. | GEOMETRY(letters) 2026-09-14, Moses v00084: Culebra Cut spoil 'dumped in Summit' already in 1904 (claimed start c.1907 - extension queued); De la Rosa v00040: old-railroad work Summit-Gamboa 1914-15.</t>
  </si>
  <si>
    <t>A-1334</t>
  </si>
  <si>
    <t>Silver People letters (1963, recalling 1904-14): named in the workers' own accounts - 'ry of 1907, I was taken to one of the old French camps located on the Chagres river. The following day we were taken to Tabernilla. Tabernilla was a small section where the work wa' (v00027 p0). Undated by design; per-letter years in windows. Probe 2026-09-13. | GEOMETRY(letters) 2026-09-14, De la Rosa v00040: 'refilling of Tabernilla dump No. 1', 1907-09 - the dump McDonald calls 'two miles long'.</t>
  </si>
  <si>
    <t>A-1335</t>
  </si>
  <si>
    <t>Silver People letters (1963, recalling 1904-14): named in the workers' own accounts - 'ivision and navigation under Capt. F. Keriger pilot in charge on the salvaging on light house tending tugs Favorite and Taboga as relief quarter master until I was retired in 1953 ' (v00005 p0). Undated by design; per-letter years in windows. Probe 2026-09-13.</t>
  </si>
  <si>
    <t>A-1336</t>
  </si>
  <si>
    <t>A-1337</t>
  </si>
  <si>
    <t>Silver People letters (1963, recalling 1904-14): named in the workers' own accounts - 't to work at sweet water about a mile and half south of Play de Flor as a rear flagman in the survey gang. 1909 work at Toro Point north of Playa de Flor as water boy clearing Sang' (v00086 p0). Undated by design; per-letter years in windows. Probe 2026-09-13.</t>
  </si>
  <si>
    <t>A-1338</t>
  </si>
  <si>
    <t>A-1339</t>
  </si>
  <si>
    <t>A-1340</t>
  </si>
  <si>
    <t>A-1341</t>
  </si>
  <si>
    <t>AA00016037 v00025 p2 (Butcher)</t>
  </si>
  <si>
    <t>Butcher v00025 (S-036): 'We would watch the dump trains and flat cars carry stone and dirt from other places, including Quarry Heights, to fill the land for what is now beautiful La Boca' - the quarry at work 1909-12. First positive testimony for this unlocated place; claimed start c.1916 -&gt; start-extension queued. Undated by design (1963 recollection).</t>
  </si>
  <si>
    <t>A-1342</t>
  </si>
  <si>
    <t>EMPIRE plan (full-sheet sweep 2026-09-14)</t>
  </si>
  <si>
    <t>FULL-SHEET sweep at native res (2-98% stretch): NO Hospital label anywhere on pcc00020 - the 2026-09-09 pass had only checked the town fan. Dispensary remains the sheet's only medical label. CONTRADICTS A-0041 ('On ICC town plan') - UNRESOLVED on A-0041.</t>
  </si>
  <si>
    <t>A-1343</t>
  </si>
  <si>
    <t>No Clubhouse label on the full sheet; Y.M.C.A. is the only club-type label (CZ-125). RULING flag: ICC clubhouses were YMCA-operated - CZ-103 may be the same building as CZ-125 (cf. CZ-106 -&gt; CZ-120 merge precedent). | RETRACTED 2026-09-14 (CZ-103 merged into CZ-125): resolved - the clubhouse IS on the plan, labeled Y.M.C.A.; CZ-125's own S-022 read (A-0787) stands. Ignore this row.</t>
  </si>
  <si>
    <t>A-1344</t>
  </si>
  <si>
    <t>Full sheet: quarters numbered 13-244 with NO silver/gold designation anywhere - the plan encodes segregation only at 'School House (colored)'. The W quarters rows and the E hill settlement are drawn but unassignable between CZ-104/CZ-105.</t>
  </si>
  <si>
    <t>A-1345</t>
  </si>
  <si>
    <t>As CZ-104: numbered quarters only, no gold designation on the full sheet.</t>
  </si>
  <si>
    <t>A-1346</t>
  </si>
  <si>
    <t>No cemetery label or cross-symbol enclosure anywhere on the full sheet.</t>
  </si>
  <si>
    <t>A-1347</t>
  </si>
  <si>
    <t>Boilers</t>
  </si>
  <si>
    <t>Labeled BOILERS - building NE of Machine Shops (scan px 14080,2430). Relative ~5-15 m; absolute +-400 m (ICC1911 chain).</t>
  </si>
  <si>
    <t>A-1348</t>
  </si>
  <si>
    <t>Electric Plant</t>
  </si>
  <si>
    <t>Labeled ELECTRIC PLANT - powerhouse row NE of the shops (scan px 13955,2738).</t>
  </si>
  <si>
    <t>A-1349</t>
  </si>
  <si>
    <t>Compressed Air</t>
  </si>
  <si>
    <t>Labeled COMPRESSED AIR - plant adjoining the Electric Plant (scan px 14265,2505).</t>
  </si>
  <si>
    <t>A-1350</t>
  </si>
  <si>
    <t>Temporary Storehouse</t>
  </si>
  <si>
    <t>Labeled TEMPORARY STOREHOUSE, dashed outline (temporary structure), W of the powerhouse row (scan px 13244,2207).</t>
  </si>
  <si>
    <t>A-1351</t>
  </si>
  <si>
    <t>Time keeping</t>
  </si>
  <si>
    <t>Small building labeled 'Time keeping' on the 'Top of Slope' line above the cut, E of the hill quarters (scan px 15447,4890) - labor-control checkpoint; thesis-relevant.</t>
  </si>
  <si>
    <t>A-1352</t>
  </si>
  <si>
    <t>Georeferenced map read</t>
  </si>
  <si>
    <t>SURVEYS1908 Map No.3 (2nd pass, Pacific end, 2026-09-14)</t>
  </si>
  <si>
    <t>Pavilion complex drawn along the NE-slope switchback road, 'Ancon Hospital' lettered through it. FIRST FIX - the read that locates CZ-161. Extent traced to footprints.geojson (hull centroid 40 m from this point). [M3 Pacific re-anchor 2026-09-14: coords transformed to the corrected frame (TPS vs the 1947 graticule sheet).]</t>
  </si>
  <si>
    <t>A-1353</t>
  </si>
  <si>
    <t>'ANCON ' / 'CEMETERY' two-line label on the W slope of Ancon hill; enclosure symbol faint at this scale (uncertainty reflects it). FIRST FIX for CZ-162. Extent not traced (honest skip: bounds not legible). [M3 Pacific re-anchor 2026-09-14: coords transformed to the corrected frame (TPS vs the 1947 graticule sheet).]</t>
  </si>
  <si>
    <t>A-1354</t>
  </si>
  <si>
    <t>Vertical 'CHINESE CEMETERY' label beside the Ancon/La Boca road with fenced ground east of it; 'NEW CEMETERIES' cluster labeled ~250 m SE (unregistered, features CSV). FIRST FIX for CZ-163 - pairs with the Museo S-032 attestations. Extent not traced (fence line partial). [M3 Pacific re-anchor 2026-09-14: coords transformed to the corrected frame (TPS vs the 1947 graticule sheet).]</t>
  </si>
  <si>
    <t>A-1355</t>
  </si>
  <si>
    <t>LA BOCA WHARF / LA BOCA DUMP</t>
  </si>
  <si>
    <t>On the 1905-06 sheet La Boca survives ONLY as infrastructure labels (WHARF, DUMP, ship way); no town label. The residential shore cluster below Sosa Low is labeled GERIG (unregistered candidate, features CSV); the 1895 village site lies under the works/fill overlay - the town is cartographically dissolved into canal infrastructure a decade before its official replacement by Balboa. [M3 Pacific re-anchor 2026-09-14: coords transformed to the corrected frame (TPS vs the 1947 graticule sheet).]</t>
  </si>
  <si>
    <t>A-1356</t>
  </si>
  <si>
    <t>'BALBOA' lettered on the ORANGE revision overlay across the fill/shipway works between Sosa Hill and the canal - a later hand over the 1905-06 base (the name was adopted 1909). Undated at read level; earliest cartographic 'Balboa' in the corpus so far. [Overlay layer, not base survey.] [M3 Pacific re-anchor 2026-09-14: coords transformed to the corrected frame (TPS vs the 1947 graticule sheet).]</t>
  </si>
  <si>
    <t>A-1357</t>
  </si>
  <si>
    <t>AA00016037 (Silver People letters)</t>
  </si>
  <si>
    <t>'the Gorgona Shops South of Gorgona near Jamaica Town a colored section'... shops 'North of Jamaica town' (McDonald v00072 p3,5). Undated by design (1963 recollections); 2026-09-14.</t>
  </si>
  <si>
    <t>A-1358</t>
  </si>
  <si>
    <t>Big Camacho / Small Camacho</t>
  </si>
  <si>
    <t>Delivery routes 'Big Camacho, Small Camacho, Big Empire &amp; Small Empire' (McDonald v00072 p7); 'I was sent to Camacha kitchen to work by Mr J Poole' 1907 (Gard v00048). Undated by design (1963 recollections); 2026-09-14.</t>
  </si>
  <si>
    <t>A-1359</t>
  </si>
  <si>
    <t>Bishop's Hollow</t>
  </si>
  <si>
    <t>'the community then known as Bishop's Hollow where the U.S. citizens resided' (Butcher v00025 p1, recalling 1906). Undated by design (1963 recollections); 2026-09-14.</t>
  </si>
  <si>
    <t>A-1360</t>
  </si>
  <si>
    <t>Banana Walk</t>
  </si>
  <si>
    <t>'we lodged with an elderly man in a little place called "Banana Walk"' (White v00112, April 1911). Undated by design (1963 recollections); 2026-09-14.</t>
  </si>
  <si>
    <t>A-1361</t>
  </si>
  <si>
    <t>Culebra Rio Grandi / Rio Grande</t>
  </si>
  <si>
    <t>'I were brought to Culebra Rio Grandi... placed in camp' 1906 (Gard v00048); 'Rio Grande Car Repairing' (Hodges v00057); 'In Rio Grande... breaking rocks' (De la Rosa v00040). Undated by design (1963 recollections); 2026-09-14.</t>
  </si>
  <si>
    <t>A-1362</t>
  </si>
  <si>
    <t>Police Sta. 145</t>
  </si>
  <si>
    <t>Labeled building on the official 1910 town map; registered 2026-09-14.</t>
  </si>
  <si>
    <t>A-1363</t>
  </si>
  <si>
    <t>Penitentiary 173</t>
  </si>
  <si>
    <t>A-1364</t>
  </si>
  <si>
    <t>Pumping Station 146</t>
  </si>
  <si>
    <t>Labeled building on the official 1910 town map; registered 2026-09-14. NUMBER RE-READ 2026-09-14: the pumping-station number reads '46', not '146' (high-res crop).</t>
  </si>
  <si>
    <t>A-1365</t>
  </si>
  <si>
    <t>AA00016037 v00004 (Suazo)</t>
  </si>
  <si>
    <t>La Boca's multi-ethnic commercial quarter (industrial gate to Pier 17; Chinese shops): 'A este lugar le llamaban Cartasenita.' Identity 2026-09-14: same barrio as the 1895 sheet's CARTAGENITA.</t>
  </si>
  <si>
    <t>A-1366</t>
  </si>
  <si>
    <t>the cemetery (Ancon)</t>
  </si>
  <si>
    <t>Modern landmark identification (testimony + OSM)</t>
  </si>
  <si>
    <t>AA00016037 v00025 (Butcher) + OSM</t>
  </si>
  <si>
    <t>'the cemetery... was on the site of the present Administration Building' - coordinate is the Administration Building's OSM way centroid (consulted 2026-09-14), +-150 m. Removal of the dead began 1912, reburied at Corozal - a dated erasure. Map No.3 read may later join as a second claim. Ruling 2026-09-14.</t>
  </si>
  <si>
    <t>A-1367</t>
  </si>
  <si>
    <t>(unlabeled quarter, S of rail)</t>
  </si>
  <si>
    <t>Morphological identification (unlabeled cluster + testimony)</t>
  </si>
  <si>
    <t>GORGONA saloon map, directed re-read 2026-09-14</t>
  </si>
  <si>
    <t>The sheet DRAWS the quarter and withholds its name: two rows of aligned quarters + ~6 off-grid tilted structures south of the rail, SW of the ICC Hotel, 213 m SSW of the station - the only settlement sector matching McDonald's 'Jamaica Town a colored section' (v00072). Every street and civic building NORTH of the rail is named; this cluster is not. Identification is morphological + testimonial, confidence Low, +-200 m covering the cluster. Ghost impression of a sibling 'SALOONS...MATACHIN' sheet noted - hunt lead.</t>
  </si>
  <si>
    <t>A-1368</t>
  </si>
  <si>
    <t>BALBOA HEIGHTS</t>
  </si>
  <si>
    <t>PACIFIC1947 (pcc00008), georef 2026-09-14</t>
  </si>
  <si>
    <t>ADMINISTRATION BUILDING drawn and labeled at the head of the Prado, BALBOA HEIGHTS district letters, GOVERNOR'S RES. labeled NE. FIRST FIX - the read that locates CZ-046 (the 1947 zone sheet could not label it).</t>
  </si>
  <si>
    <t>A-1369</t>
  </si>
  <si>
    <t>QUARRY HEIGHTS</t>
  </si>
  <si>
    <t>QUARRY HEIGHTS district letters on the W slope of Ancon Hill; MIL. POLICE STA. and DEPARTMENT HQ labeled within it. FIRST FIX for CZ-072 - corroborates the NARA "Quarry Heights June 1916" photo and the 1916 CHRONAM hits.</t>
  </si>
  <si>
    <t>A-1370</t>
  </si>
  <si>
    <t>ANCON district letters over the E-slope civic area. POSITION CLAIM ONLY: sits ~1.5 km NE of the stored point (A-0857, Map No.3) - district letters float, and Map No.3 carries a Pacific-corner offset (see A-note on CZ-161); stored point NOT moved.</t>
  </si>
  <si>
    <t>A-1371</t>
  </si>
  <si>
    <t>GORGAS HOSP.</t>
  </si>
  <si>
    <t>Hospital pavilion complex drawn and labeled GORGAS HOSP. (Ancon Hospital renamed for Gorgas 1928) - same institution site rebuilt 1915-19. Supersedes the Map No.3-derived coordinate: M3's Pacific corner shows a systematic ~550-700 m offset against this graticule-true sheet (Gorgas + Sosa Hill correspondences).</t>
  </si>
  <si>
    <t>A-1372</t>
  </si>
  <si>
    <t>The renaming evidence: Ancon Hospital appears as GORGAS HOSP. by 1947 (renamed 1928).</t>
  </si>
  <si>
    <t>A-1373</t>
  </si>
  <si>
    <t>LA BOCA</t>
  </si>
  <si>
    <t>The rebuilt silver-rate town fully drawn: street grid labeled JAMAICA ST., BARBADOS ST., MARTINIQUE ST., ST. THOMAS ST., TRINIDAD ST., SAN DOMINGO ST. + PRADO - the West Indian community's home islands written into its street plan. Corroborates the CZ-021 'same place resumed' (A-0761/62). Extent traced to footprints.geojson.</t>
  </si>
  <si>
    <t>A-1374</t>
  </si>
  <si>
    <t>BALBOA district letters over the Prado grid; stadium, Junior College, docks all labeled. POSITION CLAIM: district letters sit ~1.7 km E of the stored M1947 zone-sheet fix (8.9633, -79.5729) - the letters float over the Prado residential grid while the zone-sheet dot sits toward the docks; both claims recorded, stored point NOT moved.</t>
  </si>
  <si>
    <t>A-1375</t>
  </si>
  <si>
    <t>COROZAL district letters over the townsite W of Corozal Hill/Tank Hill.</t>
  </si>
  <si>
    <t>A-1376</t>
  </si>
  <si>
    <t>ALBROOK FIELD</t>
  </si>
  <si>
    <t>ALBROOK... FIELD letters across the airfield; hangar row and aprons drawn E.</t>
  </si>
  <si>
    <t>A-1377</t>
  </si>
  <si>
    <t>NOT labeled on this 1:12,000 sheet (searched the whole Ancon quadrant 2026-09-14) though 'ANCON CEMETERY' was labeled on the 1905-06 Map No.3. At this scale and genre a named cemetery is expected -&gt; meaningful silence: the cemetery drops off the official city map by 1947.</t>
  </si>
  <si>
    <t>A-1378</t>
  </si>
  <si>
    <t>Chinese Cemetery</t>
  </si>
  <si>
    <t>NOT labeled on this 1:12,000 sheet ('CHINESE CEMETERY' was labeled on the 1905-06 Map No.3). An anonymous hatched enclosure sits in the general sector E of Ancon Hill - drawn-but-nameless (the Camacho/Mamei pattern). The named Chinese cemetery drops off the official map by 1947.</t>
  </si>
  <si>
    <t>A-1379</t>
  </si>
  <si>
    <t>Bas Matachin</t>
  </si>
  <si>
    <t>Canal Record Vol I v00002/p372 (Page A-357); Vol V A-121; Vol VI A-439; Vol II A-52</t>
  </si>
  <si>
    <t>French-era name of the Matachin shops quarter, kept in American use: 'Gorgona shops, known as Bas Matachin shops up to December 24, 1906'; 1905 decision 'to rebuild the Bas Matachin shops'; Vol II water-supply list still serves 'Matachin, Bas Matachin, Gorgona...' separately. The renaming itself is documented. Variant-name probe 2026-09-14, 4 page hits, KWIC-verified.</t>
  </si>
  <si>
    <t>A-1380</t>
  </si>
  <si>
    <t>Canal Record Vol III v00003/p368 (Page A-357); Vol III A-124; Vol XI B-496</t>
  </si>
  <si>
    <t>Mount Hope cemetery's 'old section, known in French canal times as Monkey Hill'; a French 1883 excavation volume 'pertained to the borrow-pit at Monkey Hill'; a land deposition (Vol XI) still locates William E. Cowan's lands 'on Monkey Hill'. Dates the earlier name the official toponym replaced. Variant-name probe 2026-09-14, KWIC-verified.</t>
  </si>
  <si>
    <t>A-1381</t>
  </si>
  <si>
    <t>Canal Record Vol IV v00004/p454 (Page A-409)</t>
  </si>
  <si>
    <t>Origin story in the official organ: when the French began work at the Pacific entrance 'they imported a number of Colombian laborers from Cartagena, who settled the place under the name of Cartagenita (Little Cartagena). The place, however, was officially designated La Boca (the mouth)'. The Record itself records the settlers' name being overwritten by the official one - naming-as-erasure in the colonial power's own words. French-era founding asserted retrospectively (not dated here per the corpus-span rule). Variant-name probe 2026-09-14, KWIC-verified.</t>
  </si>
  <si>
    <t>A-1382</t>
  </si>
  <si>
    <t>Canal Record Vol I v00002/p237 (Page A-222); Vol VI A-249; Vol VII A-293</t>
  </si>
  <si>
    <t>Malaria sick-rate list 1907-08 ('BasObispo, Miraflores, San Pablo, Cucaracha, and Cartagenita'); 1912-13 sanitation report lists Cartagenita among 'larger villages' with no sewer system; 1913-14: the Panama Coca Cola Bottling Company works 'situated at Cartagenita, on the west bank of the Canal, nearly opposite the village of Paraiso' to be moved into Panama City. Geography (opposite Paraiso) fits this place, not the La Boca Cartagenita (CZ-170); the Vol I hit could be either - hence Medium. Variant-name probe 2026-09-14, KWIC-verified.</t>
  </si>
  <si>
    <t>A-1383</t>
  </si>
  <si>
    <t>Canal Record Vol VII v00007/p405 (Page A-378)</t>
  </si>
  <si>
    <t>Removal notice: 'the entire native towns at Gorgona, Matachin, Gamboa, Santa Cruz, Cruces, Juan Mina, Bas Obispo, Las Cascadas, Cerro Gordo, Cerro Salado, Cartagenita, Spanish-town (at Paraiso), Mandingo Llano, Pedro Miguel, and Miraflores have been removed'. Variant-name probe 2026-09-14, KWIC-verified.</t>
  </si>
  <si>
    <t>A-1384</t>
  </si>
  <si>
    <t>Spanish-town (at Paraiso)</t>
  </si>
  <si>
    <t>Same removal notice: 'Spanish-town (at Paraiso)' among the 'entire native towns... removed' - dates the depopulation of Spanish Town to 1913-14 and independently confirms its Paraiso location (registered from the ICC 1911 map). Found via the variant-name probe 2026-09-14 (Cartagenita KWIC), not a Spanish Town query.</t>
  </si>
  <si>
    <t>A-1385</t>
  </si>
  <si>
    <t>Canal Record Vol IX v00008/p476 (Page B 439)</t>
  </si>
  <si>
    <t>Silver-roll/census district table of 1915-16 still carries a 'Spanish Town' row in the Paraiso section - the district name outlives the removed town (removal notice Vol VII A-378). Administrative afterlife of an erased place. Probe 2026-09-14.</t>
  </si>
  <si>
    <t>A-1386</t>
  </si>
  <si>
    <t>Canal Record Vol VI v00006/p280 (Page A-249); Vol VIII p206; Vol IX B 439</t>
  </si>
  <si>
    <t>1912-13 sanitation report lists Golden Green among 'larger villages' without sewer systems; labor-district tables of Vols VIII-IX carry a Golden Green row (Empire group). First DATED Canal Record evidence for a place the Chronicling America probe left undated (Tier B). Found via variant-name probe 2026-09-14 KWIC pages.</t>
  </si>
  <si>
    <t>A-1387</t>
  </si>
  <si>
    <t>Cerro Camp</t>
  </si>
  <si>
    <t>Canal Record Vol VII v00007/p505 (Page A-468); Vol VIII p206; Vol IX B 439</t>
  </si>
  <si>
    <t>Empire-group labor camp in the census/district tables: Vol VII (1913-14) counts 329 persons at Cerro camp (126+122 men, 83+120 others per the columns); rows persist through Vol IX (1915-16). Variant-name probe 2026-09-14 ('Cerro camp'), KWIC-verified.</t>
  </si>
  <si>
    <t>A-1388</t>
  </si>
  <si>
    <t>Lirio Camp</t>
  </si>
  <si>
    <t>Same Empire-group tables: 'Liriocamp' counted at 309 persons in Vol VII (1913-14); rows through Vol IX (OCR renders it Liio/Lino/Lirio Camp - which is why the direct phrase query returned zero; evidence recovered from the Cerro Camp pages). Probe 2026-09-14.</t>
  </si>
  <si>
    <t>A-1389</t>
  </si>
  <si>
    <t>Canal Record Vol VII v00007/p505 (Page A-468); Vol VIII p206</t>
  </si>
  <si>
    <t>Empire-group census tables: Camacho row counted at 720 persons in Vol VII (1913-14) (357+214 men, 202+161 others per the columns) - the first population figure for the quarter registered from the Silver People letters. Rows persist in Vol VIII (1914-15). Found via variant-name probe 2026-09-14 KWIC pages.</t>
  </si>
  <si>
    <t>A-1390</t>
  </si>
  <si>
    <t>Canal Record Vol XXXIII v00027/p231 (Page 222)</t>
  </si>
  <si>
    <t>Earliest 'Diablo Heights' in the Canal Record (staff directory: Safety Section, Diablo Heights) - and the ONLY occurrence across Vols I-XXXIV, dating the renaming of Diablo to Diablo Heights to c.1939-40, at the edge of the Record's run. Variant-name probe 2026-09-14. | repointed CZ-055 -&gt; CZ-182 2026-09-14 (Diablo split: the 1940s Diablo Heights townsite is its own place)</t>
  </si>
  <si>
    <t>A-1391</t>
  </si>
  <si>
    <t>Canal Record Vol XIV v00012/p114 (Page 105); Vol XV B 36..B 428; Vol XXII p721; Vol XXIV p105/p200</t>
  </si>
  <si>
    <t>Construction-era evidence: recurring works item 'Grading at Silver City, Mount Hope' through 1921-22 - the silver-roll townsite being built; mentions continue to Vol XXIV (1930-31). 10 page hits from Vol XIV (1920-21) on. Variant-name probe 2026-09-14, KWIC-verified.</t>
  </si>
  <si>
    <t>A-1392</t>
  </si>
  <si>
    <t>Variant-name probe 2026-09-14</t>
  </si>
  <si>
    <t>11 Canal Record page hits for 'Las Cruces', NONE the colonial town (KWIC-verified 2026-09-14): they are the Diesel-electric dredge Las Cruces (Vol XXII, 1928-29) and Las Cruces Avenue in Balboa (Vol XIII) - the erased town's name living on as equipment and street commemorations. The town itself appears in the Record only under 'Cruces' (already attested).</t>
  </si>
  <si>
    <t>A-1393</t>
  </si>
  <si>
    <t>Casa Blanca</t>
  </si>
  <si>
    <t>3 Canal Record page hits for the Spanish variant 'Casa Blanca', NONE this place (KWIC-verified): a Panama City merchant house 'La Casa Blanca' and Casablanca, Africa, in shipping lists. Applies equally to CZ-086 (the other Whitehouse). The Spanish name of the settlement is absent from the official organ.</t>
  </si>
  <si>
    <t>A-1394</t>
  </si>
  <si>
    <t>138 Canal Record page hits for 'White House', all the Executive Mansion (Woodrow Wilson executive orders etc.; KWIC-verified sample). The two-word form of the settlement name does not appear for the place. Applies equally to CZ-086.</t>
  </si>
  <si>
    <t>A-1395</t>
  </si>
  <si>
    <t>171 Canal Record page hits for 'Cartagena', overwhelmingly the Colombian port in shipping/steamship-line matter (KWIC-verified sample); the one Canal Zone-relevant hit is the Cartagenita origin story attributed to CZ-170. No hit distinguishable as this unlocated place; its 7 'Cartagenita' hits were attributed to CZ-062/CZ-170 by geography. | REPOINTED 2026-09-16 by the integrity sweep: CZ-087 Cartagena was merged into CZ-062 Cartagenita on 2026-09-09. The row was left behind by that merge and was invisible to the model until now.</t>
  </si>
  <si>
    <t>A-1396</t>
  </si>
  <si>
    <t>De Lesseps City</t>
  </si>
  <si>
    <t>ZERO page hits for "De Lesseps City" in the Panama Canal Record (UFDC bibid UF00097368, Vols I-XXXIV, 1907-1941; page-level phrase search, variant-name probe 2026-09-14). The French promotional name for Gatun never entered the American official organ.</t>
  </si>
  <si>
    <t>A-1397</t>
  </si>
  <si>
    <t>Nuevo Gatun</t>
  </si>
  <si>
    <t>ZERO page hits for "Nuevo Gatun" in the Panama Canal Record (UFDC bibid UF00097368, Vols I-XXXIV, 1907-1941; page-level phrase search, variant-name probe 2026-09-14). The Spanish form is absent; the Record uses only the English 'New Gatun'.</t>
  </si>
  <si>
    <t>A-1398</t>
  </si>
  <si>
    <t>Portobelo</t>
  </si>
  <si>
    <t>ZERO page hits for "Portobelo" in the Panama Canal Record (UFDC bibid UF00097368, Vols I-XXXIV, 1907-1941; page-level phrase search, variant-name probe 2026-09-14). The Spanish single-word spelling is absent; the Record uses the anglicized 'Porto Bello' (already attested).</t>
  </si>
  <si>
    <t>A-1399</t>
  </si>
  <si>
    <t>Alto Obispo</t>
  </si>
  <si>
    <t>ZERO page hits for "Alto Obispo" in the Panama Canal Record (UFDC bibid UF00097368, Vols I-XXXIV, 1907-1941; page-level phrase search, variant-name probe 2026-09-14). The Spanish calque of Haut Obispo is absent from the Record.</t>
  </si>
  <si>
    <t>A-1400</t>
  </si>
  <si>
    <t xml:space="preserve">ZERO page hits for "Camp Corosita" in the Panama Canal Record (UFDC bibid UF00097368, Vols I-XXXIV, 1907-1941; page-level phrase search, variant-name probe 2026-09-14). </t>
  </si>
  <si>
    <t>A-1401</t>
  </si>
  <si>
    <t>ZERO page hits for "Cunette camp" in the Panama Canal Record (UFDC bibid UF00097368, Vols I-XXXIV, 1907-1941; page-level phrase search, variant-name probe 2026-09-14). 'Cunette' alone was already probed 2026-09-13.</t>
  </si>
  <si>
    <t>A-1402</t>
  </si>
  <si>
    <t>ZERO page hits for "Carabali Reservation" in the Panama Canal Record (UFDC bibid UF00097368, Vols I-XXXIV, 1907-1941; page-level phrase search, variant-name probe 2026-09-14). Note the Vol II water-supply page (found via Bas Matachin) names a 'Carabali reservoir, near Gorgona' - the toponym survives in infrastructure.</t>
  </si>
  <si>
    <t>A-1403</t>
  </si>
  <si>
    <t>Rainbow City</t>
  </si>
  <si>
    <t>ZERO page hits for "Rainbow City" in the Panama Canal Record (UFDC bibid UF00097368, Vols I-XXXIV, 1907-1941; page-level phrase search, variant-name probe 2026-09-14). Expected: the renaming of Silver City to Rainbow City post-dates the Record's 1941 end - the zero corroborates the renaming date rather than an absence of the place. | 2026-09-14 merge review: kept - the 1961 name 'Rainbow City' is rightly absent from the Record even though 'Silver City' is present.</t>
  </si>
  <si>
    <t>A-1404</t>
  </si>
  <si>
    <t>ZERO page hits for "Cartasenita" in the Panama Canal Record (UFDC bibid UF00097368, Vols I-XXXIV, 1907-1941; page-level phrase search, variant-name probe 2026-09-14). Suazo's spelling (Silver People letters) never appears in the official organ - the two archives spell the place differently.</t>
  </si>
  <si>
    <t>A-1405</t>
  </si>
  <si>
    <t>Big Camacho / Small Camacho / Camacha</t>
  </si>
  <si>
    <t>ZERO page hits for each of 'Big Camacho', 'Small Camacho', and 'Camacha' (UFDC bibid UF00097368, Vols I-XXXIV, variant-name probe 2026-09-14). The letters' internal differentiation of the quarter never appears in the official organ, which counts a single 'Camacho' (see the census attestation).</t>
  </si>
  <si>
    <t>A-1406</t>
  </si>
  <si>
    <t>Culebra Rio Grandi</t>
  </si>
  <si>
    <t xml:space="preserve">ZERO page hits for "Culebra Rio Grandi" in the Panama Canal Record (UFDC bibid UF00097368, Vols I-XXXIV, 1907-1941; page-level phrase search, variant-name probe 2026-09-14). </t>
  </si>
  <si>
    <t>A-1407</t>
  </si>
  <si>
    <t>ANCON-HOSPITAL</t>
  </si>
  <si>
    <t>BERTONCINI1904 (pcc00019), georef 2026-09-14</t>
  </si>
  <si>
    <t>Pavilion complex drawn building-by-building along the slope road, labeled ANCON-HOSPITAL - the French-built hospital as the PANAMANIAN city plan drew it in 1904, before the US takeover. Third dated geometry for CZ-161 (1904 / 1905-06 / 1947).</t>
  </si>
  <si>
    <t>A-1408</t>
  </si>
  <si>
    <t>Cementerio Chino</t>
  </si>
  <si>
    <t>LABELED 'Cementerio Chino' with its enclosure, inside the municipal CEMENTERIOS complex (Catolico nuevo, de Estrangeros, Hebreo antiguo, Militar, Crematorio) on the Camino de La Boca. Lands ~620 m SSE of the Map No.3-frame fix - independent confirmation of the M3 Pacific-corner offset; this 1947-chained read supersedes it (Coordinates updated).</t>
  </si>
  <si>
    <t>A-1409</t>
  </si>
  <si>
    <t>CERRO DEL ANCON</t>
  </si>
  <si>
    <t>The hill carries its Spanish name on the 1904 Panamanian plan - the toponym as the city itself wrote it, months before Ancon became the Zone administrative center.</t>
  </si>
  <si>
    <t>A-1410</t>
  </si>
  <si>
    <t>CAMINO DE LA BOCA</t>
  </si>
  <si>
    <t>Road labeled CAMINO DE LA BOCA leading W off-sheet - the toponym in 1904 Panamanian usage (the town itself lies west of the sheet edge).</t>
  </si>
  <si>
    <t>A-1411</t>
  </si>
  <si>
    <t>Gallica S-039</t>
  </si>
  <si>
    <t>French period: "Au dela de Matachin, le trace du canal, quittant la vallee du Chagres, entre dans celle du rio Obispo, et se dirige vers le col de la Culebra."</t>
  </si>
  <si>
    <t>A-1412</t>
  </si>
  <si>
    <t>rio Obispo</t>
  </si>
  <si>
    <t>French period: "...entre dans celle du rio Obispo... (the Obispo valley, i.e. Bas/Haut Obispo, on the canal line beyond Matachin)."</t>
  </si>
  <si>
    <t>A-1413</t>
  </si>
  <si>
    <t>station d'Emperador</t>
  </si>
  <si>
    <t>French period: "entre le point ou j'ai recueilli ces echantillons de breche et la station d'Emperador."</t>
  </si>
  <si>
    <t>A-1414</t>
  </si>
  <si>
    <t>la Gorgona</t>
  </si>
  <si>
    <t>French period: "dans les environs de la Gorgona des argiles que j'y ai constatees."</t>
  </si>
  <si>
    <t>A-1415</t>
  </si>
  <si>
    <t>French period: "les tufs de Barbacoas, auxquels Garella donne, sous le nom de gres, une origine sedimentaire."</t>
  </si>
  <si>
    <t>A-1416</t>
  </si>
  <si>
    <t>French period: "Barbacoas, en passant par Frijol et Tabernilla."</t>
  </si>
  <si>
    <t>A-1417</t>
  </si>
  <si>
    <t>station de Paraiso</t>
  </si>
  <si>
    <t>French period: "On la rencontre jusqu'a la station de Paraiso, sur une longueur de 2 kilometres environ."</t>
  </si>
  <si>
    <t>A-1418</t>
  </si>
  <si>
    <t>Pedro-Miguel</t>
  </si>
  <si>
    <t>French period: "Ce ruisseau... depuis sa source jusqu'a Pedro-Miguel."</t>
  </si>
  <si>
    <t>A-1419</t>
  </si>
  <si>
    <t>Ahorca-Lagarto</t>
  </si>
  <si>
    <t>French period: "Quant aux calcaires de Vamos-Vamos et d'Ahorca-Lagarto, dont l'origine est assez difficile a expliquer."</t>
  </si>
  <si>
    <t>A-1420</t>
  </si>
  <si>
    <t>Vamos-Vamos</t>
  </si>
  <si>
    <t>French period: "les calcaires de Vamos-Vamos et d'Ahorca-Lagarto."</t>
  </si>
  <si>
    <t>A-1421</t>
  </si>
  <si>
    <t>San-Pablo</t>
  </si>
  <si>
    <t>French period: "les tufs de San-Pablo, de la Loma del Tigre, de Gatun et de Monkey-Hill."</t>
  </si>
  <si>
    <t>A-1422</t>
  </si>
  <si>
    <t>Loma del Tigre</t>
  </si>
  <si>
    <t>French period: "les tufs de San-Pablo, de la Loma del Tigre [Tiger Hill], de Gatun et de Monkey-Hill."</t>
  </si>
  <si>
    <t>A-1423</t>
  </si>
  <si>
    <t>A-1424</t>
  </si>
  <si>
    <t>Monkey-Hill</t>
  </si>
  <si>
    <t>French period: "les tufs de San-Pablo, de la Loma del Tigre, de Gatun et de Monkey-Hill [Monkey Hill = Mount Hope]."</t>
  </si>
  <si>
    <t>A-1425</t>
  </si>
  <si>
    <t>rio Mindi</t>
  </si>
  <si>
    <t>French period: "Le trace, longeant le rivage de la mer jusque vers l'embouchure du rio Mindi, dont il emprunte presque le lit."</t>
  </si>
  <si>
    <t>A-1426</t>
  </si>
  <si>
    <t>Buhio-Soldado</t>
  </si>
  <si>
    <t>French period: "a la station meme de Buhio-Soldado, par une formation importante, completement differente."</t>
  </si>
  <si>
    <t>A-1427</t>
  </si>
  <si>
    <t>Cerro de la Culebra</t>
  </si>
  <si>
    <t>Gallica S-040</t>
  </si>
  <si>
    <t>French period: "Le canal a niveau de Panama doit traverser un massif doleritique, le Cerro de la Culebra, dont le sommet est a 98 metres." | reclassified Existence-&gt;Name 2026-09-14: the 1879 line names the Cerro de la Culebra - the mountain in a geology text, not the town.</t>
  </si>
  <si>
    <t>A-1428</t>
  </si>
  <si>
    <t>French period: "Des etranglements pareils se retrouvent au confluent du Rio Pequeni et du Chagres... en amont de Cruces."</t>
  </si>
  <si>
    <t>A-1429</t>
  </si>
  <si>
    <t>French period: "plus loin, a Paraiso, l'on observe des collines basaltiques."</t>
  </si>
  <si>
    <t>A-1430</t>
  </si>
  <si>
    <t>French period: "Wyse, apres avoir examine le Rio-Grande, le Caimitillo, le Pedro-Miguel et le Bernardino."</t>
  </si>
  <si>
    <t>A-1431</t>
  </si>
  <si>
    <t>French period: "aussitot, il evite les petites collines du Mindi et, pour respecter le chemin de fer, decrit une courbe."</t>
  </si>
  <si>
    <t>A-1432</t>
  </si>
  <si>
    <t>French period: "Dans les environs de Gorgona, l'on trouve des trachytes porphyroides... La Gorgona est a 23m,10 d'altitude."</t>
  </si>
  <si>
    <t>A-1433</t>
  </si>
  <si>
    <t>French period: "en appliquant [ces chiffres] au bassin du Chagres en amont de Matachin."</t>
  </si>
  <si>
    <t>A-1434</t>
  </si>
  <si>
    <t>Gallica S-041</t>
  </si>
  <si>
    <t>French period: "Buhio-Soldado est un beau campement situe entre la ligne du [canal et le fleuve]."</t>
  </si>
  <si>
    <t>A-1435</t>
  </si>
  <si>
    <t>French period: "3o Emperador proprement dit (Terrain rocheux)... pres de la limite de separation des chantiers d'Emperador."</t>
  </si>
  <si>
    <t>A-1436</t>
  </si>
  <si>
    <t>French period: "Nous poursuivons notre route par Mamei (kilom. 39), Gorgona et Matachin (kilom. 40, 42 et 43) ou les tranchees sont faites."</t>
  </si>
  <si>
    <t>A-1437</t>
  </si>
  <si>
    <t>French period: "Gorgona et Matachin (kilom. 40, 42 et 43) ou les tranchees sont faites."</t>
  </si>
  <si>
    <t>A-1438</t>
  </si>
  <si>
    <t>French period: "Nous poursuivons notre route par Mamei (kilom. 39), Gorgona et Matachin."</t>
  </si>
  <si>
    <t>A-1439</t>
  </si>
  <si>
    <t>French period: "III. De Paraiso au Pacifique. Entre ce point et le commencement de la section de Paraiso (kilom. 58)."</t>
  </si>
  <si>
    <t>A-1440</t>
  </si>
  <si>
    <t>French period: "Aucune agitation ne s'est produite sur la ligne des travaux du Canal, sauf a la Culebra."</t>
  </si>
  <si>
    <t>A-1441</t>
  </si>
  <si>
    <t>Rios-Frijoles</t>
  </si>
  <si>
    <t>French period: "rive droite du Chagres (Rios-Frijoles, Rio-Portuosa, Gatuncillo, Boquillo, Mindi)."</t>
  </si>
  <si>
    <t>A-1442</t>
  </si>
  <si>
    <t>Indianapolis Journal 1895-09-02 p.5 (sn82015679)</t>
  </si>
  <si>
    <t>New-French-Company era: canal repairs 'only temporary, owing to the lack of suitable shops... until the old Bas Matachin foundry is reopened and approaches its former self'. Same column reports the Culebra canal-laborers strike ending in a wage increase. 6 page hits for 'Bas Matachin'+'Panama'. Chronicling America page search 1880-01-01..1920-12-31, variant-name probe 2026-09-14, KWIC-verified.</t>
  </si>
  <si>
    <t>A-1443</t>
  </si>
  <si>
    <t>las Cruces</t>
  </si>
  <si>
    <t>Boletin mercantil de Puerto Rico 1881-01-16 p.2 (sn91099739)</t>
  </si>
  <si>
    <t>SPANISH-LANGUAGE press: 'EL CANAL DE PANAMA' route description - 'sigue por el valle y sube hasta el pueblo de las Cruces; de alli al de Matachin' - the colonial towns named in Spanish at the very start of the French project. Found via 'Las Cruces'+'Chagres' (29 hits from 1881). Chronicling America page search 1880-01-01..1920-12-31, variant-name probe 2026-09-14, KWIC-verified.</t>
  </si>
  <si>
    <t>A-1444</t>
  </si>
  <si>
    <t>Same Spanish-language route description: 'de alli al de Matachin' (accented in the original). Recorded from the Las Cruces page read - all content of a fetched page becomes attestations. Chronicling America page search 1880-01-01..1920-12-31, variant-name probe 2026-09-14.</t>
  </si>
  <si>
    <t>A-1445</t>
  </si>
  <si>
    <t>Sn83045160 1881-07-22 p.4</t>
  </si>
  <si>
    <t>Letter on the causes of the Colon riots: 'Messrs. Frank Brothers hold a lease from the Panama Railroad company of certain lands situated at Monkey Hill... sub-let to various Jamaicans portions of these lands on condition that in lieu of rent the residents there shall grow bananas'. Afro-Caribbean tenant settlement at Monkey Hill in 1881, decades before the Mount Hope renaming. 411 page hits for 'Monkey Hill'+'Panama' 1880-1920 (other Monkey Hills possible in the tail; this earliest hit KWIC-verified). Chronicling America page search 1880-01-01..1920-12-31, variant-name probe 2026-09-14.</t>
  </si>
  <si>
    <t>A-1446</t>
  </si>
  <si>
    <t>National Republican (Washington) 1886-08-16 p.1 (sn86053573)</t>
  </si>
  <si>
    <t>'An explosion of dynamite has occurred at Alto Obispo. Several buildings were wrecked and a few persons are reported injured... forty-seven kilograms.' French-era canal works under the Spanish calque of Haut Obispo - corroborates the Smithsonian Haut Obispo 1896 record. Sole hit. Chronicling America page search 1880-01-01..1920-12-31, variant-name probe 2026-09-14, KWIC-verified.</t>
  </si>
  <si>
    <t>A-1447</t>
  </si>
  <si>
    <t>Sn86086770 1884-04-10 p.3</t>
  </si>
  <si>
    <t>Lieut. Rodgers' annual review of the French plan: 'a large port at each end of the canal, and an intermediate station at Tavernilla'. Pushes the spelling variant back to 1884 (the first-pass harvest had it in an 1887 excavation table). 54 page hits for 'Tavernilla'+'Panama'. Chronicling America page search 1880-01-01..1920-12-31, variant-name probe 2026-09-14, KWIC-verified.</t>
  </si>
  <si>
    <t>A-1448</t>
  </si>
  <si>
    <t>New Culebra</t>
  </si>
  <si>
    <t>Sn84026749 1908-04-17 p.4</t>
  </si>
  <si>
    <t>Dry-weather slides in the Culebra Cut: 'One spot is near the village of New Culebra and the other near Las Cascadas. The banks are old French dumps.' The pre-Summit name in newspaper use, consistent with the Canal Record's renaming notice (Vol IX). 51 page hits. Chronicling America page search 1880-01-01..1920-12-31, variant-name probe 2026-09-14, KWIC-verified.</t>
  </si>
  <si>
    <t>A-1449</t>
  </si>
  <si>
    <t>Norwich Bulletin 1914-07-31 p.8 (sn82014086)</t>
  </si>
  <si>
    <t>Weeks after old Gorgona's depopulation: a Panamanian agricultural school 'will be located near New Gorgona' (J. Rene Piot of Paris as director). The relocation town entering the record as the old town leaves it. 6 page hits from 1914-07-31. Chronicling America page search 1880-01-01..1920-12-31, variant-name probe 2026-09-14, KWIC-verified.</t>
  </si>
  <si>
    <t>A-1450</t>
  </si>
  <si>
    <t>ZERO page hits for 'Nuevo Gatun'+'Panama', Chronicling America page search 1880-01-01..1920-12-31, variant-name probe 2026-09-14. The Spanish form of New Gatun never reaches the United States press.</t>
  </si>
  <si>
    <t>A-1451</t>
  </si>
  <si>
    <t>1 apparent page hit for 'De Lesseps City'+'Panama' (Richmond Dispatch 1893-02-12), but the page OCR contains no such phrase - it is Panama-scandal coverage mentioning M'me De Lesseps (KWIC-verified). No genuine newspaper use of the French promotional name for Gatun found. Chronicling America page search 1880-01-01..1920-12-31, variant-name probe 2026-09-14.</t>
  </si>
  <si>
    <t>A-1452</t>
  </si>
  <si>
    <t>4 page hits for 'Portobelo'+'Panama' are OCR doubling artifacts of the two-word 'Porto Bello' (e.g. Salt Lake Herald 1901-09-22, a commission traveling 'by Porto Bello and San Blas southward'; KWIC-verified). No genuine single-word Spanish usage in the corpus; the place is attested under 'Porto Bello'. Chronicling America page search 1880-01-01..1920-12-31, variant-name probe 2026-09-14.</t>
  </si>
  <si>
    <t>A-1453</t>
  </si>
  <si>
    <t>73 page hits for 'Casa Blanca'+'Canal Zone' are Casablanca, Morocco (Raisuli affair etc.) on pages that separately carry Canal Zone news - the AND query pairs them spuriously (earliest 1905-09-04 KWIC-verified). The Spanish name of the Whitehouse settlement is absent from the newspaper corpus as from the Canal Record. Applies equally to CZ-086. Chronicling America page search 1880-01-01..1920-12-31, variant-name probe 2026-09-14.</t>
  </si>
  <si>
    <t>A-1454</t>
  </si>
  <si>
    <t>32 page hits for 'Jamaica Town'+'Panama' are dominated by Jamaica Town Hall (Jamaica, Long Island, New York) and Jamaica-island news (earliest 1893-02-09 KWIC-verified). The West Indian quarters called Jamaica Town in the Zone never surface under that name in the United States press. Chronicling America page search 1880-01-01..1920-12-31, variant-name probe 2026-09-14.</t>
  </si>
  <si>
    <t>A-1455</t>
  </si>
  <si>
    <t>Canal Record Vol I v00002/p130 (Page A-115).. Vol IX v00008/p437 (Page B 400); 33 page hits</t>
  </si>
  <si>
    <t>The district across the Record's run: listed among the suburbs of Panama ('Pueblo Nuevo, San Miguel, Calidonia, Maranon, Guachapali', Vol I 1907-08); sewer, water and street works 1909-14 (Vols III-VII); rentals rise as 'additional lots in the district of Guachapali' are leased (Vol VII); a silver-roll Panama Railroad employee from Barbados resident at Guachapali, June 1916 (Vol IX B 400). Imported to CZ-156 2026-09-14 (CZ-156 = the Panama City district). Variant-name probe 2026-09-14, KWIC-verified.</t>
  </si>
  <si>
    <t>A-1456</t>
  </si>
  <si>
    <t>district of Guachapali</t>
  </si>
  <si>
    <t>Canal Record Vol III v00003/p49 (Page A-49); Vol III A-121/A-77/A-313; Vol IV v00004/p57 (Page A-57)</t>
  </si>
  <si>
    <t>Sanitary demolition campaign in the arrabal: 'begun on June 21, 1909, when the Health Office ordered 152 houses and shacks in the district of Guachapali to be destroyed. At the same time permission was granted to the owners of 73 houses to move them so as to conform with the new lot survey'; removals of 'unsanitary houses and shacks' continue with Santa Cruz, Maranon and San Miguel into 1910-11. PARTIAL erasure - the district persists, rebuilt to the imposed survey. Colonial sanitary power documented in its own organ. Ruling 2026-09-14; variant-name probe 2026-09-14, KWIC-verified.</t>
  </si>
  <si>
    <t>A-1457</t>
  </si>
  <si>
    <t>Guachapali (West Indian churches)</t>
  </si>
  <si>
    <t>Canal Record Vol VI v00006/p274 (Page A-243); Vol V A-288; Vol VI A-195/A-307/A-430; Vol VII A-274/p8/A-207/A-163; Vol VIII p288</t>
  </si>
  <si>
    <t>The district's Afro-Caribbean religious life in the official organ: the Baptist church 'constructed in 1908' replaced by a new building dedicated March 15-16, 1914; the United Methodist Church, West Indian, lays its cornerstone May 19, 1912 (dedicated February 1913); a Methodist chapel 'for the negro congregation'; Christmas gifts 'among the negro children of the church in Guachapali'. Documents the arrabal as a center of West Indian life beside the Zone. Ruling 2026-09-14; variant-name probe 2026-09-14, KWIC-verified.</t>
  </si>
  <si>
    <t>A-1458</t>
  </si>
  <si>
    <t>Evening Star (Washington) 1910-10-30 p.3 (sn83045462)</t>
  </si>
  <si>
    <t>United States press corroboration of the demolition campaign, via War Department reports: 'In the interests of sanitation 13? dwellings in Guachapali and 57 dwellings in Santa Cruz were recently destroyed by the health authorities' (OCR garbles the Guachapali count; the Canal Record's order was 152 houses). Sole 'Guachapali'+'Panama' hit, Chronicling America 1880-1920. Ruling 2026-09-14; variant-name probe 2026-09-14, KWIC-verified.</t>
  </si>
  <si>
    <t>A-1459</t>
  </si>
  <si>
    <t>City of Aspinwall or Colon</t>
  </si>
  <si>
    <t>PRR1857 (pcc00004), georef 2026-09-14</t>
  </si>
  <si>
    <t>Town blocks drawn on the Island of Manzanillo, Light House, Victor Bay. NOT INDEPENDENT: used as a georef anchor. Dual name Aspinwall/Colon as of 1857.</t>
  </si>
  <si>
    <t>A-1460</t>
  </si>
  <si>
    <t>Hill labeled Monkey Hill (with Reservoir) - the original name of the Mount Hope site; name ancestry read at (9.328703, -79.893163). Town/cemetery c.1880 takes the renamed form.</t>
  </si>
  <si>
    <t>A-1461</t>
  </si>
  <si>
    <t>Rio Mindi / Sierra Mindi</t>
  </si>
  <si>
    <t>River and ridge carry the Mindi name in 1857 - hydronym/oronym ancestry for the Boca Mindi settlement.</t>
  </si>
  <si>
    <t>A-1462</t>
  </si>
  <si>
    <t>Village of GATUN (+ Old Fort)</t>
  </si>
  <si>
    <t>Village dots + Old Fort at the Gatun river mouth; GATUN STATION labeled separately on the line. POSITION CLAIM ~1.4 km SSE of the stored point (1857 interior distortion; stored point NOT moved).</t>
  </si>
  <si>
    <t>A-1463</t>
  </si>
  <si>
    <t>Settlement symbol + label on the ridge W of the line. FIRST FIX - Tiger Hill had no coordinate in the model until this sheet (alive c.1855; the place the PI-91 index and every later map missed).</t>
  </si>
  <si>
    <t>A-1464</t>
  </si>
  <si>
    <t>Label along the line. POSITION CLAIM ~1.3 km E of stored (interior distortion; not moved).</t>
  </si>
  <si>
    <t>A-1465</t>
  </si>
  <si>
    <t>Label at the river bend. Claim ~1.1 km SE of stored; recorded only.</t>
  </si>
  <si>
    <t>A-1466</t>
  </si>
  <si>
    <t>EXACT preferred-name match on the river bank - 'Viejo' already in 1857, paired with a separate 'Palo Matias Nuevo' downstream (unregistered, features CSV). The Viejo/Nuevo pair predates the 1862 plano.</t>
  </si>
  <si>
    <t>A-1467</t>
  </si>
  <si>
    <t>Village label on the left bank with THREE hamlet labels descending the river - 'Abajo', 'El Medio', 'Arriva' - adjacent to the Pena Blanca lettering. The tripartite Abajo/Medio/Arriba structure the 1862 plano records as Pena Blanca tracts is already drawn in 1857; whether the hamlets subdivide Vamos Vamos or Pena Blanca is ambiguous on this sheet (both claims recorded).</t>
  </si>
  <si>
    <t>A-1468</t>
  </si>
  <si>
    <t>Pena Blanca (or Honda)</t>
  </si>
  <si>
    <t>Pena Blanca lettering along the river/quebrada with the Abajo/El Medio/Arriva hamlet labels nearby (see CZ-060 read) - earliest appearance of the name complex, 5 years before the 1862 tracts.</t>
  </si>
  <si>
    <t>A-1469</t>
  </si>
  <si>
    <t>Village at the line, spelled 'Buhio Soldado' (bohio = hut) - earliest form of the Bohio Soldado name.</t>
  </si>
  <si>
    <t>A-1470</t>
  </si>
  <si>
    <t>Label at the river; claim only.</t>
  </si>
  <si>
    <t>A-1471</t>
  </si>
  <si>
    <t>Barro Colorado (Abajo)</t>
  </si>
  <si>
    <t>Village of Barro Colorado Abajo drawn with dots on the Chagres left bank at ~(9.1988,-79.8036) - the pre-lake village whose hill later names the island (CZ-073, c.1914). Name ancestry; the village itself is an unregistered candidate (features CSV). | repointed CZ-073 -&gt; CZ-183 and retyped Name -&gt; Geometry 2026-09-14: for the village itself the read is presence with a position, not ancestry.</t>
  </si>
  <si>
    <t>A-1472</t>
  </si>
  <si>
    <t>Frijol Station</t>
  </si>
  <si>
    <t>Station labeled 'Frijol' (singular) at the line bend N of the Rio Frijole/Frijolito confluences.</t>
  </si>
  <si>
    <t>A-1473</t>
  </si>
  <si>
    <t>Label with an 'old' channel tag on the adjacent river loop. Claim ~1.5 km from stored; recorded only.</t>
  </si>
  <si>
    <t>A-1474</t>
  </si>
  <si>
    <t>Label + bridge at the crossing. POSITION CLAIM ~2.9 km W of the Map No.3 bridge site - the largest interior-distortion residual on the sheet (recorded, not moved).</t>
  </si>
  <si>
    <t>A-1475</t>
  </si>
  <si>
    <t>San Pablo Station</t>
  </si>
  <si>
    <t>Station lettering along the line.</t>
  </si>
  <si>
    <t>A-1476</t>
  </si>
  <si>
    <t>Village lettering at the river bend, ~830 m from the stored point - good agreement for this sheet. Alive and named in 1857.</t>
  </si>
  <si>
    <t>A-1477</t>
  </si>
  <si>
    <t>Label + symbol; lands 310 m from the stored point - the tightest mid-line agreement on the sheet.</t>
  </si>
  <si>
    <t>A-1478</t>
  </si>
  <si>
    <t>Juan Grande Station</t>
  </si>
  <si>
    <t>Station lettering; the 1862 tract -&gt; 1895 village arc now has an 1857 station stage.</t>
  </si>
  <si>
    <t>A-1479</t>
  </si>
  <si>
    <t>Village dot grid at the river bend. NOT INDEPENDENT: used as the third georef anchor (residual 240 m).</t>
  </si>
  <si>
    <t>A-1480</t>
  </si>
  <si>
    <t>Matachim</t>
  </si>
  <si>
    <t>Spelled 'Matachim' along the river. Name variant + position claim.</t>
  </si>
  <si>
    <t>A-1481</t>
  </si>
  <si>
    <t>Label at the crop seam (village partially cut by a sheet fold); largely defunct after the railroad opened but still drawn 1857.</t>
  </si>
  <si>
    <t>A-1482</t>
  </si>
  <si>
    <t>Lower Obispo</t>
  </si>
  <si>
    <t>ENGLISH NAME ANCESTRY: the settlement the French sheets call Bas Obispo appears as 'Lower Obispo' in 1857 - the English form PREDATES the French one in the cartographic record.</t>
  </si>
  <si>
    <t>A-1483</t>
  </si>
  <si>
    <t>Upper Obispo</t>
  </si>
  <si>
    <t>ENGLISH NAME ANCESTRY: Haut Obispo appears as 'Upper Obispo' in 1857 - pushes the settlement's cartographic record back 26 years before the 1883 press hits (start sharpened to pre-1857).</t>
  </si>
  <si>
    <t>A-1484</t>
  </si>
  <si>
    <t>Co Culebra / The Summit</t>
  </si>
  <si>
    <t>The mountain is labeled (Co Culebra, The Summit 262 ft, 'The Pacific can be seen') but NO settlement is drawn - Culebra exists only as terrain in 1857; the crown town comes later.</t>
  </si>
  <si>
    <t>A-1485</t>
  </si>
  <si>
    <t>Paraison Station</t>
  </si>
  <si>
    <t>Station lettering ('Paraison'). Claim ~1.3 km S of the 1906 village; interior distortion + label drift.</t>
  </si>
  <si>
    <t>A-1486</t>
  </si>
  <si>
    <t>Label + dot on the line; ~980 m from stored (claim).</t>
  </si>
  <si>
    <t>A-1487</t>
  </si>
  <si>
    <t>Rio Grande Station</t>
  </si>
  <si>
    <t>Station lettering at Co Grande.</t>
  </si>
  <si>
    <t>A-1488</t>
  </si>
  <si>
    <t>Ca[i]muito Mulato</t>
  </si>
  <si>
    <t>Rotated riverside lettering read as 'Ca?muito Mulato' - if correct, the Caimito Mulato toponym predates 1862. Reading confidence LOW (engraving cramped).</t>
  </si>
  <si>
    <t>A-1489</t>
  </si>
  <si>
    <t>Rio Cocodi</t>
  </si>
  <si>
    <t>The river is labeled Rio Cocodi (with Co Cocodi) - 1857 spelling ancestral to Cocoli; hydronym-before-settlement pattern.</t>
  </si>
  <si>
    <t>A-1490</t>
  </si>
  <si>
    <t>Rio Caravali / Co Caravali</t>
  </si>
  <si>
    <t>River AND hill carry the Caravali spelling at Gorgona in 1857 - earliest of the Carabali name family, before the 1862 and 1895 sheets.</t>
  </si>
  <si>
    <t>A-1491</t>
  </si>
  <si>
    <t>The HILL is labeled Monte Lirio in 1857 - the c.1909 town takes its name from this feature (name-from-terrain ancestry).</t>
  </si>
  <si>
    <t>A-1492</t>
  </si>
  <si>
    <t>Rio Juan Gallegos is labeled but NO village or cross site is drawn - the name survives as hydronym only, matching the PI-91 pattern a century later. Searched the Ahorca Lagarto-Vamos Vamos reach.</t>
  </si>
  <si>
    <t>A-1493</t>
  </si>
  <si>
    <t>Gorgona environs searched: Consaloma, Waterloo and La Penita are drawn on the N bank but NO Santa Cruz - either not yet extant or below the compilation threshold in 1857 (expectation uncertain: workbook start unknown).</t>
  </si>
  <si>
    <t>A-1494</t>
  </si>
  <si>
    <t>San Pablo-Mamei reach searched; no Caimito label. Expectation uncertain (start unknown) - weak negative.</t>
  </si>
  <si>
    <t>A-1495</t>
  </si>
  <si>
    <t>Buena Vista is drawn; NO Isla Vista anywhere on the reach - the SIXTH consecutive zero across sources (strengthens the CZ-074 artifact finding). | REPOINTED 2026-09-16 by the integrity sweep: CZ-074 Isla Vista was merged into CZ-031 Buena Vista on 2026-09-13. The row was left behind by that merge and was invisible to the model until now.</t>
  </si>
  <si>
    <t>A-1496</t>
  </si>
  <si>
    <t>Gatun basin searched (Gatun, Rio Gatuncillo-area quebradas labeled Juan Chiquito etc.); no Gatuncillo settlement. Expectation uncertain - weak negative.</t>
  </si>
  <si>
    <t>A-1497</t>
  </si>
  <si>
    <t>Juan Grande-Gorgona reach searched; no Caballo Viejo. Expectation uncertain in 1857 (French campement phase comes later) - weak negative.</t>
  </si>
  <si>
    <t>A-1498</t>
  </si>
  <si>
    <t>cerro Ancon</t>
  </si>
  <si>
    <t>French period: 'les trachytes compactes du cerro Ancon et des environs' (Boutan 1880).</t>
  </si>
  <si>
    <t>A-1499</t>
  </si>
  <si>
    <t>French period: 'Taboga et sa diminutive Taboguilla sont vertes, bien arrosees et fertiles' (Verbrugghe 1879).</t>
  </si>
  <si>
    <t>A-1500</t>
  </si>
  <si>
    <t>Porto-Bello</t>
  </si>
  <si>
    <t>French period: 'le court chemin des mines de Cana a Porto-Bello' (Verbrugghe 1879); the old Camino Real port.</t>
  </si>
  <si>
    <t>A-1501</t>
  </si>
  <si>
    <t>French period: 'le trace du canal, quittant la vallee du Chagres, entre dans celle du rio Obispo' (Boutan 1880); the river-mouth village names the whole valley the survey follows.</t>
  </si>
  <si>
    <t>A-1502</t>
  </si>
  <si>
    <t>Gallica S-039/S-040/S-041 (all 3 anchors)</t>
  </si>
  <si>
    <t>Searched-absent in the three pre-US French NARRATIVE surveys (Boutan 1880, Verbrugghe 1879, Charles-Roux 1886 text). NOTE (2026-09-14): the omission is NARRATIVE, not cartographic - the 1886 Plan General MAP (S-051) plots many of these Chagres hamlets as points along the line (Pena Blanca, Bailamonos, Juan Grande, Palo Matias, Haut Obispo among them). The reports skipped them; the map did not.</t>
  </si>
  <si>
    <t>A-1503</t>
  </si>
  <si>
    <t>A-1504</t>
  </si>
  <si>
    <t>A-1505</t>
  </si>
  <si>
    <t>A-1506</t>
  </si>
  <si>
    <t>A-1507</t>
  </si>
  <si>
    <t>A-1508</t>
  </si>
  <si>
    <t>A-1509</t>
  </si>
  <si>
    <t>A-1510</t>
  </si>
  <si>
    <t>A-1511</t>
  </si>
  <si>
    <t>A-1512</t>
  </si>
  <si>
    <t>A-1513</t>
  </si>
  <si>
    <t>Searched-absent in the three pre-US French NARRATIVE surveys (Boutan 1880, Verbrugghe 1879, Charles-Roux 1886 text). NOTE (2026-09-14): the omission is NARRATIVE, not cartographic - the 1886 Plan General MAP (S-051) plots many of these Chagres hamlets as points along the line (Pena Blanca, Bailamonos, Juan Grande, Palo Matias, Haut Obispo among them). The reports skipped them; the map did not. | REPOINTED 2026-09-16 by the integrity sweep: CZ-074 Isla Vista was merged into CZ-031 Buena Vista on 2026-09-13. The row was left behind by that merge and was invisible to the model until now.</t>
  </si>
  <si>
    <t>A-1514</t>
  </si>
  <si>
    <t>A-1515</t>
  </si>
  <si>
    <t>A-1516</t>
  </si>
  <si>
    <t>A-1517</t>
  </si>
  <si>
    <t>A-1518</t>
  </si>
  <si>
    <t>A-1519</t>
  </si>
  <si>
    <t>A-1520</t>
  </si>
  <si>
    <t>DIABLO HEIGHTS (letters + Club House + streets)</t>
  </si>
  <si>
    <t>DIABLO HEIGHTS letters + DIABLO CLUB HOUSE + streets (Davis, Endicott, Walker Ave, Blackburn Pl, Hains St) - late-era townsite; registered 2026-09-14 in the lifespan split.</t>
  </si>
  <si>
    <t>A-1521</t>
  </si>
  <si>
    <t>Rio Indio Settlement (1857)</t>
  </si>
  <si>
    <t>Rio Indio Settlement label W of the river - registered 2026-09-14.</t>
  </si>
  <si>
    <t>A-1522</t>
  </si>
  <si>
    <t>Palo Matias Nuevo (1857)</t>
  </si>
  <si>
    <t>label + symbol downstream of Viejo - registered 2026-09-14.</t>
  </si>
  <si>
    <t>A-1523</t>
  </si>
  <si>
    <t>Palo Horqueta (1857)</t>
  </si>
  <si>
    <t>riverside label (label only) - registered 2026-09-14.</t>
  </si>
  <si>
    <t>A-1524</t>
  </si>
  <si>
    <t>Palenquillo (1857)</t>
  </si>
  <si>
    <t>village dots + Qua./Sierra de Palenquillo - registered 2026-09-14.</t>
  </si>
  <si>
    <t>A-1525</t>
  </si>
  <si>
    <t>Pedro Bernal's Settlement (1857)</t>
  </si>
  <si>
    <t>named settlement S of Tabernilla - registered 2026-09-14.</t>
  </si>
  <si>
    <t>A-1526</t>
  </si>
  <si>
    <t>Mari Posa (1857)</t>
  </si>
  <si>
    <t>settlement label W of the Obispo valley - registered 2026-09-14.</t>
  </si>
  <si>
    <t>A-1527</t>
  </si>
  <si>
    <t>Noreza (1857)</t>
  </si>
  <si>
    <t>settlement label + dots - registered 2026-09-14.</t>
  </si>
  <si>
    <t>A-1528</t>
  </si>
  <si>
    <t>Dominica (1857)</t>
  </si>
  <si>
    <t>settlement E of Rio Caimitillo - registered 2026-09-14.</t>
  </si>
  <si>
    <t>A-1529</t>
  </si>
  <si>
    <t>Cardenas (1857)</t>
  </si>
  <si>
    <t>village label (sheet edge) - registered 2026-09-14.</t>
  </si>
  <si>
    <t>A-1530</t>
  </si>
  <si>
    <t>La Vuella (Half Way House) (1857)</t>
  </si>
  <si>
    <t>'La Vuella or Half way house' - registered 2026-09-14.</t>
  </si>
  <si>
    <t>A-1531</t>
  </si>
  <si>
    <t>Miraflores (Atlantic) (1857)</t>
  </si>
  <si>
    <t>Miraflores village label near Gatun - registered 2026-09-14.</t>
  </si>
  <si>
    <t>A-1532</t>
  </si>
  <si>
    <t>Consaloma / Waterloo / La Penita</t>
  </si>
  <si>
    <t>Three labels on the N bank opposite Gorgona: 'Consaloma / Waterloo / La Penita' - the 1857 form of the Cansaloma cluster, five years before the 1862 plano. Waterloo and La Penita noted as possibly distinct adjacent sites (La Penita form also recorded on CZ-084).</t>
  </si>
  <si>
    <t>A-1533</t>
  </si>
  <si>
    <t>La Penita (1857 form)</t>
  </si>
  <si>
    <t>1857 label in the N-bank cluster opposite Gorgona (with Consaloma and Waterloo). Recorded as a Name form: if the position is confirmed as CZ-084's, upgrade to Geometry and extend the start (pre-1908 now).</t>
  </si>
  <si>
    <t>A-1534</t>
  </si>
  <si>
    <t>MARANON</t>
  </si>
  <si>
    <t>MARANON district label - registered 2026-09-14.</t>
  </si>
  <si>
    <t>A-1535</t>
  </si>
  <si>
    <t>COCOAGROVE</t>
  </si>
  <si>
    <t>COCOAGROVE label - registered 2026-09-14.</t>
  </si>
  <si>
    <t>A-1536</t>
  </si>
  <si>
    <t>Chorrillo del Rey label + spring/stream - registered 2026-09-14.</t>
  </si>
  <si>
    <t>A-1537</t>
  </si>
  <si>
    <t>CEMENTERIOS (Catolico nuevo / de Estrangeros / Hebreo antiguo / Militar / Crematorio)</t>
  </si>
  <si>
    <t>the municipal cemetery row labeled enclosure-by-enclosure - registered 2026-09-14.</t>
  </si>
  <si>
    <t>A-1538</t>
  </si>
  <si>
    <t>FAUBOURG DE SANTA ANA</t>
  </si>
  <si>
    <t>faubourg + plaza + named calles, house-by-house - registered 2026-09-14. | position corrected 2026-09-14 (2026-09-14): re-read from the lettering, moved 639 m from the earlier point on the Ancon slope</t>
  </si>
  <si>
    <t>A-1539</t>
  </si>
  <si>
    <t>THE CIENEGA</t>
  </si>
  <si>
    <t>lettering + shoreline quarter in Bamboo &amp; Palmetto houses - registered 2026-09-14. | position corrected 2026-09-14 (2026-09-14): re-read from the lettering, moved 455 m from the earlier point on the Ancon slope</t>
  </si>
  <si>
    <t>A-1540</t>
  </si>
  <si>
    <t>Malambo (church + calle)</t>
  </si>
  <si>
    <t>Church of Malambo + Calle de Malambo + district - registered 2026-09-14. | position corrected 2026-09-14 (2026-09-14): re-read from the lettering, moved 731 m from the earlier point on the Ancon slope</t>
  </si>
  <si>
    <t>A-1541</t>
  </si>
  <si>
    <t>street label (label-only) - registered 2026-09-14. | position corrected 2026-09-14 (2026-09-14): re-read from the lettering, moved 578 m from the earlier point on the Ancon slope</t>
  </si>
  <si>
    <t>A-1542</t>
  </si>
  <si>
    <t>Guinea Grove / Guinea Creek</t>
  </si>
  <si>
    <t>shore district W of the walls - registered 2026-09-14. | RETRACTED 2026-09-14 (CZ-205 Guinea declined - the 1857 'Guinea' lettering reads 'Guinea Grass', a pasture label; the toponym otherwise names a shore point near Balboa, not a settlement). Ignore this row.</t>
  </si>
  <si>
    <t>A-1543</t>
  </si>
  <si>
    <t>Burial Ground (Enclosed), 1857</t>
  </si>
  <si>
    <t>1857 'Burial Ground, Enclosed' at La Huerta del Rey's S edge, ~330 m S of the 1904 Cementerio Chino at (8.9511,-79.5481) - the cemetery row's ancestor SITE, recorded as a dated mention (coords in note only, not a position claim for the 1904 row).</t>
  </si>
  <si>
    <t>A-1544</t>
  </si>
  <si>
    <t>Guinea Point</t>
  </si>
  <si>
    <t>PRR1857 (sweep 2026-09-14)</t>
  </si>
  <si>
    <t>Guinea Point on the 1857 Totten isthmus map - second sheet carrying the Guinea toponym cluster. | RETRACTED 2026-09-14 (CZ-205 Guinea declined - the 1857 'Guinea' lettering reads 'Guinea Grass', a pasture label; the toponym otherwise names a shore point near Balboa, not a settlement). Ignore this row.</t>
  </si>
  <si>
    <t>A-1545</t>
  </si>
  <si>
    <t>lccn 2010225009 (1 pages)</t>
  </si>
  <si>
    <t>La Estrella roster probe 2026-09-14: 1 page(s) carry the phrase; oldest 1904-07-16, newest captured 1904-07-16. Page-level KWIC pending; phrase vs Spanish OCR.</t>
  </si>
  <si>
    <t>A-1546</t>
  </si>
  <si>
    <t>lccn 2010225009 (8 pages)</t>
  </si>
  <si>
    <t>La Estrella roster probe 2026-09-14: 8 page(s) carry the phrase; oldest 1904-04-05, newest captured 1912-02-15. Page-level KWIC pending; phrase vs Spanish OCR.</t>
  </si>
  <si>
    <t>A-1547</t>
  </si>
  <si>
    <t>lccn 2010225009 (0 pages)</t>
  </si>
  <si>
    <t>Absent from the digitized La Estrella run (1849-current at LOC): the Panamanian press does not print this name - bounded to the LOC run, phrase-level vs Spanish OCR. Probe 2026-09-14.</t>
  </si>
  <si>
    <t>A-1548</t>
  </si>
  <si>
    <t>lccn 2010225009 (2 pages)</t>
  </si>
  <si>
    <t>La Estrella roster probe 2026-09-14: 2 page(s) carry the phrase; oldest 1911-02-21, newest captured 1912-12-19. Page-level KWIC pending; phrase vs Spanish OCR.</t>
  </si>
  <si>
    <t>A-1549</t>
  </si>
  <si>
    <t>A-1550</t>
  </si>
  <si>
    <t>lccn 2010225009 (15 pages)</t>
  </si>
  <si>
    <t>La Estrella roster probe 2026-09-14: 15 page(s) carry the phrase; oldest 1905-06-06, newest captured 1914-03-24. Page-level KWIC pending; phrase vs Spanish OCR.</t>
  </si>
  <si>
    <t>A-1551</t>
  </si>
  <si>
    <t>lccn 2010225009 (1084 pages)</t>
  </si>
  <si>
    <t>La Estrella roster probe 2026-09-14: 1084 page(s) carry the phrase; oldest 1904-08-14, newest captured 1907-08-21. Page-level KWIC pending; phrase vs Spanish OCR. AMBIGUOUS in Spanish text (homonym/everyday word) - LEAD only, undated by design; no claim until KWIC separates the referents.</t>
  </si>
  <si>
    <t>A-1552</t>
  </si>
  <si>
    <t>A-1553</t>
  </si>
  <si>
    <t>lccn 2010225009 (9 pages)</t>
  </si>
  <si>
    <t>La Estrella roster probe 2026-09-14: 9 page(s) carry the phrase; oldest 1904-04-05, newest captured 1913-12-18. Page-level KWIC pending; phrase vs Spanish OCR.</t>
  </si>
  <si>
    <t>A-1554</t>
  </si>
  <si>
    <t>lccn 2010225009 (31 pages)</t>
  </si>
  <si>
    <t>La Estrella roster probe 2026-09-14: 31 page(s) carry the phrase; oldest 1905-06-06, newest captured 1914-03-28. Page-level KWIC pending; phrase vs Spanish OCR.</t>
  </si>
  <si>
    <t>A-1555</t>
  </si>
  <si>
    <t>lccn 2010225009 (53 pages)</t>
  </si>
  <si>
    <t>La Estrella roster probe 2026-09-14: 53 page(s) carry the phrase; oldest 1904-06-14, newest captured 1914-06-11. Page-level KWIC pending; phrase vs Spanish OCR.</t>
  </si>
  <si>
    <t>A-1556</t>
  </si>
  <si>
    <t>lccn 2010225009 (11 pages)</t>
  </si>
  <si>
    <t>La Estrella roster probe 2026-09-14: 11 page(s) carry the phrase; oldest 1904-05-03, newest captured 1913-07-26. Page-level KWIC pending; phrase vs Spanish OCR. AMBIGUOUS in Spanish text (homonym/everyday word) - LEAD only, undated by design; no claim until KWIC separates the referents.</t>
  </si>
  <si>
    <t>A-1557</t>
  </si>
  <si>
    <t>lccn 2010225009 (16 pages)</t>
  </si>
  <si>
    <t>La Estrella roster probe 2026-09-14: 16 page(s) carry the phrase; oldest 1904-07-16, newest captured 1914-02-27. Page-level KWIC pending; phrase vs Spanish OCR. AMBIGUOUS in Spanish text (homonym/everyday word) - LEAD only, undated by design; no claim until KWIC separates the referents.</t>
  </si>
  <si>
    <t>A-1558</t>
  </si>
  <si>
    <t>lccn 2010225009 (29 pages)</t>
  </si>
  <si>
    <t>La Estrella roster probe 2026-09-14: 29 page(s) carry the phrase; oldest 1906-12-12, newest captured 1914-05-19. Page-level KWIC pending; phrase vs Spanish OCR. | RECLASSIFIED 2026-09-14: 'Camacho' is a common Spanish surname - AMBIGUOUS lead, dates withdrawn from the evidence channel pending KWIC.</t>
  </si>
  <si>
    <t>A-1559</t>
  </si>
  <si>
    <t>lccn 2010225009 (5 pages)</t>
  </si>
  <si>
    <t>La Estrella roster probe 2026-09-14: 5 page(s) carry the phrase; oldest 1906-09-30, newest captured 1912-07-23. Page-level KWIC pending; phrase vs Spanish OCR.</t>
  </si>
  <si>
    <t>A-1560</t>
  </si>
  <si>
    <t>lccn 2010225009 (3 pages)</t>
  </si>
  <si>
    <t>La Estrella roster probe 2026-09-14: 3 page(s) carry the phrase; oldest 1907-02-01, newest captured 1911-05-05. Page-level KWIC pending; phrase vs Spanish OCR.</t>
  </si>
  <si>
    <t>A-1561</t>
  </si>
  <si>
    <t>lccn 2010225009 (49 pages)</t>
  </si>
  <si>
    <t>La Estrella roster probe 2026-09-14: 49 page(s) carry the phrase; oldest 1904-06-14, newest captured 1914-06-20. Page-level KWIC pending; phrase vs Spanish OCR. AMBIGUOUS in Spanish text (homonym/everyday word) - LEAD only, undated by design; no claim until KWIC separates the referents.</t>
  </si>
  <si>
    <t>A-1562</t>
  </si>
  <si>
    <t>A-1563</t>
  </si>
  <si>
    <t>lccn 2010225009 (7 pages)</t>
  </si>
  <si>
    <t>La Estrella roster probe 2026-09-14: 7 page(s) carry the phrase; oldest 1904-07-15, newest captured 1911-08-08. Page-level KWIC pending; phrase vs Spanish OCR.</t>
  </si>
  <si>
    <t>A-1564</t>
  </si>
  <si>
    <t>lccn 2010225009 (67 pages)</t>
  </si>
  <si>
    <t>La Estrella roster probe 2026-09-14: 67 page(s) carry the phrase; oldest 1904-07-16, newest captured 1914-06-17. Page-level KWIC pending; phrase vs Spanish OCR.</t>
  </si>
  <si>
    <t>A-1565</t>
  </si>
  <si>
    <t>lccn 2010225009 (145 pages)</t>
  </si>
  <si>
    <t>La Estrella roster probe 2026-09-14: 145 page(s) carry the phrase; oldest 1904-04-12, newest captured 1911-02-21. Page-level KWIC pending; phrase vs Spanish OCR. AMBIGUOUS in Spanish text (homonym/everyday word) - LEAD only, undated by design; no claim until KWIC separates the referents.</t>
  </si>
  <si>
    <t>A-1566</t>
  </si>
  <si>
    <t>lccn 2010225009 (62 pages)</t>
  </si>
  <si>
    <t>La Estrella roster probe 2026-09-14: 62 page(s) carry the phrase; oldest 1904-04-05, newest captured 1914-06-17. Page-level KWIC pending; phrase vs Spanish OCR.</t>
  </si>
  <si>
    <t>A-1567</t>
  </si>
  <si>
    <t>lccn 2010225009 (335 pages)</t>
  </si>
  <si>
    <t>La Estrella roster probe 2026-09-14: 335 page(s) carry the phrase; oldest 1904-04-05, newest captured 1907-05-08. Page-level KWIC pending; phrase vs Spanish OCR.</t>
  </si>
  <si>
    <t>A-1568</t>
  </si>
  <si>
    <t>A-1569</t>
  </si>
  <si>
    <t>lccn 2010225009 (165 pages)</t>
  </si>
  <si>
    <t>La Estrella roster probe 2026-09-14: 165 page(s) carry the phrase; oldest 1904-05-28, newest captured 1910-05-22. Page-level KWIC pending; phrase vs Spanish OCR. | RECLASSIFIED 2026-09-14: 'Darien' is also the province/region - AMBIGUOUS lead, dates withdrawn from the evidence channel pending KWIC.</t>
  </si>
  <si>
    <t>A-1570</t>
  </si>
  <si>
    <t>La Estrella roster probe 2026-09-14: 1 page(s) carry the phrase; oldest 1913-05-24, newest captured 1913-05-24. Page-level KWIC pending; phrase vs Spanish OCR.</t>
  </si>
  <si>
    <t>A-1571</t>
  </si>
  <si>
    <t>lccn 2010225009 (1108 pages)</t>
  </si>
  <si>
    <t>La Estrella roster probe 2026-09-14: 1108 page(s) carry the phrase; oldest 1904-04-03, newest captured 1905-02-08. Page-level KWIC pending; phrase vs Spanish OCR. AMBIGUOUS in Spanish text (homonym/everyday word) - LEAD only, undated by design; no claim until KWIC separates the referents.</t>
  </si>
  <si>
    <t>A-1572</t>
  </si>
  <si>
    <t>lccn 2010225009 (33 pages)</t>
  </si>
  <si>
    <t>La Estrella roster probe 2026-09-14: 33 page(s) carry the phrase; oldest 1904-11-24, newest captured 1914-05-23. Page-level KWIC pending; phrase vs Spanish OCR. AMBIGUOUS in Spanish text (homonym/everyday word) - LEAD only, undated by design; no claim until KWIC separates the referents.</t>
  </si>
  <si>
    <t>A-1573</t>
  </si>
  <si>
    <t>La Estrella roster probe 2026-09-14: 1 page(s) carry the phrase; oldest 1909-05-04, newest captured 1909-05-04. Page-level KWIC pending; phrase vs Spanish OCR. | RECLASSIFIED 2026-09-14: a 1909 hit predates the fort's naming - metadata or OCR suspect - AMBIGUOUS lead, dates withdrawn from the evidence channel pending KWIC.</t>
  </si>
  <si>
    <t>A-1574</t>
  </si>
  <si>
    <t>A-1575</t>
  </si>
  <si>
    <t>A-1576</t>
  </si>
  <si>
    <t>A-1577</t>
  </si>
  <si>
    <t>lccn 2010225009 (77 pages)</t>
  </si>
  <si>
    <t>La Estrella roster probe 2026-09-14: 77 page(s) carry the phrase; oldest 1904-11-05, newest captured 1914-06-28. Page-level KWIC pending; phrase vs Spanish OCR. AMBIGUOUS in Spanish text (homonym/everyday word) - LEAD only, undated by design; no claim until KWIC separates the referents.</t>
  </si>
  <si>
    <t>A-1578</t>
  </si>
  <si>
    <t>La Estrella roster probe 2026-09-14: 1 page(s) carry the phrase; oldest 1904-07-15, newest captured 1904-07-15. Page-level KWIC pending; phrase vs Spanish OCR.</t>
  </si>
  <si>
    <t>A-1579</t>
  </si>
  <si>
    <t>Gatún</t>
  </si>
  <si>
    <t>lccn 2010225009 (219 pages)</t>
  </si>
  <si>
    <t>La Estrella roster probe 2026-09-14: 219 page(s) carry the phrase; oldest 1904-04-05, newest captured 1911-03-30. Page-level KWIC pending; phrase vs Spanish OCR.</t>
  </si>
  <si>
    <t>A-1580</t>
  </si>
  <si>
    <t>lccn 2010225009 (296 pages)</t>
  </si>
  <si>
    <t>La Estrella roster probe 2026-09-14: 296 page(s) carry the phrase; oldest 1904-04-05, newest captured 1909-04-21. Page-level KWIC pending; phrase vs Spanish OCR.</t>
  </si>
  <si>
    <t>A-1581</t>
  </si>
  <si>
    <t>A-1582</t>
  </si>
  <si>
    <t>Juan Gallego</t>
  </si>
  <si>
    <t>A-1583</t>
  </si>
  <si>
    <t>lccn 2010225009 (6 pages)</t>
  </si>
  <si>
    <t>La Estrella roster probe 2026-09-14: 6 page(s) carry the phrase; oldest 1904-04-05, newest captured 1913-05-03. Page-level KWIC pending; phrase vs Spanish OCR.</t>
  </si>
  <si>
    <t>A-1584</t>
  </si>
  <si>
    <t>La Estrella roster probe 2026-09-14: 3 page(s) carry the phrase; oldest 1904-07-15, newest captured 1913-04-25. Page-level KWIC pending; phrase vs Spanish OCR.</t>
  </si>
  <si>
    <t>A-1585</t>
  </si>
  <si>
    <t>lccn 2010225009 (570 pages)</t>
  </si>
  <si>
    <t>La Estrella roster probe 2026-09-14: 570 page(s) carry the phrase; oldest 1904-04-13, newest captured 1905-01-28. Page-level KWIC pending; phrase vs Spanish OCR. AMBIGUOUS in Spanish text (homonym/everyday word) - LEAD only, undated by design; no claim until KWIC separates the referents.</t>
  </si>
  <si>
    <t>A-1586</t>
  </si>
  <si>
    <t>lccn 2010225009 (101 pages)</t>
  </si>
  <si>
    <t>La Estrella roster probe 2026-09-14: 101 page(s) carry the phrase; oldest 1904-04-05, newest captured 1914-06-06. Page-level KWIC pending; phrase vs Spanish OCR.</t>
  </si>
  <si>
    <t>A-1587</t>
  </si>
  <si>
    <t>lccn 2010225009 (10 pages)</t>
  </si>
  <si>
    <t>La Estrella roster probe 2026-09-14: 10 page(s) carry the phrase; oldest 1904-04-05, newest captured 1907-12-13. Page-level KWIC pending; phrase vs Spanish OCR.</t>
  </si>
  <si>
    <t>A-1588</t>
  </si>
  <si>
    <t>La Estrella roster probe 2026-09-14: 6 page(s) carry the phrase; oldest 1904-06-23, newest captured 1913-04-05. Page-level KWIC pending; phrase vs Spanish OCR.</t>
  </si>
  <si>
    <t>A-1589</t>
  </si>
  <si>
    <t>lccn 2010225009 (70 pages)</t>
  </si>
  <si>
    <t>La Estrella roster probe 2026-09-14: 70 page(s) carry the phrase; oldest 1904-06-14, newest captured 1914-06-17. Page-level KWIC pending; phrase vs Spanish OCR. | RECLASSIFIED 2026-09-14: 'Miraflores' is a common Spanish toponym and the pre-1906 referent here is the lock SITE per the CZ-028 dating - AMBIGUOUS lead, dates withdrawn pending KWIC.</t>
  </si>
  <si>
    <t>A-1590</t>
  </si>
  <si>
    <t>La Estrella roster probe 2026-09-14: 1 page(s) carry the phrase; oldest 1909-10-14, newest captured 1909-10-14. Page-level KWIC pending; phrase vs Spanish OCR.</t>
  </si>
  <si>
    <t>A-1591</t>
  </si>
  <si>
    <t>lccn 2010225009 (56 pages)</t>
  </si>
  <si>
    <t>La Estrella roster probe 2026-09-14: 56 page(s) carry the phrase; oldest 1904-04-05, newest captured 1914-02-22. Page-level KWIC pending; phrase vs Spanish OCR.</t>
  </si>
  <si>
    <t>A-1592</t>
  </si>
  <si>
    <t>La Estrella roster probe 2026-09-14: 6 page(s) carry the phrase; oldest 1911-06-28, newest captured 1912-12-22. Page-level KWIC pending; phrase vs Spanish OCR.</t>
  </si>
  <si>
    <t>A-1593</t>
  </si>
  <si>
    <t>La Estrella roster probe 2026-09-14: 8 page(s) carry the phrase; oldest 1911-03-07, newest captured 1912-03-14. Page-level KWIC pending; phrase vs Spanish OCR.</t>
  </si>
  <si>
    <t>A-1594</t>
  </si>
  <si>
    <t>La Estrella roster probe 2026-09-14: 2 page(s) carry the phrase; oldest 1908-10-06, newest captured 1914-04-19. Page-level KWIC pending; phrase vs Spanish OCR. AMBIGUOUS in Spanish text (homonym/everyday word) - LEAD only, undated by design; no claim until KWIC separates the referents.</t>
  </si>
  <si>
    <t>A-1595</t>
  </si>
  <si>
    <t>lccn 2010225009 (152 pages)</t>
  </si>
  <si>
    <t>La Estrella roster probe 2026-09-14: 152 page(s) carry the phrase; oldest 1904-04-05, newest captured 1911-01-15. Page-level KWIC pending; phrase vs Spanish OCR.</t>
  </si>
  <si>
    <t>A-1596</t>
  </si>
  <si>
    <t>La Estrella roster probe 2026-09-14: 3 page(s) carry the phrase; oldest 1904-07-16, newest captured 1913-04-25. Page-level KWIC pending; phrase vs Spanish OCR.</t>
  </si>
  <si>
    <t>A-1597</t>
  </si>
  <si>
    <t>La Estrella roster probe 2026-09-14: 10 page(s) carry the phrase; oldest 1908-08-13, newest captured 1914-05-08. Page-level KWIC pending; phrase vs Spanish OCR.</t>
  </si>
  <si>
    <t>A-1598</t>
  </si>
  <si>
    <t>A-1599</t>
  </si>
  <si>
    <t>A-1600</t>
  </si>
  <si>
    <t>lccn 2010225009 (123 pages)</t>
  </si>
  <si>
    <t>La Estrella roster probe 2026-09-14: 123 page(s) carry the phrase; oldest 1904-04-05, newest captured 1911-08-06. Page-level KWIC pending; phrase vs Spanish OCR. AMBIGUOUS in Spanish text (homonym/everyday word) - LEAD only, undated by design; no claim until KWIC separates the referents.</t>
  </si>
  <si>
    <t>A-1601</t>
  </si>
  <si>
    <t>lccn 2010225009 (127 pages)</t>
  </si>
  <si>
    <t>La Estrella roster probe 2026-09-14: 127 page(s) carry the phrase; oldest 1904-04-05, newest captured 1909-10-14. Page-level KWIC pending; phrase vs Spanish OCR.</t>
  </si>
  <si>
    <t>A-1602</t>
  </si>
  <si>
    <t>lccn 2010225009 (88 pages)</t>
  </si>
  <si>
    <t>La Estrella roster probe 2026-09-14: 88 page(s) carry the phrase; oldest 1904-04-05, newest captured 1914-06-17. Page-level KWIC pending; phrase vs Spanish OCR. AMBIGUOUS in Spanish text (homonym/everyday word) - LEAD only, undated by design; no claim until KWIC separates the referents.</t>
  </si>
  <si>
    <t>A-1603</t>
  </si>
  <si>
    <t>La Estrella roster probe 2026-09-14: 3 page(s) carry the phrase; oldest 1912-01-03, newest captured 1914-05-11. Page-level KWIC pending; phrase vs Spanish OCR. AMBIGUOUS in Spanish text (homonym/everyday word) - LEAD only, undated by design; no claim until KWIC separates the referents.</t>
  </si>
  <si>
    <t>A-1604</t>
  </si>
  <si>
    <t>lccn 2010225009 (32 pages)</t>
  </si>
  <si>
    <t>La Estrella roster probe 2026-09-14: 32 page(s) carry the phrase; oldest 1904-04-05, newest captured 1913-07-11. Page-level KWIC pending; phrase vs Spanish OCR.</t>
  </si>
  <si>
    <t>A-1605</t>
  </si>
  <si>
    <t>lccn 2010225009 (786 pages)</t>
  </si>
  <si>
    <t>La Estrella roster probe 2026-09-14: 786 page(s) carry the phrase; oldest 1904-04-13, newest captured 1905-02-23. Page-level KWIC pending; phrase vs Spanish OCR.</t>
  </si>
  <si>
    <t>A-1606</t>
  </si>
  <si>
    <t>La Estrella roster probe 2026-09-14: 5 page(s) carry the phrase; oldest 1911-01-15, newest captured 1914-06-20. Page-level KWIC pending; phrase vs Spanish OCR.</t>
  </si>
  <si>
    <t>A-1607</t>
  </si>
  <si>
    <t>La Estrella roster probe 2026-09-14: 3 page(s) carry the phrase; oldest 1913-04-01, newest captured 1913-07-27. Page-level KWIC pending; phrase vs Spanish OCR.</t>
  </si>
  <si>
    <t>A-1608</t>
  </si>
  <si>
    <t>La Estrella roster probe 2026-09-14: 2 page(s) carry the phrase; oldest 1909-12-16, newest captured 1913-08-13. Page-level KWIC pending; phrase vs Spanish OCR. AMBIGUOUS in Spanish text (homonym/everyday word) - LEAD only, undated by design; no claim until KWIC separates the referents.</t>
  </si>
  <si>
    <t>A-1609</t>
  </si>
  <si>
    <t>The town reservoir hill is NAMED 'Mt. Zion Reservoir' at 9.035736,-79.649771 - 1.1 km SE of CZ-160's stored 1905-06 feature. Same West Indian toponym, likely a DIFFERENT feature (the M3 read may be the chapel; this is the waterworks hill). Identity/split unresolved; coords deliberately NOT attached to this Name row. [REPOINTED CZ-207 2026-09-14: Mt Zion split - the reservoir is its own place.]</t>
  </si>
  <si>
    <t>A-1610</t>
  </si>
  <si>
    <t>TIVOLI</t>
  </si>
  <si>
    <t>Vertical TIVOLI label + large building at the E foot of Ancon hill (coords in the re-anchored frame).</t>
  </si>
  <si>
    <t>A-1611</t>
  </si>
  <si>
    <t>TIVOLI HOTEL</t>
  </si>
  <si>
    <t>TIVOLI HOTEL label + building on the graticule-true 1947 city sheet.</t>
  </si>
  <si>
    <t>A-1612</t>
  </si>
  <si>
    <t>Named reservoir on its hill, with Conc. Stand Pipe and the main network drawn from it.</t>
  </si>
  <si>
    <t>A-1613</t>
  </si>
  <si>
    <t>GERIG</t>
  </si>
  <si>
    <t>Grey building rows along the shore below SOSA LOW, labeled GERIG; the La Boca-area workers' housing as the 1905-06 survey drew it.</t>
  </si>
  <si>
    <t>A-1614</t>
  </si>
  <si>
    <t>Label + dots, western Culebra cluster (read confidence low - faint).</t>
  </si>
  <si>
    <t>A-1615</t>
  </si>
  <si>
    <t>Village label on the lower Chagres left bank near Gatun - the Atlantic Miraflores; do not conflate with CZ-028. | repointed CZ-210 -&gt; CZ-194 2026-09-14 (merge)</t>
  </si>
  <si>
    <t>A-1616</t>
  </si>
  <si>
    <t>I.C.C. Club House</t>
  </si>
  <si>
    <t>RELOCATION RULED 2026-09-14: the same institution rebuilt ~1.0 km SE in the post-slide new town (labeled); the 1907 site's negative (A-0928) stands as site history.</t>
  </si>
  <si>
    <t>A-1617</t>
  </si>
  <si>
    <t>C.C. Culebra Hotel</t>
  </si>
  <si>
    <t>RELOCATION RULED 2026-09-14: same institution rebuilt ~1.1 km SE (labeled); 1907-site negative (A-0929) = site history.</t>
  </si>
  <si>
    <t>A-1618</t>
  </si>
  <si>
    <t>Post Office 13</t>
  </si>
  <si>
    <t>RELOCATION RULED 2026-09-14: same institution rebuilt ~1.2 km SE (labeled); 1907-site negative (A-0930) = site history.</t>
  </si>
  <si>
    <t>A-1619</t>
  </si>
  <si>
    <t>Church and Lodge Hall</t>
  </si>
  <si>
    <t>RELOCATION RULED 2026-09-14: the name-matching 'Church and Lodge Hall' stands in the new town; the crown 'Church' (A-0926) also stands at the 1907 site - congregation geography split across the move.</t>
  </si>
  <si>
    <t>A-1620</t>
  </si>
  <si>
    <t>Corral 41 / Corral 35</t>
  </si>
  <si>
    <t>RELOCATION RULED 2026-09-14: corral complex (two labeled corrals + Wagon Shed + Harness bldg) rebuilt ~1.2 km SE; 1907-site negative (A-0934) = site history.</t>
  </si>
  <si>
    <t>A-1621</t>
  </si>
  <si>
    <t>Numbered labor quarters 226-279 (SE grid)</t>
  </si>
  <si>
    <t>RULED 2026-09-14: the ~50-quarter numbered grid beside Police Station 145/Penitentiary 173 is Culebra's labor quarter (morphology read). CZ-058 Enterprise remains separate and unresolved - no name evidence links them. Mains + hydrants reach the grid (waterworks map).</t>
  </si>
  <si>
    <t>A-1622</t>
  </si>
  <si>
    <t>130 School</t>
  </si>
  <si>
    <t>RELOCATION/RENUMBER RULED 2026-09-14: the school stands labeled '130 School' 415 m SSE of the 1907 site - and the 1907 blueprint's 'Colored' designation is GONE from the official map by 1910. The label loss is the finding.</t>
  </si>
  <si>
    <t>A-1623</t>
  </si>
  <si>
    <t>NUEVO EMPERADOR, Panama (AP)</t>
  </si>
  <si>
    <t>AA00083639 14195 (dLOC KWIC pass)</t>
  </si>
  <si>
    <t>AP datelines from the village, 1990s Cuban-refugee-camp coverage: 'NUEVO EMPERADOR Panama (AP)' - the successor toponym alive as a real settlement's dateline. Undated by design (OCR-mixed issue dates); existence evidence only. Restored 2026-09-14.</t>
  </si>
  <si>
    <t>A-1624</t>
  </si>
  <si>
    <t>SILVER CITY</t>
  </si>
  <si>
    <t>ATLANTIC1947 (AA00038126), georef 2026-09-14</t>
  </si>
  <si>
    <t>SILVER CITY letters over the grid; ~90 multi-family rows drawn. | repointed CZ-211 -&gt; CZ-158 2026-09-14 (merge)</t>
  </si>
  <si>
    <t>A-1625</t>
  </si>
  <si>
    <t>CAMP BIERD</t>
  </si>
  <si>
    <t>Label + diagonal barracks rows. [RESOLVED 2026-09-16: the census-sheet counter-evidence ('empty river bend') was an artifact - the census photostats are pasted composites and the SILVERCITY quad's southern strip is internally offset ~1 km from its hull-controlled town strip. This graticule-true 1947 position stands.]</t>
  </si>
  <si>
    <t>A-1626</t>
  </si>
  <si>
    <t>CEMETERY</t>
  </si>
  <si>
    <t>CEMETERY label at the Mt. Hope complex, W of the tank farm.</t>
  </si>
  <si>
    <t>A-1627</t>
  </si>
  <si>
    <t>DE LESSEPS</t>
  </si>
  <si>
    <t>CORRECTED 2026-09-16: first read anchored on the 'DE LESSEPS' text by the Cristobal tennis courts (9.364954,-79.899692) - that is De Lesseps PARK on the Manzanillo shore, 1.25 km E of the fort. The sheet's actual 'FT. DE LESSEPS' label sits on the NW Limon Bay point beside the Washington Hotel, with POST HEADQUARTERS AND PROVOST MARSHAL'S OFFICE labeled among the battery/post structures. Corrected to the fort point; corroborated by the 1940 census sheet's 'FORT DE LESSEPS' ED-47 stamp (9.36493,-79.91078, ~150 m agreement).</t>
  </si>
  <si>
    <t>A-1628</t>
  </si>
  <si>
    <t>NEW CRISTOBAL / COLON</t>
  </si>
  <si>
    <t>The twin city drawn street-by-street: Colon (yellow = Republic) with a 16-item civic legend (Washington Hotel, Strangers Club, Gilbert House, theatres, Masonic Temple &amp; Chase National Bank, USO, consulate), New Cristobal, the Zone piers. 'EXTENT OF PROPOSED FILL' + SEAWALL = the expansion project drawn onto the bay. Extent traced to footprints.geojson.</t>
  </si>
  <si>
    <t>A-1629</t>
  </si>
  <si>
    <t>MT. HOPE</t>
  </si>
  <si>
    <t>MT. HOPE letters over the shops/yard complex; the CEMETERY labeled W (now CZ-213); tank farm S; Randolph Road N. Position claim vs the stored ICC1911-derived point recorded, not moved.</t>
  </si>
  <si>
    <t>A-1630</t>
  </si>
  <si>
    <t>unlabeled housing at sheet edge (Margarita)</t>
  </si>
  <si>
    <t>Curvilinear multi-family housing loops reach the E neatline at the Margarita site - the town center (stored 9.3288,-79.8921) lies ~300 m S of the sheet edge, so the label falls off-sheet. EDGE-present read: drawn but nameless within this sheet's window.</t>
  </si>
  <si>
    <t>A-1631</t>
  </si>
  <si>
    <t>Hammond 1927 atlas map (AA00038443)</t>
  </si>
  <si>
    <t>Commercial-atlas map: 'showing the completed canal' but the settlement layer copies a pre-flood (~1912) base - Gorgona/Tabernilla/Mamei/Bohio/Bas Obispo/Frijoles are still printed inside Gatun Lake 14 years after submergence. East-Chagres village - OUTSIDE the lake, plausibly current in 1927 (Madden Dam drowns the upper Chagres 1935).</t>
  </si>
  <si>
    <t>A-1632</t>
  </si>
  <si>
    <t>Commercial-atlas map: 'showing the completed canal' but the settlement layer copies a pre-flood (~1912) base - Gorgona/Tabernilla/Mamei/Bohio/Bas Obispo/Frijoles are still printed inside Gatun Lake 14 years after submergence. East-Chagres village - plausibly current 1927 (end c.1935 consistent).</t>
  </si>
  <si>
    <t>A-1633</t>
  </si>
  <si>
    <t>Commercial-atlas map: 'showing the completed canal' but the settlement layer copies a pre-flood (~1912) base - Gorgona/Tabernilla/Mamei/Bohio/Bas Obispo/Frijoles are still printed inside Gatun Lake 14 years after submergence. East-Chagres village - plausibly current 1927.</t>
  </si>
  <si>
    <t>A-1634</t>
  </si>
  <si>
    <t>Las Campanas</t>
  </si>
  <si>
    <t>Commercial-atlas map: 'showing the completed canal' but the settlement layer copies a pre-flood (~1912) base - Gorgona/Tabernilla/Mamei/Bohio/Bas Obispo/Frijoles are still printed inside Gatun Lake 14 years after submergence. Printed 'Las Campanas' (the LAS variant) - east-Chagres, plausibly current 1927.</t>
  </si>
  <si>
    <t>A-1635</t>
  </si>
  <si>
    <t>Commercial-atlas map: 'showing the completed canal' but the settlement layer copies a pre-flood (~1912) base - Gorgona/Tabernilla/Mamei/Bohio/Bas Obispo/Frijoles are still printed inside Gatun Lake 14 years after submergence. East-Chagres 'Chsa Larga' [sic] - plausibly current 1927.</t>
  </si>
  <si>
    <t>A-1636</t>
  </si>
  <si>
    <t>Commercial-atlas map: 'showing the completed canal' but the settlement layer copies a pre-flood (~1912) base - Gorgona/Tabernilla/Mamei/Bohio/Bas Obispo/Frijoles are still printed inside Gatun Lake 14 years after submergence. East-Chagres - plausibly current 1927.</t>
  </si>
  <si>
    <t>A-1637</t>
  </si>
  <si>
    <t>A-1638</t>
  </si>
  <si>
    <t>Commercial-atlas map: 'showing the completed canal' but the settlement layer copies a pre-flood (~1912) base - Gorgona/Tabernilla/Mamei/Bohio/Bas Obispo/Frijoles are still printed inside Gatun Lake 14 years after submergence. East-Chagres - plausibly current 1927 (drowned 1935). [UNDATED at row level: 1927 is the PRINT date; base-lag makes it unusable as an existence date for a place ended by 1913-14.]</t>
  </si>
  <si>
    <t>A-1639</t>
  </si>
  <si>
    <t>Palo Seco (Leper Colony)</t>
  </si>
  <si>
    <t>Commercial-atlas map: 'showing the completed canal' but the settlement layer copies a pre-flood (~1912) base - Gorgona/Tabernilla/Mamei/Bohio/Bas Obispo/Frijoles are still printed inside Gatun Lake 14 years after submergence. 'Palo Seco (Leper Colony)' - current institution 1927.</t>
  </si>
  <si>
    <t>A-1640</t>
  </si>
  <si>
    <t>Commercial-atlas map: 'showing the completed canal' but the settlement layer copies a pre-flood (~1912) base - Gorgona/Tabernilla/Mamei/Bohio/Bas Obispo/Frijoles are still printed inside Gatun Lake 14 years after submergence. Marine camp label - base-era name persisting. [UNDATED at row level: 1927 is the PRINT date; base-lag makes it unusable as an existence date for a place ended by 1913-14.]</t>
  </si>
  <si>
    <t>A-1641</t>
  </si>
  <si>
    <t>Commercial-atlas map: 'showing the completed canal' but the settlement layer copies a pre-flood (~1912) base - Gorgona/Tabernilla/Mamei/Bohio/Bas Obispo/Frijoles are still printed inside Gatun Lake 14 years after submergence. CUNETTE printed 1927 - almost certainly base-lag (place ended c.1913), but the name persists in the American atlas image; name-afterlife evidence, NOT survival evidence. [UNDATED at row level: 1927 is the PRINT date; base-lag makes it unusable as an existence date for a place ended by 1913-14.]</t>
  </si>
  <si>
    <t>A-1642</t>
  </si>
  <si>
    <t>Commercial-atlas map: 'showing the completed canal' but the settlement layer copies a pre-flood (~1912) base - Gorgona/Tabernilla/Mamei/Bohio/Bas Obispo/Frijoles are still printed inside Gatun Lake 14 years after submergence. East-Chagres - plausibly current 1927 (dam site village).</t>
  </si>
  <si>
    <t>A-1643</t>
  </si>
  <si>
    <t>CZ &amp; Vicinity 1:100k rev.1973 (ECU 56832)</t>
  </si>
  <si>
    <t>The 1973 revision names the town RAINBOW CITY - the renaming evidence for Silver City (renamed 1961). Coco Solito labeled adjacent. | repointed CZ-211 -&gt; CZ-158 2026-09-14 (merge)</t>
  </si>
  <si>
    <t>A-1644</t>
  </si>
  <si>
    <t>Large named townsite on the 1973 revision.</t>
  </si>
  <si>
    <t>A-1645</t>
  </si>
  <si>
    <t>COCO SOLO</t>
  </si>
  <si>
    <t>Named base + Coco Solo Hospital on the 1973 revision.</t>
  </si>
  <si>
    <t>A-1646</t>
  </si>
  <si>
    <t>le Gatun</t>
  </si>
  <si>
    <t>Garella 1844 carte (UF00100942)</t>
  </si>
  <si>
    <t>Village at the Gatun river mouth, 1844. French state canal survey at 1:200,000 (attestation value only - positions not read; the sheet's trigonometric canvas is drawn in the margin insets).</t>
  </si>
  <si>
    <t>A-1647</t>
  </si>
  <si>
    <t>The ATLANTIC Miraflores on the lower Chagres left bank - SECOND source (with PRR1857), pushing its record to 1844. French state canal survey at 1:200,000 (attestation value only - positions not read; the sheet's trigonometric canvas is drawn in the margin insets). | repointed CZ-210 -&gt; CZ-194 2026-09-14 (merge)</t>
  </si>
  <si>
    <t>A-1648</t>
  </si>
  <si>
    <t>Vamos-vamos</t>
  </si>
  <si>
    <t>Named on the Chagres, 1844 - earliest yet (start sharpened pre-1844). French state canal survey at 1:200,000 (attestation value only - positions not read; the sheet's trigonometric canvas is drawn in the margin insets).</t>
  </si>
  <si>
    <t>A-1649</t>
  </si>
  <si>
    <t>Bajo Soldado</t>
  </si>
  <si>
    <t>1844 form 'Bajo soldado' - the bohio-Soldado name family's earliest spelling. French state canal survey at 1:200,000 (attestation value only - positions not read; the sheet's trigonometric canvas is drawn in the margin insets).</t>
  </si>
  <si>
    <t>A-1650</t>
  </si>
  <si>
    <t>Named 1844 - pre-railroad (start sharpened pre-1844). French state canal survey at 1:200,000 (attestation value only - positions not read; the sheet's trigonometric canvas is drawn in the margin insets).</t>
  </si>
  <si>
    <t>A-1651</t>
  </si>
  <si>
    <t>Barbacoa</t>
  </si>
  <si>
    <t>Named 1844 (singular form). French state canal survey at 1:200,000 (attestation value only - positions not read; the sheet's trigonometric canvas is drawn in the margin insets).</t>
  </si>
  <si>
    <t>A-1652</t>
  </si>
  <si>
    <t>Baila Mono</t>
  </si>
  <si>
    <t>Named 1844 (singular form) - earliest of the BailaMonos family. French state canal survey at 1:200,000 (attestation value only - positions not read; the sheet's trigonometric canvas is drawn in the margin insets).</t>
  </si>
  <si>
    <t>A-1653</t>
  </si>
  <si>
    <t>Named 1844. French state canal survey at 1:200,000 (attestation value only - positions not read; the sheet's trigonometric canvas is drawn in the margin insets).</t>
  </si>
  <si>
    <t>A-1654</t>
  </si>
  <si>
    <t>Named 1844 - the trunk-route town in its last mule-road decade. French state canal survey at 1:200,000 (attestation value only - positions not read; the sheet's trigonometric canvas is drawn in the margin insets).</t>
  </si>
  <si>
    <t>A-1655</t>
  </si>
  <si>
    <t>'Brise de Palenquilla' + settlement lettering - the Palenquillo village name in 1844 (start sharpened pre-1844). A palenque name - maroon-settlement etymology worth chasing. French state canal survey at 1:200,000 (attestation value only - positions not read; the sheet's trigonometric canvas is drawn in the margin insets).</t>
  </si>
  <si>
    <t>A-1656</t>
  </si>
  <si>
    <t>Marais d'Agua Clara</t>
  </si>
  <si>
    <t>The Agua Clara name in 1844 as a MARSH toponym - name-from-wetland ancestry for the later village. French state canal survey at 1:200,000 (attestation value only - positions not read; the sheet's trigonometric canvas is drawn in the margin insets).</t>
  </si>
  <si>
    <t>A-1657</t>
  </si>
  <si>
    <t>Cerro Caravali</t>
  </si>
  <si>
    <t>The Caravali hill named in 1844 - earliest of the Carabali family (before 1857/1862/1895). French state canal survey at 1:200,000 (attestation value only - positions not read; the sheet's trigonometric canvas is drawn in the margin insets).</t>
  </si>
  <si>
    <t>A-1658</t>
  </si>
  <si>
    <t>Col de Paraiso</t>
  </si>
  <si>
    <t>The PASS carries the Paraiso name in 1844 - name-from-terrain ancestry for the town. French state canal survey at 1:200,000 (attestation value only - positions not read; the sheet's trigonometric canvas is drawn in the margin insets).</t>
  </si>
  <si>
    <t>A-1659</t>
  </si>
  <si>
    <t>R. Mindi</t>
  </si>
  <si>
    <t>Mindi hydronym, 1844. French state canal survey at 1:200,000 (attestation value only - positions not read; the sheet's trigonometric canvas is drawn in the margin insets).</t>
  </si>
  <si>
    <t>A-1660</t>
  </si>
  <si>
    <t>Gorgona on the Chagres road network, 1844. French state canal survey at 1:200,000 (attestation value only - positions not read; the sheet's trigonometric canvas is drawn in the margin insets).</t>
  </si>
  <si>
    <t>A-1661</t>
  </si>
  <si>
    <t>Village de Guachapali (lot-by-lot)</t>
  </si>
  <si>
    <t>GUACHAPALI1890 full-harvest pass 2026-09-14</t>
  </si>
  <si>
    <t>The 1:500 Compagnie-era plan draws the village LOT BY LOT (~150 structures) along the street band between the Marais and the 'Gare du Panama Rail-Road' - the densest single-settlement drawing in the corpus. Extent traced to footprints.geojson; village band ~130 x 550 m. Street/parcel-level harvest deferred (recorded as open work).</t>
  </si>
  <si>
    <t>A-1662</t>
  </si>
  <si>
    <t>Colon</t>
  </si>
  <si>
    <t>1883 chantiers - COLON inset</t>
  </si>
  <si>
    <t>French period: COLON inset (Ile Manzanillo, Baie de Limon): town plan with Hopital, quays, Terre-Plein, Phare, statue de Ch. Colomb; Compagnie works in red. The pre-US Colon town, beside which Cristobal grew on the Canal Zone side.</t>
  </si>
  <si>
    <t>A-1663</t>
  </si>
  <si>
    <t>1883 chantiers - BUHIO-SOLDADO inset</t>
  </si>
  <si>
    <t>French period: BUHIO-SOLDADO inset: village + 'Installations du Chantier' + Campement drawn in red on the Rio Chagres, astride the canal line - an active 1883 worksite.</t>
  </si>
  <si>
    <t>A-1664</t>
  </si>
  <si>
    <t>1883 chantiers - SAN-PABLO inset</t>
  </si>
  <si>
    <t>French period: SAN-PABLO inset: village flanked by Campement R.D. and Campement R.G. (right- and left-bank labor camps) either side of the canal.</t>
  </si>
  <si>
    <t>A-1665</t>
  </si>
  <si>
    <t>Poste de Barbacoas</t>
  </si>
  <si>
    <t>French period: 'Poste de Barbacoas' labeled in the San-Pablo inset, on the canal line - Barbacoas as a Compagnie post in 1883.</t>
  </si>
  <si>
    <t>A-1666</t>
  </si>
  <si>
    <t>Rio Baila Monos</t>
  </si>
  <si>
    <t>French period: 'Rio Baila Monos' (OCR 'Belta Monos') labeled in the San-Pablo inset, locating the Baila Monos / Bailamonos hamlet's vicinity.</t>
  </si>
  <si>
    <t>A-1667</t>
  </si>
  <si>
    <t>1883 chantiers - GORGONA inset</t>
  </si>
  <si>
    <t>French period: GORGONA inset: town with Campement + Ambulance drawn in red on the Rio Chagres; C. Quatro Calles nearby - an 1883 worksite with a field hospital.</t>
  </si>
  <si>
    <t>A-1668</t>
  </si>
  <si>
    <t>French period: 'Matachin' labeled in the Gorgona inset at the Chagres / Rio Obispo junction, where the canal line leaves the Chagres valley.</t>
  </si>
  <si>
    <t>A-1669</t>
  </si>
  <si>
    <t>Bas-Obispo</t>
  </si>
  <si>
    <t>1883 chantiers - BAS-OBISPO inset</t>
  </si>
  <si>
    <t>French period: BAS-OBISPO inset: 'Bas-Obispo (Campement)' drawn in red on the right bank of the Rio Obispo, between C. Obispo and C. Corosita.</t>
  </si>
  <si>
    <t>A-1670</t>
  </si>
  <si>
    <t>C. Corosita</t>
  </si>
  <si>
    <t>Toponym origin (dates decoupled): the 1883 Compagnie chantiers map labels 'Cerro Corosita' - the topographic feature that named the later c.1905 construction camp (this place); the camp itself did not exist in 1883.</t>
  </si>
  <si>
    <t>A-1671</t>
  </si>
  <si>
    <t>1883 chantiers - EMPERADOR-CULEBRA inset</t>
  </si>
  <si>
    <t>French period: EMPERADOR ET CULEBRA inset: Emperador at the Rio Obispo with Cerrito and the Grande/Petite chute de l'Obispo; Compagnie works in red through the Culebra approach.</t>
  </si>
  <si>
    <t>A-1672</t>
  </si>
  <si>
    <t>French period: EMPERADOR ET CULEBRA inset: Culebra with a red Campement cluster, C. Culebra, C. du Campement and C. Escobar - the deep-cut worksite in 1883.</t>
  </si>
  <si>
    <t>A-1673</t>
  </si>
  <si>
    <t>C. Lirio / Plaine del Lirio</t>
  </si>
  <si>
    <t>Toponym origin (dates decoupled): the 1883 Compagnie chantiers map labels 'Cerro Lirio / Plaine del Lirio' - the topographic feature that named the later c.1905 construction camp (this place); the camp itself did not exist in 1883.</t>
  </si>
  <si>
    <t>A-1674</t>
  </si>
  <si>
    <t>Jamaica town (Gatún)</t>
  </si>
  <si>
    <t>AA00016037 v00032 (Silver People)</t>
  </si>
  <si>
    <t>'got off the train at Gatun north of Jamaica town, a section where people lived east of the Panama Rail Road track' (Clarke, arrived Dec 1906). Registered 2026-09-14.</t>
  </si>
  <si>
    <t>A-1675</t>
  </si>
  <si>
    <t>AA00016037 v00075 (Silver People)</t>
  </si>
  <si>
    <t>'there was a town of colored people residing there, so called Jamaica Town, the cemetery was dug up &amp; the remains carried away' - a dated erasure at Gatún. Registered 2026-09-14.</t>
  </si>
  <si>
    <t>A-1676</t>
  </si>
  <si>
    <t>lccn 2010225009 (858 pages)</t>
  </si>
  <si>
    <t>La Estrella rerun probe 2026-09-14: 858 page(s); oldest 1904-06-09, newest captured 1905-08-12. Page-level KWIC pending; phrase vs Spanish OCR. AMBIGUOUS in Spanish text - LEAD only, undated by design; no claim until KWIC separates the referents.</t>
  </si>
  <si>
    <t>A-1677</t>
  </si>
  <si>
    <t>Absent from the digitized La Estrella run (1849-current at LOC) - the Panamanian press does not print this name; bounded, phrase-level vs Spanish OCR. Rerun probe 2026-09-14.</t>
  </si>
  <si>
    <t>A-1678</t>
  </si>
  <si>
    <t>La Estrella rerun probe 2026-09-14: 2 page(s); oldest 1907-07-11, newest captured 1908-08-13. Page-level KWIC pending; phrase vs Spanish OCR. AMBIGUOUS in Spanish text - LEAD only, undated by design; no claim until KWIC separates the referents.</t>
  </si>
  <si>
    <t>A-1679</t>
  </si>
  <si>
    <t>A-1680</t>
  </si>
  <si>
    <t>lccn 2010225009 (531 pages)</t>
  </si>
  <si>
    <t>La Estrella rerun probe 2026-09-14: 531 page(s); oldest 1904-04-05, newest captured 1907-05-25. Page-level KWIC pending; phrase vs Spanish OCR. AMBIGUOUS in Spanish text - LEAD only, undated by design; no claim until KWIC separates the referents.</t>
  </si>
  <si>
    <t>A-1681</t>
  </si>
  <si>
    <t>lccn 2010225009 (198 pages)</t>
  </si>
  <si>
    <t>La Estrella rerun probe 2026-09-14: 198 page(s); oldest 1904-04-16, newest captured 1906-06-27. Page-level KWIC pending; phrase vs Spanish OCR. AMBIGUOUS in Spanish text - LEAD only, undated by design; no claim until KWIC separates the referents.</t>
  </si>
  <si>
    <t>A-1682</t>
  </si>
  <si>
    <t>La Estrella rerun probe 2026-09-14: 1 page(s); oldest 1908-10-07, newest captured 1908-10-07. Page-level KWIC pending; phrase vs Spanish OCR.</t>
  </si>
  <si>
    <t>A-1683</t>
  </si>
  <si>
    <t>lccn 2010225009 (34 pages)</t>
  </si>
  <si>
    <t>La Estrella rerun probe 2026-09-14: 34 page(s); oldest 1904-04-05, newest captured 1914-01-04. Page-level KWIC pending; phrase vs Spanish OCR. AMBIGUOUS in Spanish text - LEAD only, undated by design; no claim until KWIC separates the referents.</t>
  </si>
  <si>
    <t>A-1684</t>
  </si>
  <si>
    <t>La Estrella rerun probe 2026-09-14: 6 page(s); oldest 1910-04-16, newest captured 1911-11-09. Page-level KWIC pending; phrase vs Spanish OCR.</t>
  </si>
  <si>
    <t>A-1685</t>
  </si>
  <si>
    <t>lccn 2010225009 (45 pages)</t>
  </si>
  <si>
    <t>La Estrella rerun probe 2026-09-14: 45 page(s); oldest 1904-04-21, newest captured 1914-04-28. Page-level KWIC pending; phrase vs Spanish OCR. AMBIGUOUS in Spanish text - LEAD only, undated by design; no claim until KWIC separates the referents.</t>
  </si>
  <si>
    <t>A-1686</t>
  </si>
  <si>
    <t>lccn 2010225009 (107 pages)</t>
  </si>
  <si>
    <t>La Estrella rerun probe 2026-09-14: 107 page(s); oldest 1904-04-12, newest captured 1913-12-25. Page-level KWIC pending; phrase vs Spanish OCR. AMBIGUOUS in Spanish text - LEAD only, undated by design; no claim until KWIC separates the referents.</t>
  </si>
  <si>
    <t>A-1687</t>
  </si>
  <si>
    <t>lccn 2010225009 (38 pages)</t>
  </si>
  <si>
    <t>La Estrella rerun probe 2026-09-14: 38 page(s); oldest 1904-04-05, newest captured 1914-06-02. Page-level KWIC pending; phrase vs Spanish OCR. AMBIGUOUS in Spanish text - LEAD only, undated by design; no claim until KWIC separates the referents.</t>
  </si>
  <si>
    <t>A-1688</t>
  </si>
  <si>
    <t>La Estrella rerun probe 2026-09-14: 10 page(s); oldest 1904-04-05, newest captured 1912-01-13. Page-level KWIC pending; phrase vs Spanish OCR. AMBIGUOUS in Spanish text - LEAD only, undated by design; no claim until KWIC separates the referents.</t>
  </si>
  <si>
    <t>A-1689</t>
  </si>
  <si>
    <t>La Estrella rerun probe 2026-09-14: 8 page(s); oldest 1904-07-16, newest captured 1913-07-23. Page-level KWIC pending; phrase vs Spanish OCR. AMBIGUOUS in Spanish text - LEAD only, undated by design; no claim until KWIC separates the referents.</t>
  </si>
  <si>
    <t>A-1690</t>
  </si>
  <si>
    <t>La Estrella rerun probe 2026-09-14: 15 page(s); oldest 1907-05-07, newest captured 1914-06-03. Page-level KWIC pending; phrase vs Spanish OCR. AMBIGUOUS in Spanish text - LEAD only, undated by design; no claim until KWIC separates the referents.</t>
  </si>
  <si>
    <t>A-1691</t>
  </si>
  <si>
    <t>La Estrella rerun probe 2026-09-14: 107 page(s); oldest 1904-04-05, newest captured 1914-06-23. Page-level KWIC pending; phrase vs Spanish OCR.</t>
  </si>
  <si>
    <t>A-1692</t>
  </si>
  <si>
    <t>lccn 2010225009 (661 pages)</t>
  </si>
  <si>
    <t>La Estrella rerun probe 2026-09-14: 661 page(s); oldest 1904-04-05, newest captured 1905-03-22. Page-level KWIC pending; phrase vs Spanish OCR. AMBIGUOUS in Spanish text - LEAD only, undated by design; no claim until KWIC separates the referents.</t>
  </si>
  <si>
    <t>A-1693</t>
  </si>
  <si>
    <t>La Estrella rerun probe 2026-09-14: 1 page(s); oldest 1904-04-05, newest captured 1904-04-05. Page-level KWIC pending; phrase vs Spanish OCR.</t>
  </si>
  <si>
    <t>A-1694</t>
  </si>
  <si>
    <t>1886 Plan General, PK 1.0</t>
  </si>
  <si>
    <t>French period: 1886 Plan General profile places 'Monkey-Hill' at PK ~1.0 on the canal survey grid (Colon PK 0 - Panama PK 74.5). Positional cross-check on the French kilometrage; lat/long via alignment is a follow-up.</t>
  </si>
  <si>
    <t>A-1695</t>
  </si>
  <si>
    <t>1886 Plan General, PK 5.8</t>
  </si>
  <si>
    <t>French period: 1886 Plan General profile places 'Mindi' at PK ~5.8 on the canal survey grid (Colon PK 0 - Panama PK 74.5). Positional cross-check on the French kilometrage; lat/long via alignment is a follow-up.</t>
  </si>
  <si>
    <t>A-1696</t>
  </si>
  <si>
    <t>1886 Plan General, PK 9.5</t>
  </si>
  <si>
    <t>French period: 1886 Plan General profile places 'Gatun' at PK ~9.5 on the canal survey grid (Colon PK 0 - Panama PK 74.5). Positional cross-check on the French kilometrage; lat/long via alignment is a follow-up.</t>
  </si>
  <si>
    <t>A-1697</t>
  </si>
  <si>
    <t>Tiger-Hill</t>
  </si>
  <si>
    <t>1886 Plan General, PK 12.5</t>
  </si>
  <si>
    <t>French period: 1886 Plan General profile places 'Tiger-Hill' at PK ~12.5 on the canal survey grid (Colon PK 0 - Panama PK 74.5). Positional cross-check on the French kilometrage; lat/long via alignment is a follow-up.</t>
  </si>
  <si>
    <t>A-1698</t>
  </si>
  <si>
    <t>1886 Plan General, PK 16.0</t>
  </si>
  <si>
    <t>French period: 1886 Plan General profile places 'Dos Hermanas' at PK ~16.0 on the canal survey grid (Colon PK 0 - Panama PK 74.5). Positional cross-check on the French kilometrage; lat/long via alignment is a follow-up.</t>
  </si>
  <si>
    <t>A-1699</t>
  </si>
  <si>
    <t>1886 Plan General, PK 17.0</t>
  </si>
  <si>
    <t>French period: 1886 Plan General profile places 'Palo Horqueta' at PK ~17.0 on the canal survey grid (Colon PK 0 - Panama PK 74.5). Positional cross-check on the French kilometrage; lat/long via alignment is a follow-up.</t>
  </si>
  <si>
    <t>A-1700</t>
  </si>
  <si>
    <t>1886 Plan General, PK 18.0</t>
  </si>
  <si>
    <t>French period: 1886 Plan General profile places 'Palo Matias' at PK ~18.0 on the canal survey grid (Colon PK 0 - Panama PK 74.5). Positional cross-check on the French kilometrage; lat/long via alignment is a follow-up.</t>
  </si>
  <si>
    <t>A-1701</t>
  </si>
  <si>
    <t>1886 Plan General, PK 19.9</t>
  </si>
  <si>
    <t>French period: 1886 Plan General profile places 'Ahorca Lagarto' at PK ~19.9 on the canal survey grid (Colon PK 0 - Panama PK 74.5). Positional cross-check on the French kilometrage; lat/long via alignment is a follow-up.</t>
  </si>
  <si>
    <t>A-1702</t>
  </si>
  <si>
    <t>1886 Plan General, PK 20.0</t>
  </si>
  <si>
    <t>French period: 1886 Plan General profile places 'Vamos Vamos' at PK ~20.0 on the canal survey grid (Colon PK 0 - Panama PK 74.5). Positional cross-check on the French kilometrage; lat/long via alignment is a follow-up.</t>
  </si>
  <si>
    <t>A-1703</t>
  </si>
  <si>
    <t>1886 Plan General, PK 22.0</t>
  </si>
  <si>
    <t>French period: 1886 Plan General profile places 'Pena Blanca' at PK ~22.0 on the canal survey grid (Colon PK 0 - Panama PK 74.5). Positional cross-check on the French kilometrage; lat/long via alignment is a follow-up.</t>
  </si>
  <si>
    <t>A-1704</t>
  </si>
  <si>
    <t>1886 Plan General, PK 24.0</t>
  </si>
  <si>
    <t>French period: 1886 Plan General profile places 'Buhio-Soldado' at PK ~24.0 on the canal survey grid (Colon PK 0 - Panama PK 74.5). Positional cross-check on the French kilometrage; lat/long via alignment is a follow-up.</t>
  </si>
  <si>
    <t>A-1705</t>
  </si>
  <si>
    <t>Buena-Vista</t>
  </si>
  <si>
    <t>1886 Plan General, PK 25.0</t>
  </si>
  <si>
    <t>French period: 1886 Plan General profile places 'Buena-Vista' at PK ~25.0 on the canal survey grid (Colon PK 0 - Panama PK 74.5). Positional cross-check on the French kilometrage; lat/long via alignment is a follow-up.</t>
  </si>
  <si>
    <t>A-1706</t>
  </si>
  <si>
    <t>1886 Plan General, PK 27.0</t>
  </si>
  <si>
    <t>French period: 1886 Plan General profile places 'Frijoles' at PK ~27.0 on the canal survey grid (Colon PK 0 - Panama PK 74.5). Positional cross-check on the French kilometrage; lat/long via alignment is a follow-up.</t>
  </si>
  <si>
    <t>A-1707</t>
  </si>
  <si>
    <t>1886 Plan General, PK 30.0</t>
  </si>
  <si>
    <t>French period: 1886 Plan General profile places 'Palenquilla' at PK ~30.0 on the canal survey grid (Colon PK 0 - Panama PK 74.5). Positional cross-check on the French kilometrage; lat/long via alignment is a follow-up. | repointed CZ-217 -&gt; CZ-187 2026-09-14 (merge)</t>
  </si>
  <si>
    <t>A-1708</t>
  </si>
  <si>
    <t>1886 Plan General, PK 31.0</t>
  </si>
  <si>
    <t>French period: 1886 Plan General profile places 'Juan Maria' at PK ~31.0 on the canal survey grid (Colon PK 0 - Panama PK 74.5). Positional cross-check on the French kilometrage; lat/long via alignment is a follow-up.</t>
  </si>
  <si>
    <t>A-1709</t>
  </si>
  <si>
    <t>1886 Plan General, PK 33.0</t>
  </si>
  <si>
    <t>French period: 1886 Plan General profile places 'Pedro Bernal' at PK ~33.0 on the canal survey grid (Colon PK 0 - Panama PK 74.5). Positional cross-check on the French kilometrage; lat/long via alignment is a follow-up. | repointed CZ-220 -&gt; CZ-188 2026-09-14 (merge)</t>
  </si>
  <si>
    <t>A-1710</t>
  </si>
  <si>
    <t>French period: 1886 Plan General profile places 'Tabernilla' at PK ~33.0 on the canal survey grid (Colon PK 0 - Panama PK 74.5). Positional cross-check on the French kilometrage; lat/long via alignment is a follow-up.</t>
  </si>
  <si>
    <t>A-1711</t>
  </si>
  <si>
    <t>1886 Plan General, PK 34.5</t>
  </si>
  <si>
    <t>French period: 1886 Plan General profile places 'Agua Bendita' at PK ~34.5 on the canal survey grid (Colon PK 0 - Panama PK 74.5). Positional cross-check on the French kilometrage; lat/long via alignment is a follow-up.</t>
  </si>
  <si>
    <t>A-1712</t>
  </si>
  <si>
    <t>1886 Plan General, PK 35.0</t>
  </si>
  <si>
    <t>French period: 1886 Plan General profile places 'San Pablo' at PK ~35.0 on the canal survey grid (Colon PK 0 - Panama PK 74.5). Positional cross-check on the French kilometrage; lat/long via alignment is a follow-up.</t>
  </si>
  <si>
    <t>A-1713</t>
  </si>
  <si>
    <t>1886 Plan General, PK 36.0</t>
  </si>
  <si>
    <t>French period: 1886 Plan General profile places 'Baila Monos' at PK ~36.0 on the canal survey grid (Colon PK 0 - Panama PK 74.5). Positional cross-check on the French kilometrage; lat/long via alignment is a follow-up.</t>
  </si>
  <si>
    <t>A-1714</t>
  </si>
  <si>
    <t>1886 Plan General, PK 38.0</t>
  </si>
  <si>
    <t>French period: 1886 Plan General profile places 'Mamei' at PK ~38.0 on the canal survey grid (Colon PK 0 - Panama PK 74.5). Positional cross-check on the French kilometrage; lat/long via alignment is a follow-up.</t>
  </si>
  <si>
    <t>A-1715</t>
  </si>
  <si>
    <t>1886 Plan General, PK 40.0</t>
  </si>
  <si>
    <t>French period: 1886 Plan General profile places 'Juan Grande' at PK ~40.0 on the canal survey grid (Colon PK 0 - Panama PK 74.5). Positional cross-check on the French kilometrage; lat/long via alignment is a follow-up.</t>
  </si>
  <si>
    <t>A-1716</t>
  </si>
  <si>
    <t>1886 Plan General, PK 42.0</t>
  </si>
  <si>
    <t>French period: 1886 Plan General profile places 'Gorgona' at PK ~42.0 on the canal survey grid (Colon PK 0 - Panama PK 74.5). Positional cross-check on the French kilometrage; lat/long via alignment is a follow-up.</t>
  </si>
  <si>
    <t>A-1717</t>
  </si>
  <si>
    <t>1886 Plan General, PK 44.0</t>
  </si>
  <si>
    <t>French period: 1886 Plan General profile places 'Matachin' at PK ~44.0 on the canal survey grid (Colon PK 0 - Panama PK 74.5). Positional cross-check on the French kilometrage; lat/long via alignment is a follow-up.</t>
  </si>
  <si>
    <t>A-1718</t>
  </si>
  <si>
    <t>1886 Plan General, PK 46.0</t>
  </si>
  <si>
    <t>French period: 1886 Plan General profile places 'Bas Obispo' at PK ~46.0 on the canal survey grid (Colon PK 0 - Panama PK 74.5). Positional cross-check on the French kilometrage; lat/long via alignment is a follow-up.</t>
  </si>
  <si>
    <t>A-1719</t>
  </si>
  <si>
    <t>1886 Plan General, PK 47.0</t>
  </si>
  <si>
    <t>French period: 1886 Plan General profile places 'Haut Obispo' at PK ~47.0 on the canal survey grid (Colon PK 0 - Panama PK 74.5). Positional cross-check on the French kilometrage; lat/long via alignment is a follow-up.</t>
  </si>
  <si>
    <t>A-1720</t>
  </si>
  <si>
    <t>1886 Plan General, PK 48.0</t>
  </si>
  <si>
    <t>Toponym origin (dates decoupled): the 1886 Plan General profile labels 'Las Cascadas' (the Obispo rapids locality, PK ~48) that named the later c.1895 construction camp; the camp itself is not attested here in 1886.</t>
  </si>
  <si>
    <t>A-1721</t>
  </si>
  <si>
    <t>1886 Plan General, PK 51.0</t>
  </si>
  <si>
    <t>French period: 1886 Plan General profile places 'Emperador' at PK ~51.0 on the canal survey grid (Colon PK 0 - Panama PK 74.5). Positional cross-check on the French kilometrage; lat/long via alignment is a follow-up.</t>
  </si>
  <si>
    <t>A-1722</t>
  </si>
  <si>
    <t>1886 Plan General, PK 54.0</t>
  </si>
  <si>
    <t>French period: 1886 Plan General profile places 'Culebra' at PK ~54.0 on the canal survey grid (Colon PK 0 - Panama PK 74.5). Positional cross-check on the French kilometrage; lat/long via alignment is a follow-up.</t>
  </si>
  <si>
    <t>A-1723</t>
  </si>
  <si>
    <t>1886 Plan General, PK 57.0</t>
  </si>
  <si>
    <t>French period: 1886 Plan General profile places 'Paraiso' at PK ~57.0 on the canal survey grid (Colon PK 0 - Panama PK 74.5). Positional cross-check on the French kilometrage; lat/long via alignment is a follow-up.</t>
  </si>
  <si>
    <t>A-1724</t>
  </si>
  <si>
    <t>1886 Plan General, PK 59.0</t>
  </si>
  <si>
    <t>French period: 1886 Plan General profile places 'Pedro Miguel' at PK ~59.0 on the canal survey grid (Colon PK 0 - Panama PK 74.5). Positional cross-check on the French kilometrage; lat/long via alignment is a follow-up.</t>
  </si>
  <si>
    <t>A-1725</t>
  </si>
  <si>
    <t>1886 Plan General, PK 63.0</t>
  </si>
  <si>
    <t>French period: 1886 Plan General profile places 'Rio Grande' at PK ~63.0 on the canal survey grid (Colon PK 0 - Panama PK 74.5). Positional cross-check on the French kilometrage; lat/long via alignment is a follow-up.</t>
  </si>
  <si>
    <t>A-1726</t>
  </si>
  <si>
    <t>1886 Plan General, PK 65.0</t>
  </si>
  <si>
    <t>French period: 1886 Plan General profile places 'Corozal' at PK ~65.0 on the canal survey grid (Colon PK 0 - Panama PK 74.5). Positional cross-check on the French kilometrage; lat/long via alignment is a follow-up.</t>
  </si>
  <si>
    <t>A-1727</t>
  </si>
  <si>
    <t>1886 Plan General, PK 67.0</t>
  </si>
  <si>
    <t>French period: 1886 Plan General profile places 'La Boca' at PK ~67.0 on the canal survey grid (Colon PK 0 - Panama PK 74.5). Positional cross-check on the French kilometrage; lat/long via alignment is a follow-up.</t>
  </si>
  <si>
    <t>A-1728</t>
  </si>
  <si>
    <t>COLON / New Cristobal</t>
  </si>
  <si>
    <t>Official Jan-1927 zone map (NARA 185-G-2220)</t>
  </si>
  <si>
    <t>Twin city labeled on the official Jan-1927 sheet. Photo-print resolution (1659px for the whole zone): label presence readable, small labels at legibility limit; no coordinates read.</t>
  </si>
  <si>
    <t>A-1729</t>
  </si>
  <si>
    <t>Label at the Atlantic yard complex. Photo-print resolution (1659px for the whole zone): label presence readable, small labels at legibility limit; no coordinates read.</t>
  </si>
  <si>
    <t>A-1730</t>
  </si>
  <si>
    <t>Still labeled on the official 1927 sheet - the model has its end open; official-map persistence into 1927. Photo-print resolution (1659px for the whole zone): label presence readable, small labels at legibility limit; no coordinates read.</t>
  </si>
  <si>
    <t>A-1731</t>
  </si>
  <si>
    <t>EMPIRE printed on the official Jan-1927 sheet ABOVE Camp Gaillard - the district name outliving the abandoned town (undated at row level: label-persistence, not settlement evidence). Photo-print resolution (1659px for the whole zone): label presence readable, small labels at legibility limit; no coordinates read.</t>
  </si>
  <si>
    <t>A-1732</t>
  </si>
  <si>
    <t>CAMP GAILLARD</t>
  </si>
  <si>
    <t>The Culebra military reservation appears under its 1916 renaming CAMP GAILLARD - official-map name succession for the CZ-013 area. Photo-print resolution (1659px for the whole zone): label presence readable, small labels at legibility limit; no coordinates read.</t>
  </si>
  <si>
    <t>A-1733</t>
  </si>
  <si>
    <t>Labeled. Photo-print resolution (1659px for the whole zone): label presence readable, small labels at legibility limit; no coordinates read.</t>
  </si>
  <si>
    <t>A-1734</t>
  </si>
  <si>
    <t>Labeled at the locks. Photo-print resolution (1659px for the whole zone): label presence readable, small labels at legibility limit; no coordinates read. [UNDATED: the 1927 label refers to the LOCKS/townsite Miraflores, not necessarily the pre-1913 village CZ-028 records - referent/split queued (Diablo precedent).]</t>
  </si>
  <si>
    <t>A-1735</t>
  </si>
  <si>
    <t>A-1736</t>
  </si>
  <si>
    <t>FORT CLAYTON</t>
  </si>
  <si>
    <t>Labeled - within its c.1919- lifespan; corroborates the 1919 CHRONAM first hit. Photo-print resolution (1659px for the whole zone): label presence readable, small labels at legibility limit; no coordinates read.</t>
  </si>
  <si>
    <t>A-1737</t>
  </si>
  <si>
    <t>FORT AMADOR</t>
  </si>
  <si>
    <t>A-1738</t>
  </si>
  <si>
    <t>OFFICIAL-MAP ABSENCE Jan 1927: unlike the commercial Hammond 1927 atlas (which still prints the drowned towns inside the lake), the official sheet shows NO label at the site. Expected+searched+absent - the official record erases on schedule while the commercial image lags. Searched at print resolution (Medium confidence: smallest labels near the legibility limit). Photo-print resolution (1659px for the whole zone): label presence readable, small labels at legibility limit; no coordinates read.</t>
  </si>
  <si>
    <t>A-1739</t>
  </si>
  <si>
    <t>A-1740</t>
  </si>
  <si>
    <t>A-1741</t>
  </si>
  <si>
    <t>A-1742</t>
  </si>
  <si>
    <t>A-1743</t>
  </si>
  <si>
    <t>A-1744</t>
  </si>
  <si>
    <t>A-1745</t>
  </si>
  <si>
    <t>A-1746</t>
  </si>
  <si>
    <t>1886 Plan General, PK 0</t>
  </si>
  <si>
    <t>French period: 1886 Plan General profile places Colon at PK 0 (Atlantic terminus of the French canal survey grid); Cristobal grew adjacent on the Canal Zone side.</t>
  </si>
  <si>
    <t>A-1747</t>
  </si>
  <si>
    <t>Canal Record UF00097368/00001 p.A-287</t>
  </si>
  <si>
    <t>US record: Canal Record 1909 names 'the tract of 190 hectares of the lands known as "Palenquilla and Frijol Grande"' - the Palenquilla locality entered the US land-condemnation record near Frijoles. https://ufdc.ufl.edu/UF00097368/00001/298 | repointed CZ-217 -&gt; CZ-187 2026-09-14 (merge)</t>
  </si>
  <si>
    <t>A-1748</t>
  </si>
  <si>
    <t>Canal Record vol. 7 (1913)</t>
  </si>
  <si>
    <t>US record: Canal Record 1913 names 'the region designated as Juan Maria, near Tabernilla' in a property condemnation - the Juan Maria locality entered the US land record.</t>
  </si>
  <si>
    <t>A-1749</t>
  </si>
  <si>
    <t>US corpora (S-003/S-009/S-021/S-004)</t>
  </si>
  <si>
    <t>Searched-absent in the US record: no mention in the Canal Record (S-003, full-text), Chronicling America (S-009), Internet Archive canal-era texts (S-021), or the NARA RG 185 catalog (S-004). Present on the 1886 French Plan General (S-051) but never entered the US archive - a town visible only from the French side. [2026-09-14]</t>
  </si>
  <si>
    <t>A-1750</t>
  </si>
  <si>
    <t>A-1751</t>
  </si>
  <si>
    <t>Searched-absent in the US record: no mention in the Canal Record (S-003, full-text), Chronicling America (S-009), Internet Archive canal-era texts (S-021), or the NARA RG 185 catalog (S-004). Present on the 1886 French Plan General (S-051) but never entered the US archive - a town visible only from the French side. [2026-09-14] | repointed CZ-220 -&gt; CZ-188 2026-09-14 (merge)</t>
  </si>
  <si>
    <t>A-1752</t>
  </si>
  <si>
    <t>retro absence audit 2026-09-14 (crop read)</t>
  </si>
  <si>
    <t>1909: point on the railroad just W of the 'P.R.R. Station' lettering at the city edge; no quarter name.</t>
  </si>
  <si>
    <t>A-1753</t>
  </si>
  <si>
    <t>Island hachured and lettered TABOGA with soundings and a 'Landing Place'; no distinct village symbol at the stored point - the island is named, the village is not drawn.</t>
  </si>
  <si>
    <t>A-1754</t>
  </si>
  <si>
    <t>CHAGRES</t>
  </si>
  <si>
    <t>Town blocks drawn with 'Church' labeled, 'CHAGRES' spread lettering, Lajas Reef and the Castle (San Lorenzo) on the opposite bank; blocks sit ~800 m N of the stored point (Furnia Swamp). 'Rio Congo Settlement' labeled 1.5 km SE (unregistered name).</t>
  </si>
  <si>
    <t>A-1755</t>
  </si>
  <si>
    <t>Upper Chagres reach searched: hachured hills, 'Savanna Land' lettering; no settlement symbol or name.</t>
  </si>
  <si>
    <t>A-1756</t>
  </si>
  <si>
    <t>Chagres reach at the graticule line searched; blank paper apart from hachures and a damage patch; no name.</t>
  </si>
  <si>
    <t>A-1757</t>
  </si>
  <si>
    <t>Cruces (village dots + CRUCES), La Pisha and Dos Hermanos labeled in the same window; Palo Grande absent on the Sierra ridge where the 1909 sheet later draws it.</t>
  </si>
  <si>
    <t>A-1758</t>
  </si>
  <si>
    <t>1862 claims plan: railroad reach between mileposts 10 and 11 searched; 'La Estacion del Cerro de Lion' (Lion Hill) lettered at post 11, Villaverde and M. Murga tracts named; no Tiger Hill station or name.</t>
  </si>
  <si>
    <t>A-1759</t>
  </si>
  <si>
    <t>1862: 'Estacion de Obispo' with building marks sits at the stored Haut Obispo point beside the Rio Obispo, 'El Pueblo de Matachin' NW. The sheet names one Obispo only; the same label was attached to CZ-014 in 2026-09-13 (A-0895), so this read is shared and ambiguous between the two.</t>
  </si>
  <si>
    <t>A-1760</t>
  </si>
  <si>
    <t>1862: point on the 'Tierras Baldias No. 4' (vacant lands) strip beside a taped fold; nothing drawn. The claims plan draws only claimed land, so silence here is weak.</t>
  </si>
  <si>
    <t>A-1761</t>
  </si>
  <si>
    <t>1862: point by Q. Garrapo; Q. de la Ceiba, Q. Vino Tinto Grande/Chiquita and Villaverde tracts lettered; no settlement or name.</t>
  </si>
  <si>
    <t>A-1762</t>
  </si>
  <si>
    <t>Mir[aflores] (tract)</t>
  </si>
  <si>
    <t>1862: giant tract lettering 'Mir[aflores]' begins ~2 km E of the point across the railroad; the village itself is not drawn - name survives as a land title. | repointed CZ-210 -&gt; CZ-194 2026-09-14 (merge)</t>
  </si>
  <si>
    <t>A-1763</t>
  </si>
  <si>
    <t>As CZ-210 (same stored point; duplicate registration of the Atlantic Miraflores). | RETRACTED 2026-09-14 (merge CZ-194): duplicate of a claim already on the survivor. Ignore this row.</t>
  </si>
  <si>
    <t>A-1764</t>
  </si>
  <si>
    <t>1862: 'Palo Matias Nuevo' lettered along the Chagres bank just S of the point, with 'Qa. Palo Matias' stream nearby; no house symbols - name-as-tract.</t>
  </si>
  <si>
    <t>A-1765</t>
  </si>
  <si>
    <t>1862: large 'Palo Horqueta' tract lettering N of the river ~800 m NW of the point; no village symbol - name-as-tract.</t>
  </si>
  <si>
    <t>A-1766</t>
  </si>
  <si>
    <t>1862: point on a tract boundary line between 'Las tierras llamadas Palo Matias' and the Valdespino claim, Q. Arriba lettered N; Palenquillo not named.</t>
  </si>
  <si>
    <t>A-1767</t>
  </si>
  <si>
    <t>El Ajuste de S. Pedro Bernal</t>
  </si>
  <si>
    <t>1862: vertical lettering 'El Ajuste de S. Pedro Bernal' ~700 m W of the point beside the 'Rapidos', with Barbacoas station at milepost 23 NE - the 1857 settlement recorded as a named land claim (ajuste); no house symbols.</t>
  </si>
  <si>
    <t>A-1768</t>
  </si>
  <si>
    <t>1862: blank paper between the Caravali tract boundary and the Rio Matachin at milepost 30 ('El Pueblo de Matachin' NE); no name.</t>
  </si>
  <si>
    <t>A-1769</t>
  </si>
  <si>
    <t>1862: blank unsurveyed paper; the claims plan draws only claimed tracts, so silence is weak.</t>
  </si>
  <si>
    <t>A-1770</t>
  </si>
  <si>
    <t>1895 sheet 2: the point falls in the 'Decharges' (spoil) loop N of the Emperador wharf; EMPERADOR is drawn house-by-house with the Magasin and the red Campement d'Emperador E, but no dispensary - an ICC building of c.1907, so anachronistic here.</t>
  </si>
  <si>
    <t>A-1771</t>
  </si>
  <si>
    <t>1895 sheet 1: point at the E edge of the GORGONA black-house village on the Chagres channel; village drawn, no band stand (1908 ICC town-plan feature) - anachronistic.</t>
  </si>
  <si>
    <t>A-1772</t>
  </si>
  <si>
    <t>1895 sheet 1: point at the NW edge of GORGONA's black houses; the red 'Campement de Caballo Viejo' lies ~1 km W; Cansaloma not named - absorbed into the Gorgona complex by 1895.</t>
  </si>
  <si>
    <t>A-1773</t>
  </si>
  <si>
    <t>Rio Mariposa</t>
  </si>
  <si>
    <t>1895 sheet 1: point on blank paper at the drawn-area edge; 'Rio Mariposa' lettered ~500 m E with 'Mandinguito', and isolated black house squares strung along the river - the 1857 'Mari Posa' survives as a river name with scattered houses, no village name.</t>
  </si>
  <si>
    <t>A-1774</t>
  </si>
  <si>
    <t>1895 sheet 1: contoured hills between Quebrada Curutu and the Rio Mandingo; several isolated black house squares within ~300 m but no settlement name.</t>
  </si>
  <si>
    <t>A-1775</t>
  </si>
  <si>
    <t>1895 sheet 2: point at the W edge of the CULEBRA black-house village above the red Campement; village drawn, no dispensary - ICC building, anachronistic to 1895.</t>
  </si>
  <si>
    <t>A-1776</t>
  </si>
  <si>
    <t>1895 sheet 2: hillside S of CULEBRA with contours and two or three isolated black squares; no chapel symbol or name.</t>
  </si>
  <si>
    <t>A-1777</t>
  </si>
  <si>
    <t>(Paraiso works, unlabeled)</t>
  </si>
  <si>
    <t>1895 sheet 2: the point sits in the railroad/excavation corridor beside the 'ECLUSE DE PARAISO' and 'BARRAGE'; red works buildings stand in rows ~300 m N along the P.R.R. and S by the Rio Grande deviation. The French works complex is drawn but not named as shops.</t>
  </si>
  <si>
    <t>A-1778</t>
  </si>
  <si>
    <t>1895 sheet 2: contoured river bank on the red 'approximatif' line beside a taped sheet join; nothing built or named - sparse edge zone, weak silence.</t>
  </si>
  <si>
    <t>A-1779</t>
  </si>
  <si>
    <t>1895 sheet 2: point on the Quebrada Casanga below the P.R.R. alignment; a few isolated black squares ~200-400 m away but no station or name at the 1857 site.</t>
  </si>
  <si>
    <t>A-1780</t>
  </si>
  <si>
    <t>HOPITAL</t>
  </si>
  <si>
    <t>1895 sheet 3: 'HOPITAL' lettered across a red pavilion complex on the E slope of Cerro Ancon, with a second red cluster on the NE shoulder. The 2026-09-13 audit attached this read to CZ-018 Ancon (A-0919); it is now also attached to the hospital sub-place. This sheet's georeference sits ~600 m E of the 1947 frame in the city, so no coordinate is taken from it.</t>
  </si>
  <si>
    <t>A-1781</t>
  </si>
  <si>
    <t>(two cross-marked enclosures, unlabeled)</t>
  </si>
  <si>
    <t>1895 sheet 3: two rectangular enclosures filled with cross symbols beside the 'Panama' road W of the city = the cemetery row; not named. The cross symbol IS used on this sheet, which makes its absence elsewhere meaningful.</t>
  </si>
  <si>
    <t>A-1782</t>
  </si>
  <si>
    <t>(cemetery enclosure, undesignated)</t>
  </si>
  <si>
    <t>1895 sheet 3: one of the two cross-marked enclosures may be the Chinese cemetery that the 1904 plan labels; no Chinese designation lettered.</t>
  </si>
  <si>
    <t>A-1783</t>
  </si>
  <si>
    <t>1895 sheet 3: W and SW slopes of Cerro Ancon drawn with contours and a few small red buildings; no cross-marked enclosure.</t>
  </si>
  <si>
    <t>A-1784</t>
  </si>
  <si>
    <t>(Guachapali quarter, unlabeled)</t>
  </si>
  <si>
    <t>1895 sheet 3: dense clusters of small black houses on both sides of the P.R.R. yard tracks at the city's N edge (the 1890-plan Guachapali ground); drawn but not named - the sheet letters only HOPITAL, Cerro Ancon, Panama and La Boca here.</t>
  </si>
  <si>
    <t>A-1785</t>
  </si>
  <si>
    <t>1895 sheet 3: the fabric along the road S of the yards is drawn; no quarter name.</t>
  </si>
  <si>
    <t>A-1786</t>
  </si>
  <si>
    <t>(arrabal fabric, unlabeled)</t>
  </si>
  <si>
    <t>1895 sheet 3: black house blocks and scattered houses W of the walled city out toward the Ancon foot; no quarter names anywhere on the sheet.</t>
  </si>
  <si>
    <t>A-1787</t>
  </si>
  <si>
    <t>La Cienega</t>
  </si>
  <si>
    <t>1895 sheet 3: city fabric drawn, no quarter names on the sheet.</t>
  </si>
  <si>
    <t>A-1788</t>
  </si>
  <si>
    <t>1895 sheet 3: as CZ-200.</t>
  </si>
  <si>
    <t>A-1789</t>
  </si>
  <si>
    <t>A-1790</t>
  </si>
  <si>
    <t>1895 sheet 3: as CZ-200. | RETRACTED 2026-09-14 (CZ-205 Guinea declined - the 1857 'Guinea' lettering reads 'Guinea Grass', a pasture label; the toponym otherwise names a shore point near Balboa, not a settlement). Ignore this row.</t>
  </si>
  <si>
    <t>A-1791</t>
  </si>
  <si>
    <t>A-1792</t>
  </si>
  <si>
    <t>A-1793</t>
  </si>
  <si>
    <t>GUACHAPALI</t>
  </si>
  <si>
    <t>1904 Bertoncini plan: 'GUACHAPALI' lettered over a dense house-by-house quarter W of the El Trujillo marsh and N of the railroad yards, with 'MARANON' S. The stored 1890-plan point falls ~200 m E in the drawn marsh. Coordinates from the 2026-09-14 features CSV read.</t>
  </si>
  <si>
    <t>A-1794</t>
  </si>
  <si>
    <t>1904: the stored point lies among the Pueblo Nuevo / San Miguel houses along the railroad; no hotel. The Tivoli opened 1906, so this is a dated lower bound rather than an erasure.</t>
  </si>
  <si>
    <t>A-1795</t>
  </si>
  <si>
    <t>MALAMBO</t>
  </si>
  <si>
    <t>1904: 'MALAMBO' lettered across the Barrio de Malambo blocks beside Sta Rita, ~700 m ENE of the stored 1857 point (which falls on the open Cerro del Ancon slope here). See the coordinate flag in the audit report.</t>
  </si>
  <si>
    <t>A-1796</t>
  </si>
  <si>
    <t>(Plaza de Santa Ana + arrabal blocks)</t>
  </si>
  <si>
    <t>1904: the arrabal is drawn block-by-block with the planted plaza on Calle de Taboga ~650 m E of the stored 1857 point; the stored point itself falls on open slope N of the Cementerios. District name not legible at this resolution.</t>
  </si>
  <si>
    <t>A-1797</t>
  </si>
  <si>
    <t>1909 zone map: point on the RIO OBISPO lettering between the PANAMA R.R. and the dashed boundary; EMPIRE and Lirio labeled SW; no Summit station symbol or name.</t>
  </si>
  <si>
    <t>A-1798</t>
  </si>
  <si>
    <t>1909: point on blank ground W of the 'PRESENT' line lettering, N of Cunette; nothing drawn on the hospital hill.</t>
  </si>
  <si>
    <t>A-1799</t>
  </si>
  <si>
    <t>(building marks along the line, unlabeled)</t>
  </si>
  <si>
    <t>1909: the point lies on the railroad N of the EMPIRE label with rows of building marks immediately E between the line and the canal - the shops district as anonymous marks.</t>
  </si>
  <si>
    <t>A-1800</t>
  </si>
  <si>
    <t>1909: point on blank ground just N of the EMPIRE label; no park or field symbol.</t>
  </si>
  <si>
    <t>A-1801</t>
  </si>
  <si>
    <t>1909: point between the Cucaracha and PARAISO labels; small building marks nearby but no Spanish Town name.</t>
  </si>
  <si>
    <t>A-1802</t>
  </si>
  <si>
    <t>(building marks at Paraiso, unlabeled)</t>
  </si>
  <si>
    <t>1909: a cluster of building marks at the point W of the PARAISO label beside the 300-ft canal line; not named as shops.</t>
  </si>
  <si>
    <t>A-1803</t>
  </si>
  <si>
    <t>(building marks, unlabeled)</t>
  </si>
  <si>
    <t>1909: building marks along the railroad at the point, W of the PEDRO MIGUEL lettering; no camp name.</t>
  </si>
  <si>
    <t>A-1804</t>
  </si>
  <si>
    <t>1909: point where a dashed road crosses the Rio Pedro Miguel; no settlement or name.</t>
  </si>
  <si>
    <t>A-1805</t>
  </si>
  <si>
    <t>1909: point on the railroad NW of EMPIRE; zone-scale marks only, no named building.</t>
  </si>
  <si>
    <t>A-1806</t>
  </si>
  <si>
    <t>(camp building marks, unlabeled)</t>
  </si>
  <si>
    <t>1909: the point sits among clusters of building marks between EMPIRE and Lirio along the railroad; the camp is drawn but only Lirio is named.</t>
  </si>
  <si>
    <t>A-1807</t>
  </si>
  <si>
    <t>1909: point on the railroad between Lirio and CULEBRA; no named building.</t>
  </si>
  <si>
    <t>A-1808</t>
  </si>
  <si>
    <t>1909: point just N of the CULEBRA label beside building marks; no chapel or name.</t>
  </si>
  <si>
    <t>A-1809</t>
  </si>
  <si>
    <t>CARABALI RESERVOIR</t>
  </si>
  <si>
    <t>1909: 'CARABALI RESERVOIR' lettered under the drawn reservoir at the point, between GORGONA and MATACHIN - the toponym survives as infrastructure.</t>
  </si>
  <si>
    <t>A-1810</t>
  </si>
  <si>
    <t>1909: no settlement symbol or village name at the reservoir; town dots belong to Gorgona and Matachin.</t>
  </si>
  <si>
    <t>A-1811</t>
  </si>
  <si>
    <t>1909: point in the red flood-limit area N of the GORGONA building marks by the '300 FEET WIDE' canal lettering; a few marks nearby but no Cansaloma name.</t>
  </si>
  <si>
    <t>A-1812</t>
  </si>
  <si>
    <t>1909: point inside the Gorgona building-mark cluster; no civic feature at zone scale.</t>
  </si>
  <si>
    <t>A-1813</t>
  </si>
  <si>
    <t>1909: point on the railroad at the 'P.R.R. Station' label beside the Panama city grid; the quarter is not named - only the station is.</t>
  </si>
  <si>
    <t>A-1814</t>
  </si>
  <si>
    <t>1909: point on blank ground on a dashed road SW of the EMPIRE town dot; building marks only ~300 m E. New Empire (c.1910) is absent from the July 1908 compilation.</t>
  </si>
  <si>
    <t>A-1815</t>
  </si>
  <si>
    <t>1909: point beside the CULEBRA town dot and flag, above RIO GRANDE; building marks only along the line to the E; no camp name.</t>
  </si>
  <si>
    <t>A-1816</t>
  </si>
  <si>
    <t>1909: point in the Rio Curundu estuary channels just SW of the ANCON town dot; nothing built or named. The sheet's 'Cartegenita' lettering belongs to the Culebra-district namesake (CZ-062) near Pedro Miguel.</t>
  </si>
  <si>
    <t>A-1817</t>
  </si>
  <si>
    <t>(shore building marks, unlabeled)</t>
  </si>
  <si>
    <t>1909: building marks along the railroad on the shore between Sosa Hill and the Ancon foot, ~150 m E of the point; not named (BALBOA lettered S).</t>
  </si>
  <si>
    <t>A-1818</t>
  </si>
  <si>
    <t>1909: point inside the red future-lake area at the RIO AGUA SALUD lettering, N of FRIJOLES; the old railroad runs SW; no station - the relocated-line town post-dates the compilation.</t>
  </si>
  <si>
    <t>A-1819</t>
  </si>
  <si>
    <t>1909: blank paper just E of the red flood-limit and survey line; no village symbol or name.</t>
  </si>
  <si>
    <t>A-1820</t>
  </si>
  <si>
    <t>1909: point inside the drawn 500-ft channel below the Gatun dam and spillway; no settlement or name.</t>
  </si>
  <si>
    <t>A-1821</t>
  </si>
  <si>
    <t>1909: point in the red future-lake area W of the diversion channel below Gatun dam; nothing named. | repointed CZ-210 -&gt; CZ-194 2026-09-14 (merge)</t>
  </si>
  <si>
    <t>A-1822</t>
  </si>
  <si>
    <t>1909: same stored point and same result as CZ-210 (duplicate registration).</t>
  </si>
  <si>
    <t>A-1823</t>
  </si>
  <si>
    <t>1909: point on the old Chagres bed inside the future lake; 'Las Penitas' and 'Palo Matias' lettered ~1.5 km SE, 'Ahorca Lagarto' E; the Nuevo village absent.</t>
  </si>
  <si>
    <t>A-1824</t>
  </si>
  <si>
    <t>1909: point on a small island outline W of 'Ahorca Lagarto'; no name.</t>
  </si>
  <si>
    <t>A-1825</t>
  </si>
  <si>
    <t>Map No.1 (1905-06): the stored point falls in the bay offshore of Shelter Pt; the Playa de Flor shore W is drawn with vegetation and no buildings within ~700 m. No camp by the survey date (camp c.1907).</t>
  </si>
  <si>
    <t>A-1826</t>
  </si>
  <si>
    <t>Map No.1: 'Vamos Vamos' lettered vertically beside the P.R.R. near K.20, ~450 m WSW of the stored point, which sits inside a river meander; no village symbol. This corrects the 2026-09-13 ledger, which called the site out of extent.</t>
  </si>
  <si>
    <t>A-1827</t>
  </si>
  <si>
    <t>Map No.1: 'Las Penitas' lettered on the hill beside 'Palo Matias Viejo', ~450 m NW of the stored point; no building symbols - name as locality.</t>
  </si>
  <si>
    <t>A-1828</t>
  </si>
  <si>
    <t>Map No.1: point in the swamp strip beside a 'Water' pond between the K.10-K.11 line and the P.R.R., with the Rio Gatun E; fully surveyed ground, no settlement or name.</t>
  </si>
  <si>
    <t>A-1829</t>
  </si>
  <si>
    <t>Map No.1: point on a contoured knoll E of the P.R.R.; 'Las Penitas' lettered ~700 m SE; no village or name, while 'Palo Matias Viejo' IS lettered nearby.</t>
  </si>
  <si>
    <t>A-1830</t>
  </si>
  <si>
    <t>Map No.1: contoured hills N of the 'Las Penitas' and 'Palo Matias' lettering; no settlement or name.</t>
  </si>
  <si>
    <t>A-1831</t>
  </si>
  <si>
    <t>Map No.1: point on the steep edge of the surveyed hills beside blank unsurveyed paper E; nothing named.</t>
  </si>
  <si>
    <t>A-1832</t>
  </si>
  <si>
    <t>Map No.1: contoured hill mass W of the Lagoon and the K.10-K.11 line; fully surveyed, no village or name.</t>
  </si>
  <si>
    <t>A-1833</t>
  </si>
  <si>
    <t>Map No.1: same stored point and result as CZ-194 (duplicate registration). | repointed CZ-210 -&gt; CZ-194 2026-09-14 (merge)</t>
  </si>
  <si>
    <t>A-1834</t>
  </si>
  <si>
    <t>Map No.3: 'Palo Seco Leper Colony' lettered on the coast ~1 km WSW of the stored point. The 1905-06 survey sheet names the colony, while the 1909 zone map is silent (A-0665). No coordinate taken; the lettering sits at the sheet's W edge.</t>
  </si>
  <si>
    <t>A-1835</t>
  </si>
  <si>
    <t>NAOS I.</t>
  </si>
  <si>
    <t>Map No.3: 'NAOS I.' lettered with a line of buildings along the causeway track on the island; Culebra I. alongside also carries buildings. The stored point lands between the two islands under this corner's offset.</t>
  </si>
  <si>
    <t>A-1836</t>
  </si>
  <si>
    <t>(quarters rows, unlabeled)</t>
  </si>
  <si>
    <t>Map No.3: rows of small black quarters drawn along the railroad under the PEDRO MIGUEL lettering, ~200-400 m NE of the stored point beside the lock excavation; not named as a labor camp.</t>
  </si>
  <si>
    <t>A-1837</t>
  </si>
  <si>
    <t>PEDRO MIGUEL YARD</t>
  </si>
  <si>
    <t>Map No.3: 'PEDRO MIGUEL YARD' lettered along a multi-track yard with long black shop buildings at the stored point.</t>
  </si>
  <si>
    <t>A-1838</t>
  </si>
  <si>
    <t>Map No.3: the stored point falls in the railroad fan N of the LUMBER yard with rows of buildings along the tracks; no Guachapali name. Named features nearby are only LUMBER, CITY HOSPITAL and East Panama.</t>
  </si>
  <si>
    <t>A-1839</t>
  </si>
  <si>
    <t>Map No.3: point among the same yard-side buildings; no Maranon name.</t>
  </si>
  <si>
    <t>A-1840</t>
  </si>
  <si>
    <t>Map No.3: point on the 'Grass' ground W of the CITY HOSPITAL with scattered houses; no Cocoa Grove name.</t>
  </si>
  <si>
    <t>A-1841</t>
  </si>
  <si>
    <t>Map No.3: point on open ground at the Ancon Road foot; no Cienega name. The shore quarter lies ~1 km E in the drawn grid, also unnamed.</t>
  </si>
  <si>
    <t>A-1842</t>
  </si>
  <si>
    <t>Map No.3: no street names drawn in or around the arrabal.</t>
  </si>
  <si>
    <t>A-1843</t>
  </si>
  <si>
    <t>NEW CEMETERIES / CEMETERIES</t>
  </si>
  <si>
    <t>Map No.3: 'NEW CEMETERIES' and 'CEMETERIES' lettered over enclosures on the La Boca Road corridor beside the vertical 'CHINESE CEMETERY' and 'PLAZA DE TORO', ~200 m S of the stored point. The 2026-09-14 harvest logged these as an unregistered candidate; they are the CZ-198 row.</t>
  </si>
  <si>
    <t>A-1844</t>
  </si>
  <si>
    <t>Map No.3: point on the slope above the NEW CEMETERIES lettering; no Chorrillo name or spring symbol.</t>
  </si>
  <si>
    <t>A-1845</t>
  </si>
  <si>
    <t>Santa Ana (arrabal) [name]</t>
  </si>
  <si>
    <t>Map No.3: the stored point falls on the Ancon foot W of Ancon Road; the city grid E is drawn street-by-street, but no Santa Ana name appears.</t>
  </si>
  <si>
    <t>A-1846</t>
  </si>
  <si>
    <t>Map No.3: stored point on the Ancon Hill slope (contours 300-580); no Malambo name anywhere in the window. Stored coordinate is suspect (see report).</t>
  </si>
  <si>
    <t>A-1847</t>
  </si>
  <si>
    <t>Map No.3: point on the Ancon slope N of La Boca Road; no Guinea name. | RETRACTED 2026-09-14 (CZ-205 Guinea declined - the 1857 'Guinea' lettering reads 'Guinea Grass', a pasture label; the toponym otherwise names a shore point near Balboa, not a settlement). Ignore this row.</t>
  </si>
  <si>
    <t>A-1848</t>
  </si>
  <si>
    <t>Map No.3: the stored point lies under the orange Balboa fill and yard overlay at the Rio Curundu / Quebradita mouth; no houses or name. GERIG lettered ~1 km SW under Sosa Low.</t>
  </si>
  <si>
    <t>A-1849</t>
  </si>
  <si>
    <t>Map No.3 (1905-06): Culebra's old rim town is drawn building-by-building along the railroad with 'Enterprise' lettered SE; none of the town's buildings carries a label, so this civic building cannot be identified on the sheet.</t>
  </si>
  <si>
    <t>A-1850</t>
  </si>
  <si>
    <t>A-1851</t>
  </si>
  <si>
    <t>A-1852</t>
  </si>
  <si>
    <t>A-1853</t>
  </si>
  <si>
    <t>A-1854</t>
  </si>
  <si>
    <t>A-1855</t>
  </si>
  <si>
    <t>A-1856</t>
  </si>
  <si>
    <t>A-1857</t>
  </si>
  <si>
    <t>A-1858</t>
  </si>
  <si>
    <t>A-1859</t>
  </si>
  <si>
    <t>A-1860</t>
  </si>
  <si>
    <t>A-1861</t>
  </si>
  <si>
    <t>A-1862</t>
  </si>
  <si>
    <t>A-1863</t>
  </si>
  <si>
    <t>Map No.3: point on a contoured slope W of the Culebra lettering; no enclosure or label.</t>
  </si>
  <si>
    <t>A-1864</t>
  </si>
  <si>
    <t>Map No.3: point on the road NW of the rim town with a few buildings nearby; no mill drawn or labeled.</t>
  </si>
  <si>
    <t>A-1865</t>
  </si>
  <si>
    <t>Map No.3: point on wooded contoured ridge between the Obispo diversion and the Rio Obispo; the only line is a straight survey/telegraph line, no station, building or name.</t>
  </si>
  <si>
    <t>A-1866</t>
  </si>
  <si>
    <t>Map No.3: point on an orange road W of the railroad and NW of Culebra; no village or name (village dated c.1907, so partly temporal).</t>
  </si>
  <si>
    <t>A-1867</t>
  </si>
  <si>
    <t>Map No.3: point on blank wooded ground beside a 'Water' pond W of the Panama R.R. N of Culebra; no camp (c.1907 start - a dated lower bound).</t>
  </si>
  <si>
    <t>A-1868</t>
  </si>
  <si>
    <t>Map No.3: point at the window edge on contoured ground SW of Culebra; nothing drawn (camp c.1907?).</t>
  </si>
  <si>
    <t>A-1869</t>
  </si>
  <si>
    <t>(city extension grid, unnamed)</t>
  </si>
  <si>
    <t>1857 Totten isthmus map: a street grid is drawn outside the walled city along 'Rail Road St.', with 'San Miguel' lettered N; no Santa Ana name. The stored arrabal points fall ~600 m W on the Cerro Ancon hachures.</t>
  </si>
  <si>
    <t>A-1870</t>
  </si>
  <si>
    <t>1857 isthmus map: city grid drawn, no quarter names except San Miguel.</t>
  </si>
  <si>
    <t>A-1871</t>
  </si>
  <si>
    <t>1857 isthmus map: as CZ-200.</t>
  </si>
  <si>
    <t>A-1872</t>
  </si>
  <si>
    <t>A-1873</t>
  </si>
  <si>
    <t>1857 isthmus map: no cemetery symbol near the city at this scale; the company land plan (S-043) draws a Burial Ground instead, so the silence is scale-dependent.</t>
  </si>
  <si>
    <t>A-1874</t>
  </si>
  <si>
    <t>Map No.3: fully surveyed wooded contours between Qda. Casanga and Qda. de los Livos below the P.R.R.; no building or name at the 1857 station site.</t>
  </si>
  <si>
    <t>A-1875</t>
  </si>
  <si>
    <t>Map No.3: point on the contoured Pedro Miguel valley edge with unsurveyed blank paper E; weak silence.</t>
  </si>
  <si>
    <t>A-1876</t>
  </si>
  <si>
    <t>Map No.3: contoured hill between the MIRAFLORES village, the Relocation of Panama R.R. and COROZAL ROAD; surveyed ground with no settlement or name.</t>
  </si>
  <si>
    <t>A-1877</t>
  </si>
  <si>
    <t>Map No.2: fully surveyed wooded contours with the Qda. Agua Bendita and Cano Quebrado lettered; no settlement or name.</t>
  </si>
  <si>
    <t>A-1878</t>
  </si>
  <si>
    <t>Rio Marinosa</t>
  </si>
  <si>
    <t>Map No.2: 'Rio Marinosa' lettered ~250 m S of the stored point (the 1857 'Mari Posa' as a hydronym), LAS CASADAS road NE; the point itself is unsurveyed paper, so no settlement negative is claimed.</t>
  </si>
  <si>
    <t>A-1879</t>
  </si>
  <si>
    <t>Map No.2: point at the W edge of the surveyed contours with blank unsurveyed paper W; weak silence.</t>
  </si>
  <si>
    <t>A-1880</t>
  </si>
  <si>
    <t>Map No.2: point on a surveyed wooded stream valley E of the old line; no settlement or name. Unsurveyed paper begins ~200 m E.</t>
  </si>
  <si>
    <t>A-1881</t>
  </si>
  <si>
    <t>Carabali Reservoir / Rio Carabali</t>
  </si>
  <si>
    <t>Map No.2: 'Carabali Reservoir' and 'Carabali' (stream) lettered at the point S of Gorgona; no village.</t>
  </si>
  <si>
    <t>A-1882</t>
  </si>
  <si>
    <t>Map No.2: no houses or village name at the reservoir.</t>
  </si>
  <si>
    <t>A-1883</t>
  </si>
  <si>
    <t>Map No.2: 'Buena Vista' lettered along the canal prism ~150 m W of the stored point, but the point itself is wooded slope by the Obispo diversion with no buildings; the Las Cascadas buildings begin ~800 m S. The name is on the sheet, the camp is not drawn at the stored point.</t>
  </si>
  <si>
    <t>A-1884</t>
  </si>
  <si>
    <t>Map No.2: point on the N edge of the Gorgona built fabric beside the canal-line strip; buildings drawn nearby, no Cansaloma name.</t>
  </si>
  <si>
    <t>A-1885</t>
  </si>
  <si>
    <t>1910 Culebra waterworks map: point on the reservoir hill slope between numbered quarters N and E; no Enterprise name.</t>
  </si>
  <si>
    <t>A-1886</t>
  </si>
  <si>
    <t>1910: the hill at the point is covered with numbered quarters and roads; no chapel symbol or Mt Zion lettering at the site.</t>
  </si>
  <si>
    <t>A-1887</t>
  </si>
  <si>
    <t>183 Market (western building)</t>
  </si>
  <si>
    <t>1910: the stored W. Culebra point falls on building 183, lettered (upside down) 'Mark[et]', W of the railroad, with quarters 159-162 E. The western cluster exists in 1910 without the 'W. Culebra' name.</t>
  </si>
  <si>
    <t>A-1888</t>
  </si>
  <si>
    <t>1908 Gorgona saloon-licensing plan: the point is blank paper inside the neatline NW of the town (Avenue D-E, Market, Hotel); nothing drawn at the 1862 village site.</t>
  </si>
  <si>
    <t>A-1889</t>
  </si>
  <si>
    <t>1947 Pacific Terminal Cities: the quarter site is the R.R. STA / FREIGHT HOUSE yards and the numbered grid (Calle 18-23 Este, Calle 3 de Noviembre, 12 de Octubre); the name Guachapali is absent - the quarter has become railway yards and street numbers.</t>
  </si>
  <si>
    <t>A-1890</t>
  </si>
  <si>
    <t>1947: the point is in the freight yards by Ave. Pablo Arosemena; no Maranon name.</t>
  </si>
  <si>
    <t>A-1891</t>
  </si>
  <si>
    <t>1947: point on Calle Jeronimo de la Ossa by the Atlas Club and Bal. Gardens; no Cocoa Grove name.</t>
  </si>
  <si>
    <t>A-1892</t>
  </si>
  <si>
    <t>PLAZA SANTA ANA</t>
  </si>
  <si>
    <t>1947: 'PLAZA SANTA ANA' lettered at the plaza ~600 m E of the stored point (which falls at El Rancho Gardens); the district name itself does not appear.</t>
  </si>
  <si>
    <t>A-1893</t>
  </si>
  <si>
    <t>1947: point in the numbered Calle 15-17 Oeste blocks; no Cienega name.</t>
  </si>
  <si>
    <t>A-1894</t>
  </si>
  <si>
    <t>1947: point on Avenida A; streets carry numbers and no Salsipuedes name appears.</t>
  </si>
  <si>
    <t>A-1895</t>
  </si>
  <si>
    <t>1947: the stored 1857 point falls on the Zone side of the boundary (FIELD, Ancon Hill foot); no Malambo name anywhere in the window.</t>
  </si>
  <si>
    <t>A-1896</t>
  </si>
  <si>
    <t>1947: point at the Calle 27 Oeste corner by the boundary; no Chorrillo name.</t>
  </si>
  <si>
    <t>A-1897</t>
  </si>
  <si>
    <t>1947: point on the Calle Pedro de Obarrio blocks; no cemetery symbol or name for the row labeled in 1904 and 1906.</t>
  </si>
  <si>
    <t>A-1898</t>
  </si>
  <si>
    <t>1947: the 1895 CARTAGENITA site lies under the Balboa dock warehouses and yard tracks on Roosevelt Ave, below Sosa Hill; no name or village.</t>
  </si>
  <si>
    <t>A-1899</t>
  </si>
  <si>
    <t>1947: point near the Mil. Police Sta. at the Zone boundary; no Guinea name. | RETRACTED 2026-09-14 (CZ-205 Guinea declined - the 1857 'Guinea' lettering reads 'Guinea Grass', a pasture label; the toponym otherwise names a shore point near Balboa, not a settlement). Ignore this row.</t>
  </si>
  <si>
    <t>A-1900</t>
  </si>
  <si>
    <t>Cemeteries</t>
  </si>
  <si>
    <t>1911 property map: 'Cemeteries' lettered with cross symbols over the parcel strip between 'Chorrillo', 'Los Pocitos' and the city edge, ~200 m S of the stored point - the cemetery row named as a landholding.</t>
  </si>
  <si>
    <t>A-1901</t>
  </si>
  <si>
    <t>Chorrillo</t>
  </si>
  <si>
    <t>1911: 'Chorrillo' lettered along the parcel next to 'Los Pocitos' just S of the stored point - the Chorrillo toponym survives in the 1911 tenure record.</t>
  </si>
  <si>
    <t>A-1902</t>
  </si>
  <si>
    <t>1911 property map: the hospital site is inside the pink U.S. property tract lettered ANCON with parcel numbers 5002/5060/5072; no hospital name or symbol. This sheet records ownership, not buildings, so the silence is weak.</t>
  </si>
  <si>
    <t>A-1903</t>
  </si>
  <si>
    <t>1911: point on the C. ANCON parcel 5012; no cemetery name (ownership sheet).</t>
  </si>
  <si>
    <t>A-1904</t>
  </si>
  <si>
    <t>1911: point on the C. Ancon slope parcel; no Quarry Heights name.</t>
  </si>
  <si>
    <t>A-1905</t>
  </si>
  <si>
    <t>1911: point in the ANCON tract parcel 5072 by the railroad, 'S. Miguel Church' lettered E; no hotel name.</t>
  </si>
  <si>
    <t>A-1906</t>
  </si>
  <si>
    <t>1911: the arrabal points fall in a yellow-green parcel lettered 'TR...' at the city edge; no Santa Ana name.</t>
  </si>
  <si>
    <t>A-1907</t>
  </si>
  <si>
    <t>1911: no Cienega name among the city-edge parcel lettering.</t>
  </si>
  <si>
    <t>A-1908</t>
  </si>
  <si>
    <t>1911: point on the ANCON tract; no Malambo name.</t>
  </si>
  <si>
    <t>A-1909</t>
  </si>
  <si>
    <t>1911: no Salsipuedes name in the parcel lettering.</t>
  </si>
  <si>
    <t>A-1910</t>
  </si>
  <si>
    <t>1911: point on the 'DEL...' parcel by La Boca Road; no Guinea name. | RETRACTED 2026-09-14 (CZ-205 Guinea declined - the 1857 'Guinea' lettering reads 'Guinea Grass', a pasture label; the toponym otherwise names a shore point near Balboa, not a settlement). Ignore this row.</t>
  </si>
  <si>
    <t>A-1911</t>
  </si>
  <si>
    <t>1911: no Cocoa Grove name among the city-edge parcels.</t>
  </si>
  <si>
    <t>A-1912</t>
  </si>
  <si>
    <t>1911: point beside the relocated railroad N of San Pablo and Bailamonos; no station or name. Darien dates c.1912, so this is a dated lower bound.</t>
  </si>
  <si>
    <t>A-1913</t>
  </si>
  <si>
    <t>1911: point on the relocated line in the Huerta San Hondo tract, 'C. La Pita' W; no Summit station or name.</t>
  </si>
  <si>
    <t>A-1914</t>
  </si>
  <si>
    <t>1911: point in the water E of Toro Pt light, Playa de Flor tract W; no fort (c.1912 start - dated lower bound).</t>
  </si>
  <si>
    <t>A-1915</t>
  </si>
  <si>
    <t>1911: point in Ancon Harbor water by the breakwater and Las Tres Hermanas; no fort (c.1913 start - dated lower bound).</t>
  </si>
  <si>
    <t>A-1916</t>
  </si>
  <si>
    <t>1911: point on the Chagres meanders beside Que. Madroñal, inside the drawn area but on unparcelled blank paper outside the Zone line; no settlement or name. Weak silence (ownership map).</t>
  </si>
  <si>
    <t>A-1917</t>
  </si>
  <si>
    <t>(dot rows at Cunette, unlabeled)</t>
  </si>
  <si>
    <t>1911: rows of building dots along the old railroad at the stored point between the CUNETTE and EMPIRE labels; the shops are not named on this ownership sheet.</t>
  </si>
  <si>
    <t>A-1918</t>
  </si>
  <si>
    <t>1911: point among the Cunette/Empire building dots; no named building (ownership sheet).</t>
  </si>
  <si>
    <t>A-1919</t>
  </si>
  <si>
    <t>(building dots, unlabeled)</t>
  </si>
  <si>
    <t>1911: building dots on the railroad between CABALLO VIEJO and GORGONA at the stored point; no Cansaloma name.</t>
  </si>
  <si>
    <t>A-1920</t>
  </si>
  <si>
    <t>1911: point among the Gorgona building dots N of the GORGONA label; no named feature.</t>
  </si>
  <si>
    <t>A-1921</t>
  </si>
  <si>
    <t>1911: point beside the CULEBRA tract lettering with W. Culebra, New Culebra and Cow Pens named nearby; building dots only, no named building (ownership sheet).</t>
  </si>
  <si>
    <t>A-1922</t>
  </si>
  <si>
    <t>1911: point among building dots between the CULEBRA lettering and K.54; no chapel or Mt Zion name.</t>
  </si>
  <si>
    <t>A-1923</t>
  </si>
  <si>
    <t>(building dots at Paraiso, unlabeled)</t>
  </si>
  <si>
    <t>1911: building dots W of Spanish Town and N of the PARAISO lettering at the point; the French-era shops are not named.</t>
  </si>
  <si>
    <t>A-1924</t>
  </si>
  <si>
    <t>1911: point on the lock-site tract where the railroad crosses the PEDRO MIGUEL lettering; no camp dots or name.</t>
  </si>
  <si>
    <t>A-1925</t>
  </si>
  <si>
    <t>1911: point on the railroad yards at the city's N edge, 'San Miguel Church', 'El Trapiche' and parcel numbers lettered around it; the Guachapali name is absent from the tenure sheet.</t>
  </si>
  <si>
    <t>A-1926</t>
  </si>
  <si>
    <t>1911: same yard-side point; no Maranon name.</t>
  </si>
  <si>
    <t>A-1927</t>
  </si>
  <si>
    <t>1911: point on the Quebradita / railroad in parcel 5039 NW of C. Sosa; no Cartagenita name or dots.</t>
  </si>
  <si>
    <t>A-1928</t>
  </si>
  <si>
    <t>1911: rows of building dots just SE of the stored point, N of the BALBOA lettering; no Gerig name.</t>
  </si>
  <si>
    <t>A-1929</t>
  </si>
  <si>
    <t>1911: point on blank U.S. property E of the relocated railroad, Tract #14 lettered W; no village or name.</t>
  </si>
  <si>
    <t>A-1930</t>
  </si>
  <si>
    <t>1911: point on the canal line below the Gatun dam and spillway at K.10, Q. Grande de la Ceiba and Q. Vino Tinto Chiquita lettered W; no settlement or name.</t>
  </si>
  <si>
    <t>A-1931</t>
  </si>
  <si>
    <t>1911: point beside small parcels 3d/3e on the Rio Chagres W of the canal line; no Miraflores name. | repointed CZ-210 -&gt; CZ-194 2026-09-14 (merge)</t>
  </si>
  <si>
    <t>A-1932</t>
  </si>
  <si>
    <t>1911: same stored point and result as CZ-210 (duplicate registration).</t>
  </si>
  <si>
    <t>A-1933</t>
  </si>
  <si>
    <t>Palo Matias (tract)</t>
  </si>
  <si>
    <t>1911: the point is inside a giant tract lettered '...O R Q U E T A' over 'P A L O M A T I A S' (spread across the parcel), with 'Las Penitas' and 'Palo Viejo' by the Former Bed S. No village; the 1857 names survive as tract names.</t>
  </si>
  <si>
    <t>A-1934</t>
  </si>
  <si>
    <t>Horqueta (tract)</t>
  </si>
  <si>
    <t>1911: the stored point sits under the spread tract lettering 'HORQUETA' N of the Former Bed of the Chagres, with 'Black Swamp' E; no village symbol - name as tract.</t>
  </si>
  <si>
    <t>A-1935</t>
  </si>
  <si>
    <t>1911: point on a tract boundary between a large lettered tract ('U N... ') and a green 'Z...' tract near Q. Chiquita Arriba and Ahorca Lagarto; no Palenquillo name.</t>
  </si>
  <si>
    <t>A-1936</t>
  </si>
  <si>
    <t>1911: point on Que. Agua Bendita S of Barbacoas and the relocated railroad, San Pablo lettered E; no settlement or name.</t>
  </si>
  <si>
    <t>A-1937</t>
  </si>
  <si>
    <t>R. Mariposa</t>
  </si>
  <si>
    <t>1911: 'R. Mariposa' lettered ~250 m S of the point at the Panama &amp; Chorrera Road crossing; no settlement - the 1857 'Mari Posa' survives as a river name.</t>
  </si>
  <si>
    <t>A-1938</t>
  </si>
  <si>
    <t>Mari Posa (settlement)</t>
  </si>
  <si>
    <t>1911: point on blank U.S. property beside the 'Water Shed' tract; no houses or village name.</t>
  </si>
  <si>
    <t>A-1939</t>
  </si>
  <si>
    <t>1911: point where Qda. Curutu meets the Panama &amp; Chorrera Road near the Rio Mandingo; no settlement or name.</t>
  </si>
  <si>
    <t>A-1940</t>
  </si>
  <si>
    <t>1911: point on the Rio Pedro Miguel beside the Cruces trail and Tract #23, Spanish Town lettered SW; no settlement or name.</t>
  </si>
  <si>
    <t>A-1941</t>
  </si>
  <si>
    <t>CARDENAS (tract)</t>
  </si>
  <si>
    <t>1911: spread tract lettering 'C A R D E N A S' across the large parcel E of the Miraflores tunnel, beginning ~300 m NE of the point - the 1857 settlement name survives as a land tract. No village drawn.</t>
  </si>
  <si>
    <t>A-1942</t>
  </si>
  <si>
    <t>1911: point on the R. Lirio below the Old Line and the Casanga road junction, Lirio Lagoon S; no station or name.</t>
  </si>
  <si>
    <t>A-1943</t>
  </si>
  <si>
    <t>Cocoli (village)</t>
  </si>
  <si>
    <t>1947 zone sheet: the stored village point lies between the Miraflores Locks and the Third Locks excavation; the 'Cocoli' label ~1.3 km SW belongs to the US townsite (CZ-171, split 2026-09-13). The village is gone.</t>
  </si>
  <si>
    <t>A-1944</t>
  </si>
  <si>
    <t>(building marks on Ancon Hill, unlabeled)</t>
  </si>
  <si>
    <t>1909 zone map: rows of building marks on the NE shoulder of Ancon Hill at the stored hospital point; not named. ANCON lettered W at the town dot, P.R.R. Station E.</t>
  </si>
  <si>
    <t>A-1945</t>
  </si>
  <si>
    <t>1909: point on the W hachures of Ancon Hill; no quarry, camp or name (c.1909 start post-dates the compilation).</t>
  </si>
  <si>
    <t>A-1946</t>
  </si>
  <si>
    <t>1909: point on the W slope of Ancon Hill at the hachure edge; no cemetery symbol or name.</t>
  </si>
  <si>
    <t>A-1947</t>
  </si>
  <si>
    <t>1909: point on the railroad N of Ancon Hill; no hotel symbol or name.</t>
  </si>
  <si>
    <t>A-1948</t>
  </si>
  <si>
    <t>(arrabal building marks, unlabeled)</t>
  </si>
  <si>
    <t>1909: building marks and a dotted street pattern on the E foot of Ancon Hill between the hill and the city grid; no quarter names.</t>
  </si>
  <si>
    <t>A-1949</t>
  </si>
  <si>
    <t>1909: no quarter names in or around the city; marks only.</t>
  </si>
  <si>
    <t>A-1950</t>
  </si>
  <si>
    <t>1909: as CZ-200 (stored point on the hill hachures).</t>
  </si>
  <si>
    <t>A-1951</t>
  </si>
  <si>
    <t>1909: as CZ-200.</t>
  </si>
  <si>
    <t>A-1952</t>
  </si>
  <si>
    <t>1909: as CZ-200. | RETRACTED 2026-09-14 (CZ-205 Guinea declined - the 1857 'Guinea' lettering reads 'Guinea Grass', a pasture label; the toponym otherwise names a shore point near Balboa, not a settlement). Ignore this row.</t>
  </si>
  <si>
    <t>A-1953</t>
  </si>
  <si>
    <t>A-1954</t>
  </si>
  <si>
    <t>A-1955</t>
  </si>
  <si>
    <t>1909: no cemetery symbol anywhere on the Ancon Hill slopes; building marks only.</t>
  </si>
  <si>
    <t>A-1956</t>
  </si>
  <si>
    <t>1909: as CZ-198.</t>
  </si>
  <si>
    <t>A-1957</t>
  </si>
  <si>
    <t>1909: point inside the red-hatched future lake under the giant GATUN lettering, a town dot and 'Gatun River' N; no Palenquillo name.</t>
  </si>
  <si>
    <t>A-1958</t>
  </si>
  <si>
    <t>1909: point on an island outline in the future lake S of TABERNILLA, Cano lettered W; no settlement or name.</t>
  </si>
  <si>
    <t>A-1959</t>
  </si>
  <si>
    <t>1909: blank paper between CARABALI RESERVOIR and CAMP ELLIOT on a stream; no name.</t>
  </si>
  <si>
    <t>A-1960</t>
  </si>
  <si>
    <t>1909: blank paper SW of LAS CASCADAS and N of the Zone boundary line; no name.</t>
  </si>
  <si>
    <t>A-1961</t>
  </si>
  <si>
    <t>1909: point at the 'MIRAFLORES T[unnel]' and MIRAFLORES lettering by the spillway and railroad; no Cardenas name.</t>
  </si>
  <si>
    <t>A-1962</t>
  </si>
  <si>
    <t>1909: point at the head of the Rio Obispo between dashed trails, Lirio lettered W and the Continental Divide S; no station or name.</t>
  </si>
  <si>
    <t>A-1963</t>
  </si>
  <si>
    <t>1947 zone sheet: point on the Gaillard Cut bank S of Summit; no built-up tint or name.</t>
  </si>
  <si>
    <t>A-1964</t>
  </si>
  <si>
    <t>1947: point on the Gatun Lake shore where the reservoir arm drowned the site; no settlement or name.</t>
  </si>
  <si>
    <t>A-1965</t>
  </si>
  <si>
    <t>1947: blank land S of lake inlets; no settlement or name.</t>
  </si>
  <si>
    <t>A-1966</t>
  </si>
  <si>
    <t>1947: point on a peninsula of Madden Lake N of Madden Dam; the hamlet site is drowned or empty and unnamed.</t>
  </si>
  <si>
    <t>A-1967</t>
  </si>
  <si>
    <t>(built-up tint, unlabeled)</t>
  </si>
  <si>
    <t>1947: a small yellow built-up triangle at the stored point between the Gaillard Cut and the railroad fork, with 'Paraiso' lettered E - the shops site is still built-up, unnamed.</t>
  </si>
  <si>
    <t>A-1968</t>
  </si>
  <si>
    <t>1947: the point sits on the railroad between two yellow built-up patches at Pedro Miguel, Red Tank lettered E; no labor-camp name.</t>
  </si>
  <si>
    <t>A-1969</t>
  </si>
  <si>
    <t>1947: station dot + 'Frijoles' lettered on the relocated lake-shore line ~150 m NW of the stored New Frijoles point. The relocated-line station survives in 1947 under the plain name.</t>
  </si>
  <si>
    <t>A-1970</t>
  </si>
  <si>
    <t>1947: point in Gatun Lake water beside the canal channel S of Gatun Dam; no land, no settlement.</t>
  </si>
  <si>
    <t>A-1971</t>
  </si>
  <si>
    <t>1947: point in Gatun Lake water SW of Gatun Dam; drowned. | repointed CZ-210 -&gt; CZ-194 2026-09-14 (merge)</t>
  </si>
  <si>
    <t>A-1972</t>
  </si>
  <si>
    <t>1947: same stored point and result as CZ-210 (duplicate registration).</t>
  </si>
  <si>
    <t>A-1973</t>
  </si>
  <si>
    <t>1947: point in open Gatun Lake water among small islands; drowned.</t>
  </si>
  <si>
    <t>A-1974</t>
  </si>
  <si>
    <t>1947: point in Gatun Lake water beside a small island; drowned.</t>
  </si>
  <si>
    <t>A-1975</t>
  </si>
  <si>
    <t>1947: point in Gatun Lake water W of Juan Gallegos Island; drowned.</t>
  </si>
  <si>
    <t>A-1976</t>
  </si>
  <si>
    <t>1947: point on a narrow lake peninsula S of the canal channel; no settlement or name.</t>
  </si>
  <si>
    <t>A-1977</t>
  </si>
  <si>
    <t>1947: blank hill shading between two lake arms; no settlement or name.</t>
  </si>
  <si>
    <t>A-1978</t>
  </si>
  <si>
    <t>1947: point on the river W of Empire; no settlement or name.</t>
  </si>
  <si>
    <t>A-1979</t>
  </si>
  <si>
    <t>1947: point on the Pedro Miguel River lettering N of Paraiso; no settlement or name.</t>
  </si>
  <si>
    <t>A-1980</t>
  </si>
  <si>
    <t>1947: the stored point falls on the railroad at the edge of the yellow built-up block of Fort Clayton (FORT lettered E); the Cardenas name is gone - the tract has become the fort.</t>
  </si>
  <si>
    <t>A-1981</t>
  </si>
  <si>
    <t>1947: point at a road/railroad junction S of Summit, Gold Hill S; no station or name.</t>
  </si>
  <si>
    <t>A-1982</t>
  </si>
  <si>
    <t>1947: point on the Balboa Harbor shore railroad by Sosa Hill 370; no settlement or name.</t>
  </si>
  <si>
    <t>A-1983</t>
  </si>
  <si>
    <t>(within the Cemeteries parcel)</t>
  </si>
  <si>
    <t>1911: the Chinese cemetery point falls in the parcel lettered 'Cemeteries' with cross symbols; no Chinese designation.</t>
  </si>
  <si>
    <t>A-1984</t>
  </si>
  <si>
    <t>1947 Cristobal-Colon-Mount Hope sheet: SILVER CITY lettered over the island-named street grid at the CZ-211 position; the CZ-158 stored point (from the 1:100,000 zone-sheet read) falls ~800 m E on blank ground by the Folks River. DUPLICATE FLAG: CZ-158 and CZ-211 are the same town.</t>
  </si>
  <si>
    <t>A-1985</t>
  </si>
  <si>
    <t>NEW CRISTOBAL</t>
  </si>
  <si>
    <t>1947 city sheet: 'NEW CRISTOBAL' spread lettering across the Colon grid ~450 m W of the stored point, which falls on the sheet's numbered civic legend in the bay margin.</t>
  </si>
  <si>
    <t>A-1986</t>
  </si>
  <si>
    <t>Map No.1 (1905-06): the stored point is on the contoured hills E of the MOUNT HOPE railroad station; small grave-like marks dot the slopes 200-400 m N, but nothing is labeled cemetery, so the drawn marks cannot be confirmed.</t>
  </si>
  <si>
    <t>A-1987</t>
  </si>
  <si>
    <t>1909 zone map: point on blank ground W of the railroad beside the MOUNT HOPE lettering; building dots along the line, no cemetery symbol or name.</t>
  </si>
  <si>
    <t>A-1988</t>
  </si>
  <si>
    <t>1911 property map: point in the brown parcels 5013/5014 W of the MT HOPE lettering; no cemetery name (ownership sheet).</t>
  </si>
  <si>
    <t>A-1989</t>
  </si>
  <si>
    <t>1947 zone sheet: 'Silver City' lettered over the yellow built-up block at the stored point. | repointed CZ-211 -&gt; CZ-158 2026-09-14 (merge)</t>
  </si>
  <si>
    <t>A-1990</t>
  </si>
  <si>
    <t>1947 zone sheet: point on the railroad W of the Silver City block; 'Camp Coiner' lettered E, no Camp Bierd name at this scale.</t>
  </si>
  <si>
    <t>A-1991</t>
  </si>
  <si>
    <t>1947 zone sheet: point below the 'Mt. Hope' lettering on blank ground; no cemetery symbol at 1:100,000.</t>
  </si>
  <si>
    <t>A-1992</t>
  </si>
  <si>
    <t>1911 property map: point inside the Cristobal/New Colon block grid N of the Hospital, Colon lighthouse W; no fort or De Lesseps name. Consistent with a c.1911 start at the earliest.</t>
  </si>
  <si>
    <t>A-1993</t>
  </si>
  <si>
    <t>1947 zone sheet: point on the yellow built-up tint under the 'New Cristobal' lettering; no fort symbol or name at 1:100,000.</t>
  </si>
  <si>
    <t>A-1994</t>
  </si>
  <si>
    <t>1886 Plan General map (1:50,000): CHAGRES lettered with red town blocks at the river mouth opposite Fort Lorenzo.</t>
  </si>
  <si>
    <t>A-1995</t>
  </si>
  <si>
    <t>1886 Plan General map (1:50,000): 'Lion Hill' lettered with red station buildings on the railroad between Tiger Hill and Ahorca Lagarto. Missed by the 2026-09-14 profile read (the profile omits it).</t>
  </si>
  <si>
    <t>A-1996</t>
  </si>
  <si>
    <t>1886 Plan General map (1:50,000): 'Las Penitas' lettered with building marks on the Chagres bend near K.19. LIFESPAN FLAG: the workbook start is pre-1908; this 1886 read pushes it back.</t>
  </si>
  <si>
    <t>A-1997</t>
  </si>
  <si>
    <t>1886 Plan General map (1:50,000): 'Cruces' lettered with red village marks on the Rio Chagres N of Gamboa.</t>
  </si>
  <si>
    <t>A-1998</t>
  </si>
  <si>
    <t>1886 Plan General map (1:50,000): 'Gamboa' lettered with building marks at the Chagres-Obispo confluence.</t>
  </si>
  <si>
    <t>A-1999</t>
  </si>
  <si>
    <t>1886 Plan General map (1:50,000): 'Cocoli' lettered as a place name S of the line near K.63, with 'Rio Cocoli' and 'C. Cocoli' nearby.</t>
  </si>
  <si>
    <t>A-2000</t>
  </si>
  <si>
    <t>Hopital</t>
  </si>
  <si>
    <t>1886 Plan General map (1:50,000): 'Hopital' lettered over building marks on the road W of Panama below C. Ancon - the French hospital.</t>
  </si>
  <si>
    <t>A-2001</t>
  </si>
  <si>
    <t>C. Ancon</t>
  </si>
  <si>
    <t>1886 Plan General map (1:50,000): 'C. Ancon' lettered as a hill with scattered buildings along the road to the Hopital; no settlement name.</t>
  </si>
  <si>
    <t>A-2002</t>
  </si>
  <si>
    <t>1886 Plan General map (1:50,000): 'Rio Caranali' (Carabali) lettered S of Gorgona; hydronym only, no settlement.</t>
  </si>
  <si>
    <t>A-2003</t>
  </si>
  <si>
    <t>1886 Plan General map (1:50,000): no settlement marks or name at the river.</t>
  </si>
  <si>
    <t>A-2004</t>
  </si>
  <si>
    <t>Rio Mari Posa</t>
  </si>
  <si>
    <t>1886 Plan General map (1:50,000): 'Rio Mari Posa' lettered S of Obispo - the 1857 settlement name survives as a river; no settlement.</t>
  </si>
  <si>
    <t>A-2005</t>
  </si>
  <si>
    <t>1886 Plan General map (1:50,000): no settlement marks or name along the river.</t>
  </si>
  <si>
    <t>A-2006</t>
  </si>
  <si>
    <t>Rio Dominica</t>
  </si>
  <si>
    <t>1886 Plan General map (1:50,000): 'Rio Dominica' lettered N of Mira Flores; hydronym only.</t>
  </si>
  <si>
    <t>A-2007</t>
  </si>
  <si>
    <t>Dominica (settlement)</t>
  </si>
  <si>
    <t>A-2008</t>
  </si>
  <si>
    <t>Rio Cardenas</t>
  </si>
  <si>
    <t>1886 Plan General map (1:50,000): 'Rio Cardenas' lettered between Rio Grande and Corozal; hydronym only.</t>
  </si>
  <si>
    <t>A-2009</t>
  </si>
  <si>
    <t>Cardenas (settlement)</t>
  </si>
  <si>
    <t>A-2010</t>
  </si>
  <si>
    <t>1886 Plan General map (1:50,000): 'Caimito Mulato' lettered as a stream S of San Pablo; no settlement.</t>
  </si>
  <si>
    <t>A-2011</t>
  </si>
  <si>
    <t>1886 Plan General map (1:50,000): as CZ-005 - the compound name appears only as a stream.</t>
  </si>
  <si>
    <t>A-2012</t>
  </si>
  <si>
    <t>1886 Plan General map (1:50,000): 'Gatuncillo' lettered as a river E of Gatun; hydronym only.</t>
  </si>
  <si>
    <t>A-2013</t>
  </si>
  <si>
    <t>Gatuncillo (settlement)</t>
  </si>
  <si>
    <t>A-2014</t>
  </si>
  <si>
    <t>C. Sta Cruz</t>
  </si>
  <si>
    <t>1886 Plan General map (1:50,000): a small hill label read as 'C. Sta Cruz' beside C. Obispo near Gamboa; no village.</t>
  </si>
  <si>
    <t>A-2015</t>
  </si>
  <si>
    <t>(red works blocks at Paraiso, unlabeled)</t>
  </si>
  <si>
    <t>1886 Plan General map (1:50,000): red works blocks drawn at K.57-58 beside PARAISO; not labeled as shops.</t>
  </si>
  <si>
    <t>A-2016</t>
  </si>
  <si>
    <t>(arrabal blocks, unlabeled)</t>
  </si>
  <si>
    <t>1886 Plan General map (1:50,000): house blocks drawn W of the walled city toward the Hopital road; no quarter names.</t>
  </si>
  <si>
    <t>A-2017</t>
  </si>
  <si>
    <t>1886 Plan General map (1:50,000): the K.33-K.36 reach names TABERNILLA and SAN PABLO with building marks; no Barbacoas. The 1883 worksite plan still named the 'Poste de Barbacoas'.</t>
  </si>
  <si>
    <t>A-2018</t>
  </si>
  <si>
    <t>1886 Plan General map (1:50,000): Buhio Soldado-Frijoles reach searched; no name.</t>
  </si>
  <si>
    <t>A-2019</t>
  </si>
  <si>
    <t>1886 Plan General map (1:50,000): CULEBRA-PARAISO reach names C. Escobar, C. Nitro, C. Culebra; no Cucaracha.</t>
  </si>
  <si>
    <t>A-2020</t>
  </si>
  <si>
    <t>1886 Plan General map (1:50,000): Culebra reach searched; no name.</t>
  </si>
  <si>
    <t>A-2021</t>
  </si>
  <si>
    <t>1886 Plan General map (1:50,000): only EMPERADOR lettered; no Alto Emperador.</t>
  </si>
  <si>
    <t>A-2022</t>
  </si>
  <si>
    <t>1886 Plan General map (1:50,000): Gorgona reach (K.39-43) drawn with red works; no Caballo Viejo name.</t>
  </si>
  <si>
    <t>A-2023</t>
  </si>
  <si>
    <t>1886 Plan General map (1:50,000): Gorgona reach searched; no name.</t>
  </si>
  <si>
    <t>A-2024</t>
  </si>
  <si>
    <t>1886 Plan General map (1:50,000): Rio Curundu / La Boca reach names LaBoca, C. Sosa, Gavilan; no Cartagenita.</t>
  </si>
  <si>
    <t>A-2025</t>
  </si>
  <si>
    <t>1886 Plan General map (1:50,000): Buhio Soldado-Frijoles reach names Buena Vista, Santana, Carmen Massias; no Barro Colorado.</t>
  </si>
  <si>
    <t>A-2026</t>
  </si>
  <si>
    <t>1886 Plan General map (1:50,000): W of Gatun the map names Jaramillos, Calle Bruja, Sierra Mindi; no Rio Indio settlement.</t>
  </si>
  <si>
    <t>A-2027</t>
  </si>
  <si>
    <t>1886 Plan General map (1:50,000): Gatun reach searched; no Atlantic Miraflores.</t>
  </si>
  <si>
    <t>A-2028</t>
  </si>
  <si>
    <t>1886 Plan General map (1:50,000): as CZ-194 (duplicate registration). | repointed CZ-210 -&gt; CZ-194 2026-09-14 (merge)</t>
  </si>
  <si>
    <t>A-2029</t>
  </si>
  <si>
    <t>1886 Plan General map (1:50,000): only 'Palo Matias' lettered at K.18; no Nuevo.</t>
  </si>
  <si>
    <t>A-2030</t>
  </si>
  <si>
    <t>1886 Plan General map (1:50,000): Obispo-Mandingo reach searched; no name.</t>
  </si>
  <si>
    <t>A-2031</t>
  </si>
  <si>
    <t>1886 Plan General map (1:50,000): Obispo-Culebra reach searched; no name.</t>
  </si>
  <si>
    <t>A-2032</t>
  </si>
  <si>
    <t>1886 Plan General map (1:50,000): Panama's N edge drawn; no Guachapali name.</t>
  </si>
  <si>
    <t>A-2033</t>
  </si>
  <si>
    <t>1886 Plan General map (1:50,000): no quarter names in Panama.</t>
  </si>
  <si>
    <t>A-2034</t>
  </si>
  <si>
    <t>A-2035</t>
  </si>
  <si>
    <t>A-2036</t>
  </si>
  <si>
    <t>A-2037</t>
  </si>
  <si>
    <t>A-2038</t>
  </si>
  <si>
    <t>A-2039</t>
  </si>
  <si>
    <t>1886 Plan General map (1:50,000): no quarter names in Panama. | RETRACTED 2026-09-14 (CZ-205 Guinea declined - the 1857 'Guinea' lettering reads 'Guinea Grass', a pasture label; the toponym otherwise names a shore point near Balboa, not a settlement). Ignore this row.</t>
  </si>
  <si>
    <t>A-2040</t>
  </si>
  <si>
    <t>1886 Plan General map (1:50,000): no cemetery symbol W of the city at this scale.</t>
  </si>
  <si>
    <t>A-2041</t>
  </si>
  <si>
    <t>1886 Plan General map (1:50,000): no cemetery symbol on C. Ancon.</t>
  </si>
  <si>
    <t>A-2042</t>
  </si>
  <si>
    <t>A-2043</t>
  </si>
  <si>
    <t>1886 Plan General map (1:50,000): 'Monkey Hill' lettered on the hill beside the line; no cemetery symbol.</t>
  </si>
  <si>
    <t>A-2044</t>
  </si>
  <si>
    <t>1883 Compagnie worksite plan (7 insets, 1:20,000): the Emperador et Culebra inset names EMPERADOR, Cerrito, C. du Campement, C. Lapita and the Grande/Petite chute de l'Obispo; no Alto Emperador.</t>
  </si>
  <si>
    <t>A-2045</t>
  </si>
  <si>
    <t>Cerrito</t>
  </si>
  <si>
    <t>1883 Compagnie worksite plan (7 insets, 1:20,000): 'Cerrito' lettered beside the red campement buildings N of EMPERADOR. Possible ancestor of the Cerro camp (CZ-079) - identity unconfirmed.</t>
  </si>
  <si>
    <t>A-2046</t>
  </si>
  <si>
    <t>1883 Compagnie worksite plan (7 insets, 1:20,000): Culebra part of the inset names CULEBRA, Campement, C. Culebra, C. Lirio, C. Escobar, Rio Grande; no Enterprise.</t>
  </si>
  <si>
    <t>A-2047</t>
  </si>
  <si>
    <t>1883 Compagnie worksite plan (7 insets, 1:20,000): the inset ends at Rio Grande E of Culebra; no Cucaracha, possibly just beyond the inset.</t>
  </si>
  <si>
    <t>A-2048</t>
  </si>
  <si>
    <t>1883 Compagnie worksite plan (7 insets, 1:20,000): the Bas-Obispo inset names BAS-OBISPO (Campement), C. Obispo and C. Corrosita; no Haut Obispo.</t>
  </si>
  <si>
    <t>A-2049</t>
  </si>
  <si>
    <t>1883 Compagnie worksite plan (7 insets, 1:20,000): the Gorgona inset names GORGONA (Ambulances, Campement), MATACHIN, Q. Quatro Calles, C. Arena, C. Venado; no Caballo Viejo.</t>
  </si>
  <si>
    <t>A-2050</t>
  </si>
  <si>
    <t>1883 Compagnie worksite plan (7 insets, 1:20,000): Gorgona inset searched; no name.</t>
  </si>
  <si>
    <t>A-2051</t>
  </si>
  <si>
    <t>1883 Compagnie worksite plan (7 insets, 1:20,000): Gorgona inset searched; no Carabali river or settlement lettered.</t>
  </si>
  <si>
    <t>A-2052</t>
  </si>
  <si>
    <t>las dos Hermanas</t>
  </si>
  <si>
    <t>Garella 1844 carte (1:200,000; native-resolution tiles read 2026-09-14): 'las dos Hermanas' lettered with a settlement dot on the Chagres where the survey line meets the river at station 18. Earlier than the 1886 read that registered the place; LIFESPAN FLAG (start pre-1886 -&gt; pre-1844).</t>
  </si>
  <si>
    <t>A-2053</t>
  </si>
  <si>
    <t>Palo horqueto</t>
  </si>
  <si>
    <t>Garella 1844 carte (1:200,000; native-resolution tiles read 2026-09-14): 'Palo horqueto' lettered with a dot on the Chagres bend upstream of las dos Hermanas.</t>
  </si>
  <si>
    <t>A-2054</t>
  </si>
  <si>
    <t>Varro colorado</t>
  </si>
  <si>
    <t>Garella 1844 carte (1:200,000; native-resolution tiles read 2026-09-14): 'Varro colorado' (Barro Colorado) lettered on the river between Agua salud and Palenquilla. Hill or settlement not distinguished.</t>
  </si>
  <si>
    <t>A-2055</t>
  </si>
  <si>
    <t>Pena blanca</t>
  </si>
  <si>
    <t>Garella 1844 carte (1:200,000; native-resolution tiles read 2026-09-14): 'Pena blanca' lettered with a dot beside Vamos vamos. LIFESPAN FLAG (start c.1862 -&gt; pre-1844).</t>
  </si>
  <si>
    <t>A-2056</t>
  </si>
  <si>
    <t>Marais de Juan Gallegua</t>
  </si>
  <si>
    <t>Garella 1844 carte (1:200,000; native-resolution tiles read 2026-09-14): 'Marais de Juan Gallegua' - the Juan Gallego name as a marsh N of the river; no settlement.</t>
  </si>
  <si>
    <t>A-2057</t>
  </si>
  <si>
    <t>Mame</t>
  </si>
  <si>
    <t>Garella 1844 carte (1:200,000; native-resolution tiles read 2026-09-14): 'Mame' lettered on the Chagres below la Gorgona. LIFESPAN FLAG (start c.1855 -&gt; pre-1844).</t>
  </si>
  <si>
    <t>A-2058</t>
  </si>
  <si>
    <t>Garella 1844 carte (1:200,000; native-resolution tiles read 2026-09-14): 'San Pablo' lettered beside Barbacoa on the Chagres. LIFESPAN FLAG (start c.1855 -&gt; pre-1844).</t>
  </si>
  <si>
    <t>A-2059</t>
  </si>
  <si>
    <t>Garella 1844 carte (1:200,000; native-resolution tiles read 2026-09-14): 'Cansaloma' lettered along a tributary beside la Gorgona - the name as a stream in 1844.</t>
  </si>
  <si>
    <t>A-2060</t>
  </si>
  <si>
    <t>Frijol</t>
  </si>
  <si>
    <t>Garella 1844 carte (1:200,000; native-resolution tiles read 2026-09-14): 'Frijol' lettered as a river N of Tabernilla; hydronym only.</t>
  </si>
  <si>
    <t>A-2061</t>
  </si>
  <si>
    <t>Casa Rio de Indio</t>
  </si>
  <si>
    <t>Garella 1844 carte (1:200,000; native-resolution tiles read 2026-09-14): 'Casa Rio de Indio' lettered with a dot on the lower Chagres W of le Gatun - a house at the Rio Indio mouth, the 1857 'Rio Indio Settlement' in 1844.</t>
  </si>
  <si>
    <t>A-2062</t>
  </si>
  <si>
    <t>Garella 1844 carte (1:200,000; native-resolution tiles read 2026-09-14): CHAGRES lettered with village marks beside Fort San Lorenzo.</t>
  </si>
  <si>
    <t>A-2063</t>
  </si>
  <si>
    <t>I. Taboga</t>
  </si>
  <si>
    <t>Garella 1844 carte (1:200,000; native-resolution tiles read 2026-09-14): I. Taboga drawn with village marks on the island.</t>
  </si>
  <si>
    <t>A-2064</t>
  </si>
  <si>
    <t>Cocoli (river)</t>
  </si>
  <si>
    <t>Garella 1844 carte (1:200,000; native-resolution tiles read 2026-09-14): 'Cocoli' lettered as a river W of Rio Grande; no settlement.</t>
  </si>
  <si>
    <t>A-2065</t>
  </si>
  <si>
    <t>Punta Guinea</t>
  </si>
  <si>
    <t>Garella 1844 carte (1:200,000; native-resolution tiles read 2026-09-14): 'Punta Guinea' lettered on the shore W of Panama - the Guinea toponym in 1844. | RETRACTED 2026-09-14 (CZ-205 Guinea declined - the 1857 'Guinea' lettering reads 'Guinea Grass', a pasture label; the toponym otherwise names a shore point near Balboa, not a settlement). Ignore this row.</t>
  </si>
  <si>
    <t>A-2066</t>
  </si>
  <si>
    <t>Cerro Lancon</t>
  </si>
  <si>
    <t>Garella 1844 carte (1:200,000; native-resolution tiles read 2026-09-14): 'Cerro Lancon' (Ancon hill, 201 m) lettered beside the city; no settlement.</t>
  </si>
  <si>
    <t>A-2067</t>
  </si>
  <si>
    <t>Garella 1844 carte (1:200,000; native-resolution tiles read 2026-09-14): the reach between las dos Hermanas and Bajo soldado names Palo horqueto, Marais de Juan Gallegua, Vamos vamos and Pena blanca; no Ahorca Lagarto.</t>
  </si>
  <si>
    <t>A-2068</t>
  </si>
  <si>
    <t>Garella 1844 carte (1:200,000; native-resolution tiles read 2026-09-14): same reach; no Palo Matias.</t>
  </si>
  <si>
    <t>A-2069</t>
  </si>
  <si>
    <t>A-2070</t>
  </si>
  <si>
    <t>Garella 1844 carte (1:200,000; native-resolution tiles read 2026-09-14): Tabernilla-Barbacoa reach names Barbacoa, San Pablo, Baila mona; no Pedro Bernal.</t>
  </si>
  <si>
    <t>A-2071</t>
  </si>
  <si>
    <t>Garella 1844 carte (1:200,000; native-resolution tiles read 2026-09-14): Panama drawn as a small walled symbol; no arrabal named at 1:200,000.</t>
  </si>
  <si>
    <t>A-2072</t>
  </si>
  <si>
    <t>Cansa-Loma</t>
  </si>
  <si>
    <t>retro text probe 2026-09-14</t>
  </si>
  <si>
    <t>Land-title table (v00009/p125): estate 'Buena Vista y Cansa-Loma' - the 1862 village survives as part of a tract name. [Canal Record (UFDC full text, all 28 volumes, quoted phrase); Cansaloma:0; Cansa Loma:2]</t>
  </si>
  <si>
    <t>A-2073</t>
  </si>
  <si>
    <t>10 pages from 1920 (v00012/p114): 'Construction of 6 transformer houses, Silver City'; 'Grading, Silver City, Mount Hope'. [Canal Record (UFDC full text, all 28 volumes, quoted phrase); Silver City:10] | repointed CZ-211 -&gt; CZ-158 2026-09-14 (merge) | RETRACTED 2026-09-14 (merge CZ-158): duplicate of a claim already on the survivor. Ignore this row.</t>
  </si>
  <si>
    <t>A-2074</t>
  </si>
  <si>
    <t>471 pages 1907-1941 (first v00002/p10, index 'Ancon Hospital - Description of'); insane wards moved there from Miraflores. [Canal Record (UFDC full text, all 28 volumes, quoted phrase); Ancon Hospital:471]</t>
  </si>
  <si>
    <t>A-2075</t>
  </si>
  <si>
    <t>Ancon cemetery</t>
  </si>
  <si>
    <t>13 pages from 1907 (v00002/p203): decorating American graves in Ancon cemetery on Decoration Day; 'Ancon cemetery road'. [Canal Record (UFDC full text, all 28 volumes, quoted phrase); Ancon Cemetery:13]</t>
  </si>
  <si>
    <t>A-2076</t>
  </si>
  <si>
    <t>ZERO pages for 'Chinese Cemetery' across the official weekly, while 'Ancon cemetery' has 13 and 'Mount Hope cemetery' 15 - the Chinese burial ground is labeled on the 1904 and 1906 maps but never named in the Record. [Canal Record (UFDC full text, all 28 volumes, quoted phrase); Chinese Cemetery:0]</t>
  </si>
  <si>
    <t>A-2077</t>
  </si>
  <si>
    <t>7 pages; six are 'the new Empire-Gamboa/Paraiso highway' (adjective). One genuine: claims docket v00009/p329 (1915-16) names property at 'New Empire, Camacho, and Golden Green'. [Canal Record (UFDC full text, all 28 volumes, quoted phrase); New Empire:7]</t>
  </si>
  <si>
    <t>A-2078</t>
  </si>
  <si>
    <t>Cerro Gordo</t>
  </si>
  <si>
    <t>Census population table (v00007/p405, 1913-14) lists 'Cerro Gordo' among Zone villages with Hongkong, Buena Vista, Caballo Viejo and Cartagenita. Other hits are a steamship. [Canal Record (UFDC full text, all 28 volumes, quoted phrase); Cerro Gordo:3]</t>
  </si>
  <si>
    <t>A-2079</t>
  </si>
  <si>
    <t>Curundu River</t>
  </si>
  <si>
    <t>12 pages from 1910: 'Curundu River diversion', 'a branch of the Curundu River' - the river, not the later district. [Canal Record (UFDC full text, all 28 volumes, quoted phrase); Curundu:12]</t>
  </si>
  <si>
    <t>A-2080</t>
  </si>
  <si>
    <t>ZERO pages. [Canal Record (UFDC full text, all 28 volumes, quoted phrase); Coco Solito:0]</t>
  </si>
  <si>
    <t>A-2081</t>
  </si>
  <si>
    <t>55 pages. The 1908 hit is 'the new Cristobal wharf' (adjective); the townsite appears from 1917 (v00009/p52: four-family houses for employees at New Cristobal) through 1926-27 (new family quarters). [Canal Record (UFDC full text, all 28 volumes, quoted phrase); New Cristobal:55]</t>
  </si>
  <si>
    <t>A-2082</t>
  </si>
  <si>
    <t>ZERO pages. [Canal Record (UFDC full text, all 28 volumes, quoted phrase); Lacona:0]</t>
  </si>
  <si>
    <t>A-2083</t>
  </si>
  <si>
    <t>The only 'Jamaica Town' pages (v00007/p312, v00008/p476) list it in the Pacific district between Paraiso and Spanish Town - a third, Pacific-side Jamaica Town, not Gorgona's. Gorgona's quarter is never named. [Canal Record (UFDC full text, all 28 volumes, quoted phrase); Jamaica Town:2] | note corrected 2026-09-15: the two pages are Gatun's former village (1913-14) and a Paraiso-district table entry (1915-16) - neither is Gorgona's quarter, so the negative stands.</t>
  </si>
  <si>
    <t>A-2084</t>
  </si>
  <si>
    <t>Jamaica Town (Gatun)</t>
  </si>
  <si>
    <t>The only 'Jamaica Town' pages list a Pacific-side quarter between Paraiso and Spanish Town; Gatun's quarter is never named. [Canal Record (UFDC full text, all 28 volumes, quoted phrase); Jamaica Town:2] | RETRACTED 2026-09-15: contradicted - v00007/p312 names Gatun's 'former village known as Jamaica-town' (A-2306). Ignore this row.</t>
  </si>
  <si>
    <t>A-2085</t>
  </si>
  <si>
    <t>13 pages 1909-1915: the fowl yard 'near Bishop's Hollow, between the Ancon Hospital road and the lower road'; club meeting at a home in Bishop's Hollow; launch timetable stop 'BISHOPS HOLLOW'. [Canal Record (UFDC full text, all 28 volumes, quoted phrase); Bishop's Hollow:12; Bishops Hollow:1]</t>
  </si>
  <si>
    <t>A-2086</t>
  </si>
  <si>
    <t>ZERO pages - known only from a worker's letter. [Canal Record (UFDC full text, all 28 volumes, quoted phrase); Banana Walk:0]</t>
  </si>
  <si>
    <t>A-2087</t>
  </si>
  <si>
    <t>Culebra penitentiary</t>
  </si>
  <si>
    <t>18 pages from 1907: 'confinement at the Culebra penitentiary, and there are on an average one hundred prisoners'; sentences 'to the penitentiary at Culebra'. [Canal Record (UFDC full text, all 28 volumes, quoted phrase); Culebra penitentiary:14; penitentiary at Culebra:4]</t>
  </si>
  <si>
    <t>A-2088</t>
  </si>
  <si>
    <t>Barro Colorado Abajo</t>
  </si>
  <si>
    <t>4 pages 1912-13: Joint Land Commission hearings and award on 'the estate of Barro Colorado Abajo' - the village's lands claimed and paid for. [Canal Record (UFDC full text, all 28 volumes, quoted phrase); Barro Colorado Abajo:4]</t>
  </si>
  <si>
    <t>A-2089</t>
  </si>
  <si>
    <t>ZERO pages for the settlement phrases; the name survives only in the estate 'Rio Indio y Mindi' in land-title tables. [Canal Record (UFDC full text, all 28 volumes, quoted phrase); Rio Indio settlement:0; Indio Settlement:0]</t>
  </si>
  <si>
    <t>A-2090</t>
  </si>
  <si>
    <t>ZERO pages. [Canal Record (UFDC full text, all 28 volumes, quoted phrase); Palo Matias Nuevo:0]</t>
  </si>
  <si>
    <t>A-2091</t>
  </si>
  <si>
    <t>Palo Horqueta y Matias</t>
  </si>
  <si>
    <t>Land-title table (v00009/p123): estate 'Palo Horqueta y Matias'. [Canal Record (UFDC full text, all 28 volumes, quoted phrase); Palo Horqueta:2; Horqueta:2]</t>
  </si>
  <si>
    <t>A-2092</t>
  </si>
  <si>
    <t>Palenquilla and Frijol Grande</t>
  </si>
  <si>
    <t>'The lands known as Palenquilla and Frijol Grande, near the village of Frijoles' (v00001/p298, 1908); Joint Land Commission award 1912-13. DUPLICATE of CZ-217. [Canal Record (UFDC full text, all 28 volumes, quoted phrase); Palenquillo:3; Palenquilla:3]</t>
  </si>
  <si>
    <t>A-2093</t>
  </si>
  <si>
    <t>ZERO pages. [Canal Record (UFDC full text, all 28 volumes, quoted phrase); Pedro Bernal:0]</t>
  </si>
  <si>
    <t>A-2094</t>
  </si>
  <si>
    <t>Mari Posa / Mariposa</t>
  </si>
  <si>
    <t>ZERO pages for either form. [Canal Record (UFDC full text, all 28 volumes, quoted phrase); Mari Posa:0; Mariposa:0]</t>
  </si>
  <si>
    <t>A-2095</t>
  </si>
  <si>
    <t>ZERO pages. [Canal Record (UFDC full text, all 28 volumes, quoted phrase); Noreza:0]</t>
  </si>
  <si>
    <t>A-2096</t>
  </si>
  <si>
    <t>Dominica River</t>
  </si>
  <si>
    <t>v00007/p32 (1913): 'People living on the watersheds of the Caimitillo, Cameron, and Dominica Rivers will be required to tear down or remove their houses on or before October 1' - the name as a river, and a depopulation order for the people living along it. [Canal Record (UFDC full text, all 28 volumes, quoted phrase); Dominica:10]</t>
  </si>
  <si>
    <t>A-2097</t>
  </si>
  <si>
    <t>Cardenas Hill / Rio Cardenas</t>
  </si>
  <si>
    <t>102 pages from 1907: 'Cardenas Hills', 'dykes south of Cardenas Hill', the Cardenas River - never a settlement. [Canal Record (UFDC full text, all 28 volumes, quoted phrase); Cardenas:102]</t>
  </si>
  <si>
    <t>A-2098</t>
  </si>
  <si>
    <t>Half Way House / La Vuella</t>
  </si>
  <si>
    <t>ZERO pages for all three forms. [Canal Record (UFDC full text, all 28 volumes, quoted phrase); Half Way House:0; Halfway House:0; La Vuella:0]</t>
  </si>
  <si>
    <t>A-2099</t>
  </si>
  <si>
    <t>v00029/p5 (1914): health-office census of 'the more thickly populated districts of Guachapali, Maranon, the barrio of Calidonia, and Chorrillo'. [Canal Record (UFDC full text, all 28 volumes, quoted phrase); Maranon:13; Marañon:13]</t>
  </si>
  <si>
    <t>A-2100</t>
  </si>
  <si>
    <t>9 pages from 1907: outing to 'Cocoa Grove and Palm Beach'; '22 acres of land in the section commonly known as Cocoa Grove, located between the beach and the Balboa road, near the Panamanian cemetery'. [Canal Record (UFDC full text, all 28 volumes, quoted phrase); Cocoa Grove:9]</t>
  </si>
  <si>
    <t>A-2101</t>
  </si>
  <si>
    <t>23 pages from 1912: 'the new Chorrillo addition to the city of Panama' - the later district that took the spring's name. [Canal Record (UFDC full text, all 28 volumes, quoted phrase); Chorrillo:23]</t>
  </si>
  <si>
    <t>A-2102</t>
  </si>
  <si>
    <t>Panamanian cemetery</t>
  </si>
  <si>
    <t>Named in passing in a Cocoa Grove land notice: '22 acres... between the beach and the Balboa road, near the Panamanian cemetery'. The specific phrases 'Catholic/Hebrew/foreign cemetery' return zero pages. [Canal Record (UFDC full text, all 28 volumes, quoted phrase); Catholic cemetery:0; Hebrew cemetery:0; foreign cemetery:0]</t>
  </si>
  <si>
    <t>A-2103</t>
  </si>
  <si>
    <t>Santa Ana plaza</t>
  </si>
  <si>
    <t>96 pages from 1908: watering trough at Santa Ana plaza; tramway branch 'from Central avenue at Santa Ana Plaza'. [Canal Record (UFDC full text, all 28 volumes, quoted phrase); Santa Ana:96]</t>
  </si>
  <si>
    <t>A-2104</t>
  </si>
  <si>
    <t>Cienega</t>
  </si>
  <si>
    <t>ZERO pages. [Canal Record (UFDC full text, all 28 volumes, quoted phrase); Cienega:0]</t>
  </si>
  <si>
    <t>A-2105</t>
  </si>
  <si>
    <t>Malambo district</t>
  </si>
  <si>
    <t>v00006/p259 (1912): commission 'assessed the damage done by a conflagration in the Malambo district of the city of Panama in 1906, which, it was claimed, was started by fumigation' - the district burned during US sanitation work. [Canal Record (UFDC full text, all 28 volumes, quoted phrase); Malambo:1]</t>
  </si>
  <si>
    <t>A-2106</t>
  </si>
  <si>
    <t>ZERO pages. [Canal Record (UFDC full text, all 28 volumes, quoted phrase); Salsipuedes:0]</t>
  </si>
  <si>
    <t>A-2107</t>
  </si>
  <si>
    <t>3 pages 1916-17: Balboa harbor restricted-area limit 'Line joining Guinea Point with inner end of causeway'. [Canal Record (UFDC full text, all 28 volumes, quoted phrase); Guinea Point:3; Guinea Grove:0] | RETRACTED 2026-09-14 (CZ-205 Guinea declined - the 1857 'Guinea' lettering reads 'Guinea Grass', a pasture label; the toponym otherwise names a shore point near Balboa, not a settlement). Ignore this row.</t>
  </si>
  <si>
    <t>A-2108</t>
  </si>
  <si>
    <t>Tivoli</t>
  </si>
  <si>
    <t>498 pages from 1907: 'Tivoli rates', 'Electric lights on Tivoli road', Tivoli Landing. [Canal Record (UFDC full text, all 28 volumes, quoted phrase); Tivoli:498]</t>
  </si>
  <si>
    <t>A-2109</t>
  </si>
  <si>
    <t>Mount Zion reservoir</t>
  </si>
  <si>
    <t>v00005/p290 (1911): water 'pumped into the Mount Zion reservoir from the Cucaracha pump station', supplying Enterprise and Culebra; the concrete reservoir on Mount Zion Hill replaced. [Canal Record (UFDC full text, all 28 volumes, quoted phrase); Mount Zion reservoir:1; Mt. Zion reservoir:0]</t>
  </si>
  <si>
    <t>A-2110</t>
  </si>
  <si>
    <t>Mount Zion Hill</t>
  </si>
  <si>
    <t>v00005/p290 (1911): 'the concrete reservoir on Mount Zion Hill' - the hill name; no church or reserve named. [Canal Record (UFDC full text, all 28 volumes, quoted phrase); Mount Zion:1; Mt. Zion:1]</t>
  </si>
  <si>
    <t>A-2111</t>
  </si>
  <si>
    <t>6 pages, all the person 'Wm. Gerig', Division Engineer at Gatun and Cristobal - no camp named Gerig. Supports the reading that the map label honors the engineer. [Canal Record (UFDC full text, all 28 volumes, quoted phrase); Gerig:6]</t>
  </si>
  <si>
    <t>A-2112</t>
  </si>
  <si>
    <t>136 pages from 1909: 'West Culebra Improvements'; prisoners 'grading the streets of West Culebra' (1909-10). LIFESPAN FLAG: start c.1911? -&gt; by 1909. Some later hits are the 'West Culebra slide'. [Canal Record (UFDC full text, all 28 volumes, quoted phrase); West Culebra:136]</t>
  </si>
  <si>
    <t>A-2113</t>
  </si>
  <si>
    <t>90 pages from 1907: drying house at Camp Bierd; 'the laborers' barrack at Camp Bierd, Cristobal, has been transferred to the Spillway site at Gatun'. LIFESPAN FLAG: start c.1919? -&gt; by 1907. [Canal Record (UFDC full text, all 28 volumes, quoted phrase); Camp Bierd:90]</t>
  </si>
  <si>
    <t>A-2114</t>
  </si>
  <si>
    <t>Mount Hope cemetery</t>
  </si>
  <si>
    <t>15 pages from 1909: military funeral at Mount Hope cemetery; Knights of Pythias memorial services there, Decoration Day 1910. [Canal Record (UFDC full text, all 28 volumes, quoted phrase); Mount Hope cemetery:15; Monkey Hill cemetery:0]</t>
  </si>
  <si>
    <t>A-2115</t>
  </si>
  <si>
    <t>13 pages 1917-1927: executive order naming 'Fort de Lesseps' for the military area at Manzanillo Point; Fort DeLesseps Dock light 1927. [Canal Record (UFDC full text, all 28 volumes, quoted phrase); Fort de Lesseps:11; Fort DeLesseps:2]</t>
  </si>
  <si>
    <t>A-2116</t>
  </si>
  <si>
    <t>ZERO pages for 'Buena Vista camp' (bare 'Buena Vista' unassessable). [Canal Record (UFDC full text, all 28 volumes, quoted phrase); Buena Vista camp:0]</t>
  </si>
  <si>
    <t>A-2117</t>
  </si>
  <si>
    <t>Baptist church at Culebra</t>
  </si>
  <si>
    <t>Phrase hits 'Culebra Baptist' (v00003/p392, 1909) and 'Baptist church at Culebra' (v00005/p183, 1911); OCR context could not be re-read, so unverified. [Canal Record (UFDC full text, all 28 volumes, quoted phrase); Baptist church at Culebra:1; Culebra Baptist:1; Baptist Mission:14]</t>
  </si>
  <si>
    <t>A-2118</t>
  </si>
  <si>
    <t>Culebra police station</t>
  </si>
  <si>
    <t>Phrase hits v00006/p447 (1912) and v00007/p267 (1913); OCR context could not be re-read, so unverified. [Canal Record (UFDC full text, all 28 volumes, quoted phrase); Culebra police station:1; police station at Culebra:1]</t>
  </si>
  <si>
    <t>A-2119</t>
  </si>
  <si>
    <t>Culebra pumping station</t>
  </si>
  <si>
    <t>Phrase hit v00011/p370 (1919); context unverified. May be a later plant. [Canal Record (UFDC full text, all 28 volumes, quoted phrase); Culebra pumping station:1; pumping station at Culebra:0]</t>
  </si>
  <si>
    <t>A-2120</t>
  </si>
  <si>
    <t xml:space="preserve">ZERO matching records in the 45,040-record Smithsonian bulk corpus (phrases Guachapali:0). </t>
  </si>
  <si>
    <t>A-2121</t>
  </si>
  <si>
    <t xml:space="preserve">ZERO matching records in the 45,040-record Smithsonian bulk corpus (phrases Cansaloma:0; Cansa Loma:0). </t>
  </si>
  <si>
    <t>A-2122</t>
  </si>
  <si>
    <t xml:space="preserve">ZERO matching records in the 45,040-record Smithsonian bulk corpus (phrases Silver City:0). </t>
  </si>
  <si>
    <t>A-2123</t>
  </si>
  <si>
    <t xml:space="preserve">ZERO matching records in the 45,040-record Smithsonian bulk corpus (phrases Baptist church at Culebra:0; Culebra Baptist:0; Baptist Mission:0). </t>
  </si>
  <si>
    <t>A-2124</t>
  </si>
  <si>
    <t>Mount Zion</t>
  </si>
  <si>
    <t xml:space="preserve">ZERO matching records in the 45,040-record Smithsonian bulk corpus (phrases Mount Zion:0; Mt. Zion:0). </t>
  </si>
  <si>
    <t>A-2125</t>
  </si>
  <si>
    <t xml:space="preserve">ZERO matching records in the 45,040-record Smithsonian bulk corpus (phrases Ancon Hospital:0). </t>
  </si>
  <si>
    <t>A-2126</t>
  </si>
  <si>
    <t xml:space="preserve">ZERO matching records in the 45,040-record Smithsonian bulk corpus (phrases Ancon Cemetery:0). </t>
  </si>
  <si>
    <t>A-2127</t>
  </si>
  <si>
    <t xml:space="preserve">ZERO matching records in the 45,040-record Smithsonian bulk corpus (phrases Chinese Cemetery:0). </t>
  </si>
  <si>
    <t>A-2128</t>
  </si>
  <si>
    <t>New Empire Road</t>
  </si>
  <si>
    <t>1 NMNH bird record at 'New Empire Road, Canal Zone' - the name survives as a road. [Phrases: New Empire:1]</t>
  </si>
  <si>
    <t>A-2129</t>
  </si>
  <si>
    <t>100 NMNH records 1911-1941 at 'Cerro Gordo, near Culebra, Canal Zone' - the hill as a collecting locality; the camp itself is never named. [Phrases: Cerro Gordo:100]</t>
  </si>
  <si>
    <t>A-2130</t>
  </si>
  <si>
    <t>129 NMNH records 1952-1982 at 'Curundu, Canal Zone' (incl. Curundu Survival School Area, C-12 Road) - the military-era Curundu locality; identity with the civilian district not certain. [Phrases: Curundu:129]</t>
  </si>
  <si>
    <t>A-2131</t>
  </si>
  <si>
    <t xml:space="preserve">ZERO matching records in the 45,040-record Smithsonian bulk corpus (phrases Coco Solito:0). </t>
  </si>
  <si>
    <t>A-2132</t>
  </si>
  <si>
    <t xml:space="preserve">ZERO matching records in the 45,040-record Smithsonian bulk corpus (phrases New Cristobal:0). </t>
  </si>
  <si>
    <t>A-2133</t>
  </si>
  <si>
    <t xml:space="preserve">ZERO matching records in the 45,040-record Smithsonian bulk corpus (phrases Lacona:0). </t>
  </si>
  <si>
    <t>A-2134</t>
  </si>
  <si>
    <t xml:space="preserve">ZERO matching records in the 45,040-record Smithsonian bulk corpus (phrases Cartagenita:0). </t>
  </si>
  <si>
    <t>A-2135</t>
  </si>
  <si>
    <t>19 NMNH specimen records collected 1911-1914 at 'New Frijoles, Canal Zone', incl. 'At Agua Salud bridge, about 0.33 mile North of New Frijoles, on relocated line of Panama Railroad' - the relocated-line town as a collecting locality. [Phrases: New Frijoles:19]</t>
  </si>
  <si>
    <t>A-2136</t>
  </si>
  <si>
    <t xml:space="preserve">ZERO matching records in the 45,040-record Smithsonian bulk corpus (phrases Jamaica Town:0). </t>
  </si>
  <si>
    <t>A-2137</t>
  </si>
  <si>
    <t>Big Camacho</t>
  </si>
  <si>
    <t xml:space="preserve">ZERO matching records in the 45,040-record Smithsonian bulk corpus (phrases Big Camacho:0; Small Camacho:0). </t>
  </si>
  <si>
    <t>A-2138</t>
  </si>
  <si>
    <t xml:space="preserve">ZERO matching records in the 45,040-record Smithsonian bulk corpus (phrases Bishop's Hollow:0; Bishops Hollow:0). </t>
  </si>
  <si>
    <t>A-2139</t>
  </si>
  <si>
    <t xml:space="preserve">ZERO matching records in the 45,040-record Smithsonian bulk corpus (phrases Banana Walk:0). </t>
  </si>
  <si>
    <t>A-2140</t>
  </si>
  <si>
    <t>Culebra Rio Grande</t>
  </si>
  <si>
    <t xml:space="preserve">ZERO matching records in the 45,040-record Smithsonian bulk corpus (phrases Culebra Rio Grande:0; Rio Grande camp:0). </t>
  </si>
  <si>
    <t>A-2141</t>
  </si>
  <si>
    <t xml:space="preserve">ZERO matching records in the 45,040-record Smithsonian bulk corpus (phrases Culebra police station:0; police station at Culebra:0). </t>
  </si>
  <si>
    <t>A-2142</t>
  </si>
  <si>
    <t xml:space="preserve">ZERO matching records in the 45,040-record Smithsonian bulk corpus (phrases Culebra penitentiary:0; penitentiary at Culebra:0). </t>
  </si>
  <si>
    <t>A-2143</t>
  </si>
  <si>
    <t xml:space="preserve">ZERO matching records in the 45,040-record Smithsonian bulk corpus (phrases Culebra pumping station:0; pumping station at Culebra:0). </t>
  </si>
  <si>
    <t>A-2144</t>
  </si>
  <si>
    <t>27 NMNH records 1964-1996 at 'Diablo Heights, Canal Zone'. [Phrases: Diablo Heights:27]</t>
  </si>
  <si>
    <t>A-2145</t>
  </si>
  <si>
    <t xml:space="preserve">ZERO matching records in the 45,040-record Smithsonian bulk corpus (phrases Barro Colorado Abajo:0). </t>
  </si>
  <si>
    <t>A-2146</t>
  </si>
  <si>
    <t>Rio Indio settlement</t>
  </si>
  <si>
    <t xml:space="preserve">ZERO matching records in the 45,040-record Smithsonian bulk corpus (phrases Rio Indio settlement:0; Indio Settlement:0). </t>
  </si>
  <si>
    <t>A-2147</t>
  </si>
  <si>
    <t xml:space="preserve">ZERO matching records in the 45,040-record Smithsonian bulk corpus (phrases Palo Matias Nuevo:0). </t>
  </si>
  <si>
    <t>A-2148</t>
  </si>
  <si>
    <t>ZERO matching records in the 45,040-record Smithsonian bulk corpus (phrases Palo Horqueta:0; Horqueta:60). All 60 'Horqueta' hits are Cerro de la Horqueta / Los Siguas Camp in Chiriqui province - a different place.</t>
  </si>
  <si>
    <t>A-2149</t>
  </si>
  <si>
    <t xml:space="preserve">ZERO matching records in the 45,040-record Smithsonian bulk corpus (phrases Palenquillo:0; Palenquilla:0). </t>
  </si>
  <si>
    <t>A-2150</t>
  </si>
  <si>
    <t xml:space="preserve">ZERO matching records in the 45,040-record Smithsonian bulk corpus (phrases Pedro Bernal:0). </t>
  </si>
  <si>
    <t>A-2151</t>
  </si>
  <si>
    <t xml:space="preserve">ZERO matching records in the 45,040-record Smithsonian bulk corpus (phrases Mari Posa:0; Mariposa:0). </t>
  </si>
  <si>
    <t>A-2152</t>
  </si>
  <si>
    <t xml:space="preserve">ZERO matching records in the 45,040-record Smithsonian bulk corpus (phrases Noreza:0). </t>
  </si>
  <si>
    <t>A-2153</t>
  </si>
  <si>
    <t>ZERO matching records in the 45,040-record Smithsonian bulk corpus (phrases Dominica:8). All 8 'Dominica' hits are species epithets (Oxyura dominica etc.).</t>
  </si>
  <si>
    <t>A-2154</t>
  </si>
  <si>
    <t>26 NMNH records at 'Rio Cardenas, Corozal' and 'Cardenas Creek area' - the 1857 settlement name surviving as a river. [Phrases: Cardenas:26]</t>
  </si>
  <si>
    <t>A-2155</t>
  </si>
  <si>
    <t>Half Way House</t>
  </si>
  <si>
    <t xml:space="preserve">ZERO matching records in the 45,040-record Smithsonian bulk corpus (phrases Half Way House:0; Halfway House:0; La Vuella:0). </t>
  </si>
  <si>
    <t>A-2156</t>
  </si>
  <si>
    <t xml:space="preserve">ZERO matching records in the 45,040-record Smithsonian bulk corpus (phrases Maranon:0; Marañon:0). </t>
  </si>
  <si>
    <t>A-2157</t>
  </si>
  <si>
    <t>Smithsonian Libraries catalog: chapter 'The riots of Cocoa Grove' in Greene, The Canal Builders (2009) - secondary scholarship, not a period record. [Phrases: Cocoa Grove:1]</t>
  </si>
  <si>
    <t>A-2158</t>
  </si>
  <si>
    <t xml:space="preserve">ZERO matching records in the 45,040-record Smithsonian bulk corpus (phrases Chorrillo:0). </t>
  </si>
  <si>
    <t>A-2159</t>
  </si>
  <si>
    <t>Catholic cemetery</t>
  </si>
  <si>
    <t xml:space="preserve">ZERO matching records in the 45,040-record Smithsonian bulk corpus (phrases Catholic cemetery:0; Hebrew cemetery:0; foreign cemetery:0). </t>
  </si>
  <si>
    <t>A-2160</t>
  </si>
  <si>
    <t>Santa Ana</t>
  </si>
  <si>
    <t xml:space="preserve">ZERO matching records in the 45,040-record Smithsonian bulk corpus (phrases Santa Ana:0). </t>
  </si>
  <si>
    <t>A-2161</t>
  </si>
  <si>
    <t xml:space="preserve">ZERO matching records in the 45,040-record Smithsonian bulk corpus (phrases Cienega:0). </t>
  </si>
  <si>
    <t>A-2162</t>
  </si>
  <si>
    <t xml:space="preserve">ZERO matching records in the 45,040-record Smithsonian bulk corpus (phrases Malambo:0). </t>
  </si>
  <si>
    <t>A-2163</t>
  </si>
  <si>
    <t xml:space="preserve">ZERO matching records in the 45,040-record Smithsonian bulk corpus (phrases Salsipuedes:0). </t>
  </si>
  <si>
    <t>A-2164</t>
  </si>
  <si>
    <t>1 NMNH record at 'Panama Bay, Guinea Point, Canal Zone'. [Phrases: Guinea Point:1; Guinea Grove:0] | RETRACTED 2026-09-14 (CZ-205 Guinea declined - the 1857 'Guinea' lettering reads 'Guinea Grass', a pasture label; the toponym otherwise names a shore point near Balboa, not a settlement). Ignore this row.</t>
  </si>
  <si>
    <t>A-2165</t>
  </si>
  <si>
    <t>5 NMNH records 1919-1964 at 'Hotel Tivoli; Ancon' / 'near Tivoli Hotel, Ancon'. [Phrases: Tivoli:5]</t>
  </si>
  <si>
    <t>A-2166</t>
  </si>
  <si>
    <t xml:space="preserve">ZERO matching records in the 45,040-record Smithsonian bulk corpus (phrases Mount Zion reservoir:0; Mt. Zion reservoir:0). </t>
  </si>
  <si>
    <t>A-2167</t>
  </si>
  <si>
    <t xml:space="preserve">ZERO matching records in the 45,040-record Smithsonian bulk corpus (phrases Gerig:0). </t>
  </si>
  <si>
    <t>A-2168</t>
  </si>
  <si>
    <t xml:space="preserve">ZERO matching records in the 45,040-record Smithsonian bulk corpus (phrases West Culebra:0). </t>
  </si>
  <si>
    <t>A-2169</t>
  </si>
  <si>
    <t>ZERO matching records in the 45,040-record Smithsonian bulk corpus (phrases Silver City:0). | repointed CZ-211 -&gt; CZ-158 2026-09-14 (merge) | RETRACTED 2026-09-14 (merge CZ-158): duplicate of a claim already on the survivor. Ignore this row.</t>
  </si>
  <si>
    <t>A-2170</t>
  </si>
  <si>
    <t xml:space="preserve">ZERO matching records in the 45,040-record Smithsonian bulk corpus (phrases Camp Bierd:0). </t>
  </si>
  <si>
    <t>A-2171</t>
  </si>
  <si>
    <t>79 NMNH botany records collected 1923 at 'Mount Hope Cemetery, Canal Zone'. [Phrases: Mount Hope cemetery:79; Monkey Hill cemetery:0]</t>
  </si>
  <si>
    <t>A-2172</t>
  </si>
  <si>
    <t xml:space="preserve">ZERO matching records in the 45,040-record Smithsonian bulk corpus (phrases Fort de Lesseps:0; Fort DeLesseps:0). </t>
  </si>
  <si>
    <t>A-2173</t>
  </si>
  <si>
    <t>A-2174</t>
  </si>
  <si>
    <t xml:space="preserve">ZERO matching records in the 45,040-record Smithsonian bulk corpus (phrases Dos Hermanas:0; Dos Hermanos:0). </t>
  </si>
  <si>
    <t>A-2175</t>
  </si>
  <si>
    <t>ZERO matching records in the 45,040-record Smithsonian bulk corpus (phrases Palenquilla:0; Palenquillo:0). | repointed CZ-217 -&gt; CZ-187 2026-09-14 (merge)</t>
  </si>
  <si>
    <t>A-2176</t>
  </si>
  <si>
    <t xml:space="preserve">ZERO matching records in the 45,040-record Smithsonian bulk corpus (phrases Juan Maria:0). </t>
  </si>
  <si>
    <t>A-2177</t>
  </si>
  <si>
    <t xml:space="preserve">ZERO matching records in the 45,040-record Smithsonian bulk corpus (phrases Agua Bendita:0). </t>
  </si>
  <si>
    <t>A-2178</t>
  </si>
  <si>
    <t>ZERO matching records in the 45,040-record Smithsonian bulk corpus (phrases Pedro Bernal:0). | repointed CZ-220 -&gt; CZ-188 2026-09-14 (merge) | RETRACTED 2026-09-14 (merge CZ-188): duplicate of a claim already on the survivor. Ignore this row.</t>
  </si>
  <si>
    <t>A-2179</t>
  </si>
  <si>
    <t>0 items in the digitized Caribbean corpus co-mention this name + panama (dloc1). [Buena Vista camp:0]</t>
  </si>
  <si>
    <t>A-2180</t>
  </si>
  <si>
    <t>dLOC Caribbean corpus: item-level co-mention with panama (mostly Panama Canal Museum overlap titles such as The Panama American); KWIC not read - lead only, undated. [Silver City:3]</t>
  </si>
  <si>
    <t>A-2181</t>
  </si>
  <si>
    <t>0 items in the digitized Caribbean corpus co-mention this name + panama (dloc1). [Baptist church at Culebra:0; Culebra Baptist:0; Baptist Mission:0]</t>
  </si>
  <si>
    <t>A-2182</t>
  </si>
  <si>
    <t>0 items in the digitized Caribbean corpus co-mention this name + panama (dloc1). [Mount Zion:0; Mt. Zion:0]</t>
  </si>
  <si>
    <t>A-2183</t>
  </si>
  <si>
    <t>dLOC Caribbean corpus: item-level co-mention with panama (mostly Panama Canal Museum overlap titles such as The Panama American); KWIC not read - lead only, undated. [Ancon Hospital:22]</t>
  </si>
  <si>
    <t>A-2184</t>
  </si>
  <si>
    <t>0 items in the digitized Caribbean corpus co-mention this name + panama (dloc1). [Ancon Cemetery:0]</t>
  </si>
  <si>
    <t>A-2185</t>
  </si>
  <si>
    <t>dLOC Caribbean corpus: item-level co-mention with panama (mostly Panama Canal Museum overlap titles such as The Panama American); KWIC not read - lead only, undated. [Chinese Cemetery:1]</t>
  </si>
  <si>
    <t>A-2186</t>
  </si>
  <si>
    <t>0 items in the digitized Caribbean corpus co-mention this name + panama (dloc1). [New Empire:0]</t>
  </si>
  <si>
    <t>A-2187</t>
  </si>
  <si>
    <t>dLOC Caribbean corpus: item-level co-mention with panama (mostly Panama Canal Museum overlap titles such as The Panama American); KWIC not read - lead only, undated. [Lacona:1]</t>
  </si>
  <si>
    <t>A-2188</t>
  </si>
  <si>
    <t>0 items in the digitized Caribbean corpus co-mention this name + panama (dloc1). [Cartagenita:0]</t>
  </si>
  <si>
    <t>A-2189</t>
  </si>
  <si>
    <t>0 items in the digitized Caribbean corpus co-mention this name + panama (dloc1). [Big Camacho:0; Small Camacho:0]</t>
  </si>
  <si>
    <t>A-2190</t>
  </si>
  <si>
    <t>0 items in the digitized Caribbean corpus co-mention this name + panama (dloc1). [Bishop's Hollow:0; Bishops Hollow:0]</t>
  </si>
  <si>
    <t>A-2191</t>
  </si>
  <si>
    <t>0 items in the digitized Caribbean corpus co-mention this name + panama (dloc1). [Banana Walk:0]</t>
  </si>
  <si>
    <t>A-2192</t>
  </si>
  <si>
    <t>0 items in the digitized Caribbean corpus co-mention this name + panama (dloc1). [Culebra Rio Grande:0; Rio Grande camp:0]</t>
  </si>
  <si>
    <t>A-2193</t>
  </si>
  <si>
    <t>0 items in the digitized Caribbean corpus co-mention this name + panama (dloc1). [Culebra police station:0; police station at Culebra:0]</t>
  </si>
  <si>
    <t>A-2194</t>
  </si>
  <si>
    <t>0 items in the digitized Caribbean corpus co-mention this name + panama (dloc1). [Culebra penitentiary:0; penitentiary at Culebra:0]</t>
  </si>
  <si>
    <t>A-2195</t>
  </si>
  <si>
    <t>0 items in the digitized Caribbean corpus co-mention this name + panama (dloc1). [Culebra pumping station:0; pumping station at Culebra:0]</t>
  </si>
  <si>
    <t>A-2196</t>
  </si>
  <si>
    <t>dLOC Caribbean corpus: item-level co-mention with panama (mostly Panama Canal Museum overlap titles such as The Panama American); KWIC not read - lead only, undated. [Diablo Heights:20]</t>
  </si>
  <si>
    <t>A-2197</t>
  </si>
  <si>
    <t>0 items in the digitized Caribbean corpus co-mention this name + panama (dloc1). [Barro Colorado Abajo:0]</t>
  </si>
  <si>
    <t>A-2198</t>
  </si>
  <si>
    <t>0 items in the digitized Caribbean corpus co-mention this name + panama (dloc1). [Rio Indio settlement:0; Indio Settlement:0]</t>
  </si>
  <si>
    <t>A-2199</t>
  </si>
  <si>
    <t>0 items in the digitized Caribbean corpus co-mention this name + panama (dloc1). [Palo Matias Nuevo:0]</t>
  </si>
  <si>
    <t>A-2200</t>
  </si>
  <si>
    <t>0 items in the digitized Caribbean corpus co-mention this name + panama (dloc1). [Palo Horqueta:0; Horqueta:0]</t>
  </si>
  <si>
    <t>A-2201</t>
  </si>
  <si>
    <t>0 items in the digitized Caribbean corpus co-mention this name + panama (dloc1). [Palenquillo:0; Palenquilla:0]</t>
  </si>
  <si>
    <t>A-2202</t>
  </si>
  <si>
    <t>0 items in the digitized Caribbean corpus co-mention this name + panama (dloc1). [Pedro Bernal:0]</t>
  </si>
  <si>
    <t>A-2203</t>
  </si>
  <si>
    <t>0 items in the digitized Caribbean corpus co-mention this name + panama (dloc1). [Mari Posa:0; Mariposa:0]</t>
  </si>
  <si>
    <t>A-2204</t>
  </si>
  <si>
    <t>0 items in the digitized Caribbean corpus co-mention this name + panama (dloc1). [Noreza:0]</t>
  </si>
  <si>
    <t>A-2205</t>
  </si>
  <si>
    <t>0 items in the digitized Caribbean corpus co-mention this name + panama (dloc1). [Half Way House:0; Halfway House:0; La Vuella:0]</t>
  </si>
  <si>
    <t>A-2206</t>
  </si>
  <si>
    <t>0 items in the digitized Caribbean corpus co-mention this name + panama (dloc1). [Maranon:0; Marañon:0]</t>
  </si>
  <si>
    <t>A-2207</t>
  </si>
  <si>
    <t>0 items in the digitized Caribbean corpus co-mention this name + panama (dloc1). [Cocoa Grove:0]</t>
  </si>
  <si>
    <t>A-2208</t>
  </si>
  <si>
    <t>0 items in the digitized Caribbean corpus co-mention this name + panama (dloc1). [Cienega:0]</t>
  </si>
  <si>
    <t>A-2209</t>
  </si>
  <si>
    <t>dLOC Caribbean corpus: item-level co-mention with panama (mostly Panama Canal Museum overlap titles such as The Panama American); KWIC not read - lead only, undated. [Malambo:1]</t>
  </si>
  <si>
    <t>A-2210</t>
  </si>
  <si>
    <t>dLOC Caribbean corpus: item-level co-mention with panama (mostly Panama Canal Museum overlap titles such as The Panama American); KWIC not read - lead only, undated. [Salsipuedes:7]</t>
  </si>
  <si>
    <t>A-2211</t>
  </si>
  <si>
    <t>0 items in the digitized Caribbean corpus co-mention this name + panama (dloc1). [Guinea Point:0; Guinea Grove:0] | RETRACTED 2026-09-14 (CZ-205 Guinea declined - the 1857 'Guinea' lettering reads 'Guinea Grass', a pasture label; the toponym otherwise names a shore point near Balboa, not a settlement). Ignore this row.</t>
  </si>
  <si>
    <t>A-2212</t>
  </si>
  <si>
    <t>dLOC Caribbean corpus: item-level co-mention with panama (mostly Panama Canal Museum overlap titles such as The Panama American); KWIC not read - lead only, undated. [Tivoli:67]</t>
  </si>
  <si>
    <t>A-2213</t>
  </si>
  <si>
    <t>0 items in the digitized Caribbean corpus co-mention this name + panama (dloc1). [Mount Zion reservoir:0; Mt. Zion reservoir:0]</t>
  </si>
  <si>
    <t>A-2214</t>
  </si>
  <si>
    <t>0 items in the digitized Caribbean corpus co-mention this name + panama (dloc1). [Gerig:0]</t>
  </si>
  <si>
    <t>A-2215</t>
  </si>
  <si>
    <t>0 items in the digitized Caribbean corpus co-mention this name + panama (dloc1). [West Culebra:0]</t>
  </si>
  <si>
    <t>A-2216</t>
  </si>
  <si>
    <t>dLOC Caribbean corpus: item-level co-mention with panama (mostly Panama Canal Museum overlap titles such as The Panama American); KWIC not read - lead only, undated. [Silver City:3] | repointed CZ-211 -&gt; CZ-158 2026-09-14 (merge) | RETRACTED 2026-09-14 (merge CZ-158): duplicate of a claim already on the survivor. Ignore this row.</t>
  </si>
  <si>
    <t>A-2217</t>
  </si>
  <si>
    <t>dLOC Caribbean corpus: item-level co-mention with panama (mostly Panama Canal Museum overlap titles such as The Panama American); KWIC not read - lead only, undated. [Camp Bierd:5]</t>
  </si>
  <si>
    <t>A-2218</t>
  </si>
  <si>
    <t>dLOC Caribbean corpus: item-level co-mention with panama (mostly Panama Canal Museum overlap titles such as The Panama American); KWIC not read - lead only, undated. [Mount Hope cemetery:1; Monkey Hill cemetery:0]</t>
  </si>
  <si>
    <t>A-2219</t>
  </si>
  <si>
    <t>0 items in the digitized Caribbean corpus co-mention this name + panama (dloc1). [Fort de Lesseps:0; Fort DeLesseps:0]</t>
  </si>
  <si>
    <t>A-2220</t>
  </si>
  <si>
    <t>0 items in the digitized Caribbean corpus co-mention this name + panama (dloc1). [Palenquilla:0; Palenquillo:0] | repointed CZ-217 -&gt; CZ-187 2026-09-14 (merge)</t>
  </si>
  <si>
    <t>A-2221</t>
  </si>
  <si>
    <t>0 items in the digitized Caribbean corpus co-mention this name + panama (dloc1). [Juan Maria:0]</t>
  </si>
  <si>
    <t>A-2222</t>
  </si>
  <si>
    <t>0 items in the digitized Caribbean corpus co-mention this name + panama (dloc1). [Agua Bendita:0]</t>
  </si>
  <si>
    <t>A-2223</t>
  </si>
  <si>
    <t>0 items in the digitized Caribbean corpus co-mention this name + panama (dloc1). [Pedro Bernal:0] | repointed CZ-220 -&gt; CZ-188 2026-09-14 (merge) | RETRACTED 2026-09-14 (merge CZ-188): duplicate of a claim already on the survivor. Ignore this row.</t>
  </si>
  <si>
    <t>A-2224</t>
  </si>
  <si>
    <t>No worker letter names this place. [Silver People letters full text; Buena Vista camp:0]</t>
  </si>
  <si>
    <t>A-2225</t>
  </si>
  <si>
    <t>Letters: 'Silver City renamed Rainbow City'; worked 'at Silver City Heights, which ended in 1927'. [Silver People letters full text; Silver City:4]</t>
  </si>
  <si>
    <t>A-2226</t>
  </si>
  <si>
    <t>No worker letter names this place. [Silver People letters full text; Baptist church at Culebra:0; Culebra Baptist:0; Baptist Mission:0]</t>
  </si>
  <si>
    <t>A-2227</t>
  </si>
  <si>
    <t>No worker letter names this place. [Silver People letters full text; Mount Zion:0; Mt. Zion:0]</t>
  </si>
  <si>
    <t>A-2228</t>
  </si>
  <si>
    <t>No worker letter names this place. [Silver People letters full text; Chinese Cemetery:0]</t>
  </si>
  <si>
    <t>A-2229</t>
  </si>
  <si>
    <t>No worker letter names this place. [Silver People letters full text; New Empire:0]</t>
  </si>
  <si>
    <t>A-2230</t>
  </si>
  <si>
    <t>A letter lists 'Fort Clayton, Curundu, Balboa Flat' among places filled with canal spoil. [Silver People letters full text; Curundu:1]</t>
  </si>
  <si>
    <t>A-2231</t>
  </si>
  <si>
    <t>No worker letter names this place. [Silver People letters full text; Coco Solito:0]</t>
  </si>
  <si>
    <t>A-2232</t>
  </si>
  <si>
    <t>Letters: worked 'at the Radio Station' and 'on the school' in New Cristobal. [Silver People letters full text; New Cristobal:2]</t>
  </si>
  <si>
    <t>A-2233</t>
  </si>
  <si>
    <t>No worker letter names this place. [Silver People letters full text; Lacona:0]</t>
  </si>
  <si>
    <t>A-2234</t>
  </si>
  <si>
    <t>No worker letter names this place. [Silver People letters full text; New Frijoles:0]</t>
  </si>
  <si>
    <t>A-2235</t>
  </si>
  <si>
    <t>No worker letter names this place. [Silver People letters full text; Culebra police station:0; police station at Culebra:0]</t>
  </si>
  <si>
    <t>A-2236</t>
  </si>
  <si>
    <t>No worker letter names this place. [Silver People letters full text; Culebra penitentiary:0; penitentiary at Culebra:0]</t>
  </si>
  <si>
    <t>A-2237</t>
  </si>
  <si>
    <t>No worker letter names this place. [Silver People letters full text; Culebra pumping station:0; pumping station at Culebra:0]</t>
  </si>
  <si>
    <t>A-2238</t>
  </si>
  <si>
    <t>No worker letter names this place. [Silver People letters full text; Diablo Heights:0]</t>
  </si>
  <si>
    <t>A-2239</t>
  </si>
  <si>
    <t>No worker letter names this place. [Silver People letters full text; Barro Colorado Abajo:0]</t>
  </si>
  <si>
    <t>A-2240</t>
  </si>
  <si>
    <t>No worker letter names this place. [Silver People letters full text; Rio Indio settlement:0; Indio Settlement:0]</t>
  </si>
  <si>
    <t>A-2241</t>
  </si>
  <si>
    <t>No worker letter names this place. [Silver People letters full text; Palo Matias Nuevo:0]</t>
  </si>
  <si>
    <t>A-2242</t>
  </si>
  <si>
    <t>No worker letter names this place. [Silver People letters full text; Palo Horqueta:0; Horqueta:0]</t>
  </si>
  <si>
    <t>A-2243</t>
  </si>
  <si>
    <t>No worker letter names this place. [Silver People letters full text; Palenquillo:0; Palenquilla:0]</t>
  </si>
  <si>
    <t>A-2244</t>
  </si>
  <si>
    <t>No worker letter names this place. [Silver People letters full text; Pedro Bernal:0]</t>
  </si>
  <si>
    <t>A-2245</t>
  </si>
  <si>
    <t>No worker letter names this place. [Silver People letters full text; Mari Posa:0; Mariposa:0]</t>
  </si>
  <si>
    <t>A-2246</t>
  </si>
  <si>
    <t>No worker letter names this place. [Silver People letters full text; Noreza:0]</t>
  </si>
  <si>
    <t>A-2247</t>
  </si>
  <si>
    <t>No worker letter names this place (both hits are the island of Dominica (writers' birthplace)). [Silver People letters full text; Dominica:2]</t>
  </si>
  <si>
    <t>A-2248</t>
  </si>
  <si>
    <t>No worker letter names this place. [Silver People letters full text; Cardenas:0]</t>
  </si>
  <si>
    <t>A-2249</t>
  </si>
  <si>
    <t>No worker letter names this place. [Silver People letters full text; Half Way House:0; Halfway House:0; La Vuella:0]</t>
  </si>
  <si>
    <t>A-2250</t>
  </si>
  <si>
    <t>No worker letter names this place. [Silver People letters full text; Maranon:0; Marañon:0]</t>
  </si>
  <si>
    <t>A-2251</t>
  </si>
  <si>
    <t>No worker letter names this place. [Silver People letters full text; Cocoa Grove:0]</t>
  </si>
  <si>
    <t>A-2252</t>
  </si>
  <si>
    <t>8 letter writers give 'Estafeta del Chorrillo' as their post office (1963). [Silver People letters full text; Chorrillo:8]</t>
  </si>
  <si>
    <t>A-2253</t>
  </si>
  <si>
    <t>No worker letter names this place. [Silver People letters full text; Catholic cemetery:0; Hebrew cemetery:0; foreign cemetery:0]</t>
  </si>
  <si>
    <t>A-2254</t>
  </si>
  <si>
    <t>A letter recalls living 'en la calle 14 oeste, enfrente del cuartel de bomberos hoy corregiduria de Santa Ana'. [Silver People letters full text; Santa Ana:1]</t>
  </si>
  <si>
    <t>A-2255</t>
  </si>
  <si>
    <t>No worker letter names this place. [Silver People letters full text; Cienega:0]</t>
  </si>
  <si>
    <t>A-2256</t>
  </si>
  <si>
    <t>No worker letter names this place. [Silver People letters full text; Malambo:0]</t>
  </si>
  <si>
    <t>A-2257</t>
  </si>
  <si>
    <t>No worker letter names this place. [Silver People letters full text; Salsipuedes:0]</t>
  </si>
  <si>
    <t>A-2258</t>
  </si>
  <si>
    <t>No worker letter names this place. [Silver People letters full text; Guinea Point:0; Guinea Grove:0] | RETRACTED 2026-09-14 (CZ-205 Guinea declined - the 1857 'Guinea' lettering reads 'Guinea Grass', a pasture label; the toponym otherwise names a shore point near Balboa, not a settlement). Ignore this row.</t>
  </si>
  <si>
    <t>A-2259</t>
  </si>
  <si>
    <t>7 letters: 'I was retired from the Hotel Tivoli as carpenter'. [Silver People letters full text; Tivoli:7]</t>
  </si>
  <si>
    <t>A-2260</t>
  </si>
  <si>
    <t>No worker letter names this place. [Silver People letters full text; Mount Zion reservoir:0; Mt. Zion reservoir:0]</t>
  </si>
  <si>
    <t>A-2261</t>
  </si>
  <si>
    <t>No worker letter names this place. [Silver People letters full text; Gerig:0]</t>
  </si>
  <si>
    <t>A-2262</t>
  </si>
  <si>
    <t>A letter: 'the East and West Culebra slides were the most troublesome'. [Silver People letters full text; West Culebra:1]</t>
  </si>
  <si>
    <t>A-2263</t>
  </si>
  <si>
    <t>Letters: 'Silver City renamed Rainbow City'; worked 'at Silver City Heights, which ended in 1927'. [Silver People letters full text; Silver City:4] | repointed CZ-211 -&gt; CZ-158 2026-09-14 (merge) | RETRACTED 2026-09-14 (merge CZ-158): duplicate of a claim already on the survivor. Ignore this row.</t>
  </si>
  <si>
    <t>A-2264</t>
  </si>
  <si>
    <t>No worker letter names this place. [Silver People letters full text; Camp Bierd:0]</t>
  </si>
  <si>
    <t>A-2265</t>
  </si>
  <si>
    <t>No worker letter names this place. [Silver People letters full text; Mount Hope cemetery:0; Monkey Hill cemetery:0]</t>
  </si>
  <si>
    <t>A-2266</t>
  </si>
  <si>
    <t>A letter: soldiers in Colon Park 'as the old Fort De Lesseps is very near the Park'. [Silver People letters full text; Fort de Lesseps:1; Fort DeLesseps:0]</t>
  </si>
  <si>
    <t>A-2267</t>
  </si>
  <si>
    <t>No worker letter names this place. [Silver People letters full text; Dos Hermanas:0; Dos Hermanos:0]</t>
  </si>
  <si>
    <t>A-2268</t>
  </si>
  <si>
    <t>No worker letter names this place. [Silver People letters full text; Palenquilla:0; Palenquillo:0] | repointed CZ-217 -&gt; CZ-187 2026-09-14 (merge)</t>
  </si>
  <si>
    <t>A-2269</t>
  </si>
  <si>
    <t>No worker letter names this place. [Silver People letters full text; Juan Maria:0]</t>
  </si>
  <si>
    <t>A-2270</t>
  </si>
  <si>
    <t>No worker letter names this place (the hit is a 1963 address 'Agua Bendita, Chilibre, R.P.' - a different place). [Silver People letters full text; Agua Bendita:1]</t>
  </si>
  <si>
    <t>A-2271</t>
  </si>
  <si>
    <t>No worker letter names this place. [Silver People letters full text; Pedro Bernal:0] | repointed CZ-220 -&gt; CZ-188 2026-09-14 (merge) | RETRACTED 2026-09-14 (merge CZ-188): duplicate of a claim already on the survivor. Ignore this row.</t>
  </si>
  <si>
    <t>A-2272</t>
  </si>
  <si>
    <t>OCC1904 (pcc00001), georef 2026-09-14</t>
  </si>
  <si>
    <t>City grid drawn block-by-block. NOT INDEPENDENT: georef anchor.</t>
  </si>
  <si>
    <t>A-2273</t>
  </si>
  <si>
    <t>RR junction + sidings labeled. NOT INDEPENDENT: georef anchor.</t>
  </si>
  <si>
    <t>A-2274</t>
  </si>
  <si>
    <t>Label at the RR/French-canal crossing; BOCA MINDI labeled separately NW.</t>
  </si>
  <si>
    <t>A-2275</t>
  </si>
  <si>
    <t>Terrain/area lettering c.1904 - pre-town name evidence (town c.1909).</t>
  </si>
  <si>
    <t>A-2276</t>
  </si>
  <si>
    <t>Labeled.</t>
  </si>
  <si>
    <t>A-2277</t>
  </si>
  <si>
    <t>A-2278</t>
  </si>
  <si>
    <t>Village labeled + LAS PENITAS SWAMP - the settlement AND its wetland named c.1904 (start sharpened pre-1904).</t>
  </si>
  <si>
    <t>A-2279</t>
  </si>
  <si>
    <t>Labeled at the line.</t>
  </si>
  <si>
    <t>A-2280</t>
  </si>
  <si>
    <t>Labeled (+ PENA BLANCA SWAMP).</t>
  </si>
  <si>
    <t>A-2281</t>
  </si>
  <si>
    <t>A-2282</t>
  </si>
  <si>
    <t>Labeled (edge of legibility).</t>
  </si>
  <si>
    <t>A-2283</t>
  </si>
  <si>
    <t>A-2284</t>
  </si>
  <si>
    <t>A-2285</t>
  </si>
  <si>
    <t>Labeled at the bridge reach.</t>
  </si>
  <si>
    <t>A-2286</t>
  </si>
  <si>
    <t>A-2287</t>
  </si>
  <si>
    <t>A-2288</t>
  </si>
  <si>
    <t>A-2289</t>
  </si>
  <si>
    <t>Drawn WITH VILLAGE DOTS c.1904 - a living village at occupation, beyond the 1895 French campement phase.</t>
  </si>
  <si>
    <t>A-2290</t>
  </si>
  <si>
    <t>Labeled; BAS MATACHIN drawn separately W with its own building rows (features CSV - matches the Canal Record "Bas Matachin shops" variant).</t>
  </si>
  <si>
    <t>A-2291</t>
  </si>
  <si>
    <t>A-2292</t>
  </si>
  <si>
    <t>PRESENT c.1904 - between its 1857 absence and its 1910-only cartographic absence: the village exists at occupation. Fills the Santa Cruz presence arc (1895 GORPAN, 1904 here).</t>
  </si>
  <si>
    <t>A-2293</t>
  </si>
  <si>
    <t>A-2294</t>
  </si>
  <si>
    <t>Labeled (French form current by 1904).</t>
  </si>
  <si>
    <t>A-2295</t>
  </si>
  <si>
    <t>Labeled c.1904 - between the 1896 timetable and the 1905-06 survey negative.</t>
  </si>
  <si>
    <t>A-2296</t>
  </si>
  <si>
    <t>A-2297</t>
  </si>
  <si>
    <t>Labeled with dotted building rows (the pre-ICC town as Emperador).</t>
  </si>
  <si>
    <t>A-2298</t>
  </si>
  <si>
    <t>LABELED c.1904 - its third cartographic source (1895, 1904, 1911); the camp exists at occupation.</t>
  </si>
  <si>
    <t>A-2299</t>
  </si>
  <si>
    <t>Labeled with building dots - the crown town at occupation. NOT INDEPENDENT: georef anchor (rim target).</t>
  </si>
  <si>
    <t>A-2300</t>
  </si>
  <si>
    <t>Labeled. NOT INDEPENDENT: georef anchor.</t>
  </si>
  <si>
    <t>A-2301</t>
  </si>
  <si>
    <t>Bohio-Pena Blanca reach searched: Pena Blanca, Buena Vista, Bohio labeled - NO Vamos Vamos on the c.1904 compilation (alive on 1895/1911 sheets; either omitted or already waning).</t>
  </si>
  <si>
    <t>A-2302</t>
  </si>
  <si>
    <t>Lion Hill reach searched; no Tiger Hill label (site near crop edge - weak negative).</t>
  </si>
  <si>
    <t>A-2303</t>
  </si>
  <si>
    <t>Buena Vista labeled; NO Isla Vista - the SEVENTH consecutive zero across sources. | REPOINTED 2026-09-16 by the integrity sweep: CZ-074 Isla Vista was merged into CZ-031 Buena Vista on 2026-09-13. The row was left behind by that merge and was invisible to the model until now.</t>
  </si>
  <si>
    <t>A-2304</t>
  </si>
  <si>
    <t>PARAISO (ED 1-33/1-34 base quad)</t>
  </si>
  <si>
    <t>CENSUS1940_PARAISO (naId 5838613/14), georef 2026-09-14</t>
  </si>
  <si>
    <t>The 1940 Census ED base quad draws Paraiso BUILDING-BY-BUILDING with every structure numbered (~150 nos. in the 320s-470s; the ED enumeration fabric itself) - CHURCH 359 labeled, 'Paraiso ELEV. 297.36' benchmark, the numbered silver quarters grid NW. Extent traced to footprints.geojson. Fit: axis-snapped similarity vs the canal AXIS + town correspondence, ±250-350 m absolute (relative building geometry ~±2 m at 0.85 m/px). naId 5838614 ('Pedro Miguel') is the same base quad.</t>
  </si>
  <si>
    <t>A-2305</t>
  </si>
  <si>
    <t>CHURCH 359</t>
  </si>
  <si>
    <t>The town church labeled with its building number - the only named civic function on the quad; the rest of the town is numbers.</t>
  </si>
  <si>
    <t>A-2306</t>
  </si>
  <si>
    <t>former village known as Jamaica-town</t>
  </si>
  <si>
    <t>v00007/p312 (25 March 1914)</t>
  </si>
  <si>
    <t>Canal Record 1913-14 (v00007/p312), Gatun Dam grading: clay 'borrowed from a hill to the west of Gatun Locks and southwest of the former storage for rock and sand... The borrow pit is in the site of the former village known as Jamaica-town, where foundations of buildings once occupied by the French canal workers are still standing.' The quarter is gone by 1913 and its ground is being dug away for the dam. [corrected 2026-09-15: repointed from CZ-221 after a full-page read - the snippet had been misfiled as a Pacific district table] | retyped Erasure event 2026-09-15: issue of 25 March 1914 calls it a FORMER village - gone by that date (terminus ante quem), its ground a borrow pit.</t>
  </si>
  <si>
    <t>A-2307</t>
  </si>
  <si>
    <t>v00008/p476</t>
  </si>
  <si>
    <t>Canal Record 1915-16 (v00008/p476) district population table: 'Jamaica Town' indented under PARAISO beside Spanish Town (then Floating equipment, Labor camps, Rural from Paraiso to Gamboa). The same table lists Martinique Camp under EMPIRE. [note corrected 2026-09-15]</t>
  </si>
  <si>
    <t>A-2308</t>
  </si>
  <si>
    <t>CURUNDU (+ Curundu Clubhouse)</t>
  </si>
  <si>
    <t>CURUNDU spread lettering over the Curundu housing grid with the CURUNDU CLUBHOUSE and Curundu Heights SE, on the graticule-true city sheet. Replaces the zone-sheet position, which fell in Bella Vista.</t>
  </si>
  <si>
    <t>A-2309</t>
  </si>
  <si>
    <t>PEDRO MIGUEL (as-built, ED 1-34)</t>
  </si>
  <si>
    <t>CENSUS1940_PEDROMIGUEL (5838615 p.002), georef 2026-09-14</t>
  </si>
  <si>
    <t>The as-built town building-by-building, all numbered (50s-107+), on the 1940 ED quad anchored to the PEDRO MIGUEL LOCK chamber itself (drawn in engineering detail; ±150-250 m absolute, ±2 m relative). The first coordinate read for CZ-172 (which awaited its as-built fix). Extent traced.</t>
  </si>
  <si>
    <t>A-2310</t>
  </si>
  <si>
    <t>Commissary (182)</t>
  </si>
  <si>
    <t>Commissary labeled with its building number - a named civic function on the 1940 quad.</t>
  </si>
  <si>
    <t>A-2311</t>
  </si>
  <si>
    <t>RED TANK (ED 1-37)</t>
  </si>
  <si>
    <t>CENSUS1940_REDTANK (5838615 p.003), georef 2026-09-14</t>
  </si>
  <si>
    <t>Red Tank building-by-building, all numbered (511-567+), along the road/RR below section 13. PROVISIONAL FRAME: translation rests on CZ-051's stored point (±300-400 m); a p002/p003 cross-tie attempt left an unresolved ~870 m discrepancy - flagged for the CZ-grid decode upgrade. Extent traced.</t>
  </si>
  <si>
    <t>A-2312</t>
  </si>
  <si>
    <t>ANCON (ED 1-1/1-2)</t>
  </si>
  <si>
    <t>CENSUS1940_ANCON (5838606 p.002), georef 2026-09-14</t>
  </si>
  <si>
    <t>The Ancon residential arc building-by-building on the 1940 ED quad (fit: Gorgas complex + Administration Building anchors from the 1947-frame; held-out ANCON letters validate at 46 m). ANCON SCHOOL + PARQUE DE LESSEPS labeled. Extent traced.</t>
  </si>
  <si>
    <t>A-2313</t>
  </si>
  <si>
    <t>BALBOA HEIGHTS (ED 1-2/1-3)</t>
  </si>
  <si>
    <t>Balboa Heights building-by-building; the Administration Building complex drawn (a georef anchor). Extent traced.</t>
  </si>
  <si>
    <t>A-2314</t>
  </si>
  <si>
    <t>GORGAS HOSPITAL</t>
  </si>
  <si>
    <t>The hospital complex labeled GORGAS HOSPITAL along its loop road. NOT INDEPENDENT: georef anchor (1947-frame position). Fourth dated geometry (1904/1906/1940/1947).</t>
  </si>
  <si>
    <t>A-2315</t>
  </si>
  <si>
    <t>CEMETERY row (6 enclosures) + P.R.R. STABLES</t>
  </si>
  <si>
    <t>CITYBASE1938 (5838606 p.003, Map of Ancon-Balboa-Panama-Bella Vista rev.7-21-38), georef 2026-09-14</t>
  </si>
  <si>
    <t>The Camino-de-La-Boca cemetery row on the rev-1938 city base: SIX-plus enclosures along Balboa Road/Calle B - every one labeled only 'CEMETERY'. The P.R.R. STABLES sits mid-row.</t>
  </si>
  <si>
    <t>A-2316</t>
  </si>
  <si>
    <t>Cementerio Chino (designation)</t>
  </si>
  <si>
    <t>NAME-LEVEL negative: the ground persists as one of six anonymous 'CEMETERY' enclosures, but the CHINO designation - written by the city in 1904 and by the US survey in 1906 - is GONE from the official map by the 1938 revision. Completes the arc: 1857 burial ground -&gt; 1904 'Cementerio Chino' -&gt; 1906 'CHINESE CEMETERY' -&gt; 1938 anonymous -&gt; 1947 unlabeled.</t>
  </si>
  <si>
    <t>A-2317</t>
  </si>
  <si>
    <t>SILVER CITY TOWNSITE (ED 2-14 quad)</t>
  </si>
  <si>
    <t>CENSUS1940_SILVERCITY (5838622 p.011), georef 2026-09-15</t>
  </si>
  <si>
    <t>'SILVER CITY TOWNSITE' spelled across the grid: every multi-family house numbered (6001-6076+), REYES STREET named, the Bolivar highway and the Mount Hope yard below. Hull-to-hull fit against the ATLANTIC1947 trace (W-corner validates at 23 m; ±100-150 m absolute, ±1 m relative). Extent traced.</t>
  </si>
  <si>
    <t>A-2318</t>
  </si>
  <si>
    <t>CHURCH (Silver City)</t>
  </si>
  <si>
    <t>CHURCH labeled by name on the 1940 quad - unlike Culebra's number-stripped civic layer, the silver town's church is NAMED on the official enumeration base.</t>
  </si>
  <si>
    <t>A-2319</t>
  </si>
  <si>
    <t>SCHOOL (Silver City)</t>
  </si>
  <si>
    <t>SCHOOL labeled by name - the silver town school on the official 1940 base (no racial designation in the label; the town itself is the designation).</t>
  </si>
  <si>
    <t>A-2320</t>
  </si>
  <si>
    <t>BALL PARK (Silver City)</t>
  </si>
  <si>
    <t>BALL PARK labeled - the recreation ground of the silver town, 1940.</t>
  </si>
  <si>
    <t>A-2321</t>
  </si>
  <si>
    <t>Mount Hope yard (Yard Master Office, Scales, shops)</t>
  </si>
  <si>
    <t>The yard drawn track-by-track below Silver City: YARD MASTER OFFICE 5062, SCALES 5066, CAR INSP., SHOP rows, Garage 5067, Storehouse - the working Atlantic yard, 1940.</t>
  </si>
  <si>
    <t>A-2322</t>
  </si>
  <si>
    <t>CAMP BIERD (drawn barracks-by-barracks)</t>
  </si>
  <si>
    <t>RESOLVED 2026-09-16 (was 'Camp Bierd 1940 status unresolved'): the camp IS drawn in full on the 1940 census base, found on pages 008/011 S of the yard - vertical CAMP BIERD letters, numbered barracks rows (1107-1607+, 3339-5107), BASEBALL GROUNDS, No.5 SUBSTATION, club + oval drive, roundhouse W. It had been missed because the SILVERCITY quad's southern photostat strip is internally offset ~1 km from the hull-controlled town strip (pasted composite; caveat in GEOREF_LOG). Coordinate carried from the graticule-true ATLANTIC1947 frame (relative content matches: yard W, oval drive S); the census strip's own georef is not trusted for position. The silver labor camp at full strength in 1940.</t>
  </si>
  <si>
    <t>A-2323</t>
  </si>
  <si>
    <t>National Archives catalog, Record Group 185 search (retro audit 2026-09-15)</t>
  </si>
  <si>
    <t>116 descriptions: photograph 'Street Scene in Guachapali, Panama'; metal-check application of Hubert Lindsay, born 1897, place of birth Guachapali (the rest are applications with other birthplaces that mention the district).</t>
  </si>
  <si>
    <t>A-2324</t>
  </si>
  <si>
    <t>1 digitized index file unit ('Buildings by Contract THRU Car(s) Passenger'); "Cansa Loma" 0. Card not read.</t>
  </si>
  <si>
    <t>A-2325</t>
  </si>
  <si>
    <t>104 descriptions: photographs of the Silver City Occupational High School, cantonment-type and local-rate masonry quarters, houses 6019/6092/6098.</t>
  </si>
  <si>
    <t>A-2326</t>
  </si>
  <si>
    <t>Culebra Baptist</t>
  </si>
  <si>
    <t>1 hit inside 'Marriage Licenses, Second Balboa Division, 1-1199 (1907-1909)' - probably the Culebra Baptist church or its minister named on a license. Not read at item level.</t>
  </si>
  <si>
    <t>A-2327</t>
  </si>
  <si>
    <t>200 descriptions: 'Ancon Hospital - The ambulance, 1906'; Administration Building Dec 1918; Entrance and Library 1919; wards incl. 'Ward #9 (Spanish)'; 'French - Ancon Hospital, US, Gorgas Hospital' series.</t>
  </si>
  <si>
    <t>A-2328</t>
  </si>
  <si>
    <t>14 digitized index file units (e.g. 'Reimbursement THRU Report(s), Medical'); no photograph or item title. Cards not read.</t>
  </si>
  <si>
    <t>A-2329</t>
  </si>
  <si>
    <t>5 digitized index file units ('Sewer(s) at Panama THRU Signal Station(s) Marine', 'Road(s) THRU Sale(s)'). The Central File indexed a 'Chinese Cemetery' even though the Canal Record never names one (A-2071). Cards not read; identity with the Ancon enclosure not verified.</t>
  </si>
  <si>
    <t>A-2330</t>
  </si>
  <si>
    <t>Photograph 'New Empire - Chorrera Road, near Empire Aug 29, 1912' - the new town names the road; plus 3 index file units.</t>
  </si>
  <si>
    <t>A-2331</t>
  </si>
  <si>
    <t>102 descriptions: photographs of the 'Curundu Silver Commissary' (and its opening) and the 'Panama Railroad Curundu Commissary' - a silver-rate community at Curundu.</t>
  </si>
  <si>
    <t>A-2332</t>
  </si>
  <si>
    <t>33 hits, mostly Third Cristobal Division marriage-license volumes 1942-1966 - Coco Solito given as a residence; plus index file units.</t>
  </si>
  <si>
    <t>A-2333</t>
  </si>
  <si>
    <t>142 descriptions: 'New Cristobal Four Family Quarters, March, 1919'; 'Birdseye view of Colon and New Cristobal Jan 1919'; New Cristobal High School; a metal-check applicant born in New Cristobal.</t>
  </si>
  <si>
    <t>A-2334</t>
  </si>
  <si>
    <t>27 hits, mostly First Balboa Division marriage-license volumes 1942-1955 - Lacona given as a residence. First documentary trace of this 1947-sheet name outside the map.</t>
  </si>
  <si>
    <t>A-2335</t>
  </si>
  <si>
    <t>13 digitized index file units (incl. 'Railroad Station(s) THRU Regulators'). Cards not read.</t>
  </si>
  <si>
    <t>A-2336</t>
  </si>
  <si>
    <t>ZERO descriptions for either delivery-route name - known only from McDonald's letter.</t>
  </si>
  <si>
    <t>A-2337</t>
  </si>
  <si>
    <t>Photograph 'Photograph of Bishop's Hollow' plus 11 index file units.</t>
  </si>
  <si>
    <t>A-2338</t>
  </si>
  <si>
    <t>ZERO descriptions.</t>
  </si>
  <si>
    <t>A-2339</t>
  </si>
  <si>
    <t>Culebra Rio Grande / Rio Grande camp</t>
  </si>
  <si>
    <t>3 digitized index file units. Cards not read.</t>
  </si>
  <si>
    <t>A-2340</t>
  </si>
  <si>
    <t>police station at Culebra</t>
  </si>
  <si>
    <t>3 digitized index file units ('Pay, Rate(s) of THRU Permanent Plant', 'Suicide THRU Tank(s), Swimming'). Cards not read.</t>
  </si>
  <si>
    <t>A-2341</t>
  </si>
  <si>
    <t>Canal Zone Penitentiary at Culebra</t>
  </si>
  <si>
    <t>Photograph 'Canal Zone Penitentiary at Culebra CZ 1905', plus 15 index file units (e.g. 'Panama Canal Zone Workers Organizing Committee'). LIFESPAN: evidence from 1905.</t>
  </si>
  <si>
    <t>A-2342</t>
  </si>
  <si>
    <t>A-2343</t>
  </si>
  <si>
    <t>'D-5 - Deeds to Barro Colorado Abajo' plus 5 index file units - the land title, as in the Canal Record awards.</t>
  </si>
  <si>
    <t>A-2344</t>
  </si>
  <si>
    <t>A-2345</t>
  </si>
  <si>
    <t>A-2346</t>
  </si>
  <si>
    <t>Horqueta</t>
  </si>
  <si>
    <t>1 digitized index file unit for 'Horqueta' and for 'Palo Horqueta' ('Overtime THRU Pass(es), Abuse of (RR)') - probably the estate name.</t>
  </si>
  <si>
    <t>A-2347</t>
  </si>
  <si>
    <t>Palenquilla / Palenquillo</t>
  </si>
  <si>
    <t>1 index file unit for each spelling - probably the 'Palenquilla and Frijol Grande' estate.</t>
  </si>
  <si>
    <t>A-2348</t>
  </si>
  <si>
    <t>A-2349</t>
  </si>
  <si>
    <t>A-2350</t>
  </si>
  <si>
    <t>ZERO descriptions for either form.</t>
  </si>
  <si>
    <t>A-2351</t>
  </si>
  <si>
    <t>Photographs 'Street Scene in Maranon, Panama, December, 1908' and 'Old Street and Buildings in Maranon Section of Guachipali, before improvements - June, 1910' - the quarter photographed on the eve of US sanitary 'improvements'; plus marriage licenses 1907-1913 and 1920-1924.</t>
  </si>
  <si>
    <t>A-2352</t>
  </si>
  <si>
    <t>21 hits: 20 digitized index file units and a metal-check application. Cards not read.</t>
  </si>
  <si>
    <t>A-2353</t>
  </si>
  <si>
    <t>191 hits: applicants born in Chorrillo, photographs of a fire at Lower 26th Street - the later El Chorrillo district that took the spring's name.</t>
  </si>
  <si>
    <t>A-2354</t>
  </si>
  <si>
    <t>Catholic / foreign cemetery</t>
  </si>
  <si>
    <t>ZERO descriptions for "Catholic cemetery" and "foreign cemetery".</t>
  </si>
  <si>
    <t>A-2355</t>
  </si>
  <si>
    <t>Santa Ana Plaza</t>
  </si>
  <si>
    <t>Photographs 'City of Panama: Santa Ana Plaza and "C" Street 1924' and 'Santa Ana Plaza: City of Panama Oct 12, 1925'.</t>
  </si>
  <si>
    <t>A-2356</t>
  </si>
  <si>
    <t>A-2357</t>
  </si>
  <si>
    <t>5 digitized index file units (e.g. 'Magazine(s) (Explos) THRU Marihuana'). Cards not read.</t>
  </si>
  <si>
    <t>A-2358</t>
  </si>
  <si>
    <t>A-2359</t>
  </si>
  <si>
    <t>251 descriptions: 'Tivoli Hotel, Ancon 1912', lobby, dining room, private sitting room, reading room; 1951 photographs; Tivoli Guest House.</t>
  </si>
  <si>
    <t>A-2360</t>
  </si>
  <si>
    <t>ZERO descriptions. | RETRACTED 2026-09-16: false negative. The probe searched 'Mount Zion reservoir' and 'Mt. Zion reservoir'; Record Group 185 calls it Zion Hill Reservoir, and a search on that name returns a described photograph - 'Gaillard Cut East Culebra Slide area Looking East and North from Zion Hill Reservoir elevation +550'. Replaced by A-ZIONFIX.</t>
  </si>
  <si>
    <t>A-2361</t>
  </si>
  <si>
    <t>275 descriptions: Camp Bierd clubhouse (lobby, dining room, soda fountain), Camp Bierd Commissary, 'Cristobal Silver Clubhouse'.</t>
  </si>
  <si>
    <t>A-2362</t>
  </si>
  <si>
    <t>Photographs 'Mount Hope Cemetery - 1910' and 'Mount Hope Cemetery April, 1914'; burial index cards and disposition-of-remains registers 1937-1978.</t>
  </si>
  <si>
    <t>A-2363</t>
  </si>
  <si>
    <t>33 hits incl. Third Cristobal Division marriage-license volumes 1928-1932 and 1932-1937, plus index file units.</t>
  </si>
  <si>
    <t>A-2364</t>
  </si>
  <si>
    <t>A-2365</t>
  </si>
  <si>
    <t>A-2366</t>
  </si>
  <si>
    <t>retro absence audit (crop read) - map_verdicts_20260915.txt</t>
  </si>
  <si>
    <t>c.1904 occupation map: point on blank contoured upland between the Barbacoas and San Pablo villages (both lettered with house dots); no Caimito name or marks.</t>
  </si>
  <si>
    <t>A-2367</t>
  </si>
  <si>
    <t>c.1904 map: same window as Caimito; no Mulato name or marks.</t>
  </si>
  <si>
    <t>A-2368</t>
  </si>
  <si>
    <t>c.1904 map: point by the railroad S of 'Ahorca Lagarto' (lettered with house dots), 'Las Penitas' and 'Penitas Swamp' W; no Juan Gallego name.</t>
  </si>
  <si>
    <t>A-2369</t>
  </si>
  <si>
    <t>c.1904 map: 'Gatun' lettered with house dots on the railroad E of the Chagres, and 'Gatun I.' with dot rows beside it, ~1 km E of the stored point - the old village before the dam.</t>
  </si>
  <si>
    <t>A-2370</t>
  </si>
  <si>
    <t>(buildings on Cerro Ancon)</t>
  </si>
  <si>
    <t>c.1904 map: building blocks drawn on the NE shoulder of the contoured Ancon hill beside Panama's grid; no Ancon lettering in the window.</t>
  </si>
  <si>
    <t>A-2371</t>
  </si>
  <si>
    <t>c.1904 map: contoured Ancon slope with no cemetery symbol at this scale.</t>
  </si>
  <si>
    <t>A-2372</t>
  </si>
  <si>
    <t>c.1904 map: 'Car[ta]genita' lettered with rows of house dots ~800 m NW of the stored point, beside 'LaBoca' and the railroad - the La Boca-side village named at the start of US occupation.</t>
  </si>
  <si>
    <t>A-2373</t>
  </si>
  <si>
    <t>c.1904 map: 'Pedro Miguel' lettered with house dots strung along the railroad ~700 m W of the stored point; 'Miraflores' lettered just S.</t>
  </si>
  <si>
    <t>A-2374</t>
  </si>
  <si>
    <t>LaBoca</t>
  </si>
  <si>
    <t>c.1904 map: 'LaBoca' lettered with house-dot rows beside the railroad and pier ~1.4 km N of the stored point (the stored point falls in the bay under this corner's frame offset).</t>
  </si>
  <si>
    <t>A-2375</t>
  </si>
  <si>
    <t>c.1904 map: 'Corozal' lettered with house dots along the railroad ~1.9 km N of the stored point (seen in the Cocoli window); the stored point's own window shows only railroad dot rows ~700 m NW. Position disagreement recorded, not resolved.</t>
  </si>
  <si>
    <t>A-2376</t>
  </si>
  <si>
    <t>c.1904 map: 'Paraiso' lettered with dense house dots on both sides of the railroad ~800 m NE of the stored point.</t>
  </si>
  <si>
    <t>A-2377</t>
  </si>
  <si>
    <t>c.1904 map: point on the contoured slope W of the 'Cartagenita' lettering; no Cucaracha name or marks.</t>
  </si>
  <si>
    <t>A-2378</t>
  </si>
  <si>
    <t>c.1904 map: 'Cartagenita' lettered with rows of house dots ~400 m NNW of the stored point, between Cucaracha and Paraiso. The same sheet also letters the La Boca Cartagenita (CZ-170) - two distinct villages at the start of US occupation.</t>
  </si>
  <si>
    <t>A-2379</t>
  </si>
  <si>
    <t>c.1904 map: the stored point lies on the 'Cartagenita' lettering; Paraiso's house dots NE but no works or shops symbol at this scale.</t>
  </si>
  <si>
    <t>A-2380</t>
  </si>
  <si>
    <t>c.1904 map: point beside the red proposed-works line S of Pedro Miguel; no camp dots.</t>
  </si>
  <si>
    <t>A-2381</t>
  </si>
  <si>
    <t>c.1904 map: the stored point (the 1909 zone map's Rio Grande, S of Culebra) falls on contoured hills and streams with no house dots or name within ~1.5 km.</t>
  </si>
  <si>
    <t>A-2382</t>
  </si>
  <si>
    <t>c.1904 map: contoured hills SW of 'Bas Obispo' and 'Haut [Obispo]'; no camp marks - the Marine camp post-dates the compilation.</t>
  </si>
  <si>
    <t>A-2383</t>
  </si>
  <si>
    <t>c.1904 map: contoured hills W of Bas Obispo; no settlement or name.</t>
  </si>
  <si>
    <t>A-2384</t>
  </si>
  <si>
    <t>c.1904 map: upper Chagres point in faded contoured ground; no house dots or name. North-interior accuracy is +-400-800 m, so the silence is weak.</t>
  </si>
  <si>
    <t>A-2385</t>
  </si>
  <si>
    <t>c.1904 map: 'Chagres' lettered with a column of house dots ~900 m NE of the stored point, below 'FORT SAN LORENZO'.</t>
  </si>
  <si>
    <t>A-2386</t>
  </si>
  <si>
    <t>c.1904 map: point on contoured slope NE of the railroad above 'Alto Emperador'; no station or name - the station name post-dates the compilation.</t>
  </si>
  <si>
    <t>A-2387</t>
  </si>
  <si>
    <t>c.1904 map: upper Chagres meanders drawn with contours; no house dots or name. Weak north-interior georeference.</t>
  </si>
  <si>
    <t>A-2388</t>
  </si>
  <si>
    <t>c.1904 map: same upper Chagres window; no house dots or name.</t>
  </si>
  <si>
    <t>A-2389</t>
  </si>
  <si>
    <t>c.1904 map: point on a stream bend W of the railroad, 'Car[ta]genita' and 'LaBoca' lettered SE; no Diablo name or marks - consistent with a camp founded by 1905-06.</t>
  </si>
  <si>
    <t>A-2390</t>
  </si>
  <si>
    <t>c.1904 map: contoured hills E of the Chagres with no house dots or name. Weak north-interior georeference.</t>
  </si>
  <si>
    <t>A-2391</t>
  </si>
  <si>
    <t>c.1904 map: contoured hills S of the 'Culebra' house blocks, 'Cucara[cha]' and 'Carta[genita]' lettered E and SE; no Enterprise name or marks.</t>
  </si>
  <si>
    <t>A-2392</t>
  </si>
  <si>
    <t>c.1904 map: point on the slope below the 'Las Cascadas' lettering beside the railroad, 'Haut Obispo' N; no Whitehouse or Casa Blanca name.</t>
  </si>
  <si>
    <t>A-2393</t>
  </si>
  <si>
    <t>c.1904 map: contoured ridge E of 'Las Cruces' (lettered with house dots); no Palo Grande name or marks.</t>
  </si>
  <si>
    <t>A-2394</t>
  </si>
  <si>
    <t>c.1904 map: contoured hills W of the Rio Grande, 'Corozal' and 'Rio Grande' lettered NE; no Cocoli name or marks.</t>
  </si>
  <si>
    <t>A-2395</t>
  </si>
  <si>
    <t>Chagrecito</t>
  </si>
  <si>
    <t>c.1904 map: 'Chagrecito' lettered with house dots on the railroad N of 'Tavernilla', ~1.4 km from the stored point (seen in the Juan Maria window; the stored point's own window missed it).</t>
  </si>
  <si>
    <t>A-2396</t>
  </si>
  <si>
    <t>c.1904 map: point on the railroad bank beside 'Las Penitas' (lettered with a few dots) and 'Las Penitas Swamp'; no Palo Matias name.</t>
  </si>
  <si>
    <t>A-2397</t>
  </si>
  <si>
    <t>c.1904 map: contoured hills S of 'Gorgona', 'Matachin' NE; no Carabali name, stream or settlement lettered.</t>
  </si>
  <si>
    <t>A-2398</t>
  </si>
  <si>
    <t>c.1904 map: upper Chagres tributary with contours; no house dots or name. Weak north-interior georeference.</t>
  </si>
  <si>
    <t>A-2399</t>
  </si>
  <si>
    <t>c.1904 map: braided river channels in faded ground; no house dots or name.</t>
  </si>
  <si>
    <t>A-2400</t>
  </si>
  <si>
    <t>c.1904 map: same river window; no house dots or name.</t>
  </si>
  <si>
    <t>A-2401</t>
  </si>
  <si>
    <t>(railroad-side dot rows)</t>
  </si>
  <si>
    <t>c.1904 map: rows of dots along the railroad ~300 m NE of the stored point and a walled compound of dot rows E, beside the 'Emperador' lettering - French-era works fabric, not named as shops.</t>
  </si>
  <si>
    <t>A-2402</t>
  </si>
  <si>
    <t>c.1904 map: point between 'Caballo Viejo' (lettered with house dots) and 'Gorgona' (lettered with house blocks) on the railroad; no Cansaloma name - the 1862 village is absorbed between the two by 1904.</t>
  </si>
  <si>
    <t>A-2403</t>
  </si>
  <si>
    <t>c.1904 map: contoured hills with streams; no house dots or name. Weak north-interior georeference.</t>
  </si>
  <si>
    <t>A-2404</t>
  </si>
  <si>
    <t>c.1904 map: point on a Chagres meander SW of 'Gatun I.'; swamp symbols, no house dots or name.</t>
  </si>
  <si>
    <t>A-2405</t>
  </si>
  <si>
    <t>c.1904 map: blank floodplain W of the Chagres below 'Gatun I.'; no village or name.</t>
  </si>
  <si>
    <t>A-2406</t>
  </si>
  <si>
    <t>c.1904 map: floodplain between the railroad and a Chagres channel, 'Lion Hill' N and 'Las Penitas' SE lettered; no Palo Matias Nuevo.</t>
  </si>
  <si>
    <t>A-2407</t>
  </si>
  <si>
    <t>c.1904 map: same floodplain window beside the river channel; no name or house dots.</t>
  </si>
  <si>
    <t>A-2408</t>
  </si>
  <si>
    <t>c.1904 map: swamp land N of 'Lion Hill' and 'Black Swamp' lettering; no settlement or name.</t>
  </si>
  <si>
    <t>A-2409</t>
  </si>
  <si>
    <t>c.1904 map: contoured hills SW of 'Barbacoas' (lettered with house dots on the railroad); no settlement or name.</t>
  </si>
  <si>
    <t>A-2410</t>
  </si>
  <si>
    <t>c.1904 map: contoured stream valley W of 'Las C[ascadas]'; no settlement or name.</t>
  </si>
  <si>
    <t>A-2411</t>
  </si>
  <si>
    <t>c.1904 map: contoured stream valley NE of 'Paraiso' (lettered with house dots); no Dominica name or marks.</t>
  </si>
  <si>
    <t>A-2412</t>
  </si>
  <si>
    <t>c.1904 map: river meander W of the railroad, 'Rio Grande' and 'Cor[ozal]' lettered E; no Cardenas name or marks.</t>
  </si>
  <si>
    <t>A-2413</t>
  </si>
  <si>
    <t>c.1904 map: contoured stream valley E of 'Emperador' and N of 'Culebra'; no station or name.</t>
  </si>
  <si>
    <t>A-2414</t>
  </si>
  <si>
    <t>c.1904 map: railroad yard buildings drawn S of Colon's grid with 'Mt. Hope' lettered SE; no cemetery symbol at the stored point.</t>
  </si>
  <si>
    <t>A-2415</t>
  </si>
  <si>
    <t>c.1904 map: swamp land S of 'Lion Hill' and W of 'Black Swamp' on the railroad; no Dos Hermanas name or marks.</t>
  </si>
  <si>
    <t>A-2416</t>
  </si>
  <si>
    <t>(house dots beside the railroad)</t>
  </si>
  <si>
    <t>c.1904 map: a small cluster of house dots beside the railroad ~400 m E of the stored point, between 'Chagrecito' and 'Tavernilla'; not named Juan Maria.</t>
  </si>
  <si>
    <t>A-2417</t>
  </si>
  <si>
    <t>c.1904 map: point on a river channel SW of 'Barbacoas' (lettered with house dots) and S of 'Tavernilla'; no Agua Bendita name.</t>
  </si>
  <si>
    <t>A-2418</t>
  </si>
  <si>
    <t>1940 census ED map, Ancon-Balboa Heights quad: 'TIVOLI HOTEL' lettered on its building ~150 m SE of the stored point, beside Parque de Lesseps.</t>
  </si>
  <si>
    <t>A-2419</t>
  </si>
  <si>
    <t>CEMETERY (x4)</t>
  </si>
  <si>
    <t>1940 census Ancon quad: four enclosures lettered 'CEMETERY' beside 'PRR STABLES' on the Panama side of the Zone boundary - the municipal cemetery row, still standing in 1940.</t>
  </si>
  <si>
    <t>A-2420</t>
  </si>
  <si>
    <t>1940 census Ancon quad: point by the 'PRR STABLES' next to the cemetery row at the Zone boundary; no Chorrillo name.</t>
  </si>
  <si>
    <t>A-2421</t>
  </si>
  <si>
    <t>1940 census Ancon quad: the stored point falls among Quarry Heights house lots; no cemetery at that spot (the cemeteries labeled on the sheet are the Panama row ~1.2 km SE). Stored coordinate may be off.</t>
  </si>
  <si>
    <t>A-2422</t>
  </si>
  <si>
    <t>(Quarry Heights house lots)</t>
  </si>
  <si>
    <t>1940 census Ancon quad: numbered house lots along Heights Road at the stored point, 'HEIGHTS' lettered N.</t>
  </si>
  <si>
    <t>A-2423</t>
  </si>
  <si>
    <t>1940 census Ancon quad: the point falls on numbered Panama City streets ('Calle 3 de Noviembre', 'Calle 18-23 Este') outside the Zone boundary; the quarter name is absent, but the census map only enumerates the Zone, so silence is weak.</t>
  </si>
  <si>
    <t>A-2424</t>
  </si>
  <si>
    <t>1940 census Ancon quad: as CZ-156 - Panama City streets, no quarter name; outside the enumerated area.</t>
  </si>
  <si>
    <t>A-2425</t>
  </si>
  <si>
    <t>1940 census Ancon quad: Panama City street blocks with the large spread 'PANAMA' lettering; no Santa Ana name. Outside the enumerated Zone, so silence is weak.</t>
  </si>
  <si>
    <t>A-2426</t>
  </si>
  <si>
    <t>1940 census Ancon quad: as CZ-199.</t>
  </si>
  <si>
    <t>A-2427</t>
  </si>
  <si>
    <t>1940 census Ancon quad: the point falls in the blank zone just across the boundary from the Zone field; no Cocoa Grove name. Outside the enumerated Zone.</t>
  </si>
  <si>
    <t>A-2428</t>
  </si>
  <si>
    <t>1940 census Paraiso quad: the 1907 hotel site is empty contoured slope W of the relocated railroad; the 1940 Paraiso townsite (numbered houses 350-460) lies ~500 m E. The old town's buildings are gone.</t>
  </si>
  <si>
    <t>A-2429</t>
  </si>
  <si>
    <t>1940 census Paraiso quad: as CZ-151 - empty slope at the 1907 site, the 'Paraiso' elevation lettering beside it.</t>
  </si>
  <si>
    <t>A-2430</t>
  </si>
  <si>
    <t>1940 census Paraiso quad: empty contoured slope at the shops site; no buildings.</t>
  </si>
  <si>
    <t>A-2431</t>
  </si>
  <si>
    <t>(numbered yard buildings 310-317)</t>
  </si>
  <si>
    <t>1940 census Paraiso quad: numbered buildings 310-317 along the railroad yard at the stored point; not named as a labor camp.</t>
  </si>
  <si>
    <t>A-2432</t>
  </si>
  <si>
    <t>(yard buildings 310-311 and tracks)</t>
  </si>
  <si>
    <t>1940 census Paraiso quad: multi-track yard with numbered shop buildings 310-311 at the stored point; unlabeled.</t>
  </si>
  <si>
    <t>A-2433</t>
  </si>
  <si>
    <t>1940 census Ancon quad: Panama City shore blocks near 'OLD ENGLISH PIER'; no Cienega name. Outside the enumerated Zone.</t>
  </si>
  <si>
    <t>A-2434</t>
  </si>
  <si>
    <t>1940 census Ancon quad: numbered Panama City streets at the sheet edge; no Salsipuedes name. Outside the enumerated Zone.</t>
  </si>
  <si>
    <t>A-2435</t>
  </si>
  <si>
    <t>Pedro Miguel (old village)</t>
  </si>
  <si>
    <t>1940 census Paraiso quad: contoured hillside beside the compass rose, E of the relocated railroad; no houses at the old village site.</t>
  </si>
  <si>
    <t>A-2436</t>
  </si>
  <si>
    <t>1940 census Paraiso quad: the stored point lies inside the canal banks under the 'PANAMA [CANAL]' lettering - the village site is canal prism.</t>
  </si>
  <si>
    <t>A-2437</t>
  </si>
  <si>
    <t>1940 census Paraiso quad: contoured hills E of Paraiso townsite and W of the railroad kilometre posts 39-1/39-2; no houses or name.</t>
  </si>
  <si>
    <t>A-2438</t>
  </si>
  <si>
    <t>GATUN (ED 2-12)</t>
  </si>
  <si>
    <t>CENSUS1940_GATUN (5838624 p.001), georef 2026-09-15</t>
  </si>
  <si>
    <t>New Gatun 1940: the winding-street hill town E of GATUN LOCKS, the silver quarters grid NW, Stilson's Pond E - drawn building-by-building with ED survey annotations ('Point of Beginning (None of Monument)'). NOT INDEPENDENT at the town point (fit anchor with the locks; short baseline - rotation ±3-4 deg, honest ±300-500 m absolute; relative geometry ±2 m). Extent traced.</t>
  </si>
  <si>
    <t>A-2439</t>
  </si>
  <si>
    <t>silver quarters grid (NW rows)</t>
  </si>
  <si>
    <t>~14 barracks rows NW of the town toward the locks approach - the labor quarters block of New Gatun, 1940.</t>
  </si>
  <si>
    <t>A-2440</t>
  </si>
  <si>
    <t>Commissary 138 / Police Station / R.R. station</t>
  </si>
  <si>
    <t>Monte Lirio ED 2-22 sheet (5838625 p.001), read 2026-09-15 (not warped)</t>
  </si>
  <si>
    <t>Monte Lirio 1940 = almost nothing: the ED sheet (sections 29/30) draws the relocated PRR line with COMMISSARY 138, a POLICE STATION, the station and a handful of structures - a town thinned to line infrastructure. Coords = stored point (sheet not warped: featureless strip, anchors too weak for the precision standard). The thinness IS the reading.</t>
  </si>
  <si>
    <t>A-2441</t>
  </si>
  <si>
    <t>CHRIST MISSION CHURCH / SDA CHURCH / M.E. CHURCH (Colon, ED 2-6)</t>
  </si>
  <si>
    <t>Colon ED 2-6 quad (5838622 p.001), read 2026-09-15 (not warped)</t>
  </si>
  <si>
    <t>The Colon quad draws the city street-by-street with its churches NAMED: CHRIST MISSION CHURCH (the West Indian Anglican congregation, beside St. Vincente de Paul Escuela), SDA CHURCH, M.E. CHURCH - the Caribbean denominational geography of Colon on the official 1940 base. Read-only (Republic-side city; CZ-017 coverage already dense; no warp).</t>
  </si>
  <si>
    <t>A-2442</t>
  </si>
  <si>
    <t>Summit ED 1-16 (dispersed parcels)</t>
  </si>
  <si>
    <t>Summit ED 1-16 sheet (5838616 p.001), read 2026-09-15 (not warped)</t>
  </si>
  <si>
    <t>Summit's 1940 ED = a polygon of dispersed parcels and scattered structures along roads (sections 7/13/14/17/20) - the Experiment Gardens settlement form: no town grid at all. Not warped (anchors below the precision standard); the dispersed form recorded as the reading. [SUPERSEDED in part 2026-09-16: the sheet's vertex labels decoded into a rotated graticule and the quad is now warped graticule-true (A-2722) - 'dispersed parcels' undersold it: the parcels are the Plant Introduction Gardens road web with botanical street names.]</t>
  </si>
  <si>
    <t>A-2443</t>
  </si>
  <si>
    <t>Albrook Flying Field (ED sheet annotation)</t>
  </si>
  <si>
    <t>Albrook sheet (5838606 p.001), read 2026-09-15 (not warped)</t>
  </si>
  <si>
    <t>The Albrook page carries only the handwritten annotation 'Albrook Flying Field' across an almost-empty quad (sections 4/11) - the airfield enumerated as a named void.</t>
  </si>
  <si>
    <t>A-2444</t>
  </si>
  <si>
    <t>Palo Seco Leper Colony Boundary</t>
  </si>
  <si>
    <t>Palo Seco boundary map (5838612 p.001), read 2026-09-15 (not warped)</t>
  </si>
  <si>
    <t>'MAP SHOWING PALO SECO LEPER COLONY BOUNDARY' - the colony as a bounded reservation next to the Bruja Point Military Reservation, with acreage stated. boundary-plot genre (no building content). [CORRECTED 2026-09-16: the original 'positional check consistent with stored fix' claim was WRONG - the graticule-true warp of this same sheet (A-2599, dwg 6100-90) showed the then-stored M1947-derived fix lay in the entrance-channel water ~1.4 km E; CZ-048's coordinate has been moved to the surveyed tract centroid.]</t>
  </si>
  <si>
    <t>A-2445</t>
  </si>
  <si>
    <t>FORT CLAYTON + Corozal Hospital Farm</t>
  </si>
  <si>
    <t>Fort Clayton ED 1-21 sheet (5838609 p.001), read 2026-09-15 (not warped)</t>
  </si>
  <si>
    <t>FORT CLAYTON labeled with the post drawn; 'COROZAL HOSPITAL FARM' annotated SE toward Corozal - the institutional farm landscape between post and town (features CSV). [CLARIFIED 2026-09-16: 'the post drawn' here means the POST OF COROZAL building cluster (drawn on p.003); Fort Clayton's own cantonment is drawn on NONE of the item's four pages - the bounded-blank reading (A-2595) stands.]</t>
  </si>
  <si>
    <t>A-2446</t>
  </si>
  <si>
    <t>COLON R.P. / CRISTOBAL</t>
  </si>
  <si>
    <t>Official Aug-1920 zone map (NARA 6861830), read 2026-09-15</t>
  </si>
  <si>
    <t>Labeled on the official Aug-1-1920 zone map.</t>
  </si>
  <si>
    <t>A-2447</t>
  </si>
  <si>
    <t>A-2448</t>
  </si>
  <si>
    <t>GATUN (+ Gatun Locks)</t>
  </si>
  <si>
    <t>A-2449</t>
  </si>
  <si>
    <t>A-2450</t>
  </si>
  <si>
    <t>A-2451</t>
  </si>
  <si>
    <t>Labeled on the official Aug-1-1920 zone map. [UNDATED at row level: Aug-1920 is the MAP date; for a place ended 1913-16 the label is persistence/successor-referent evidence (locks, station, district name), not settlement survival.]</t>
  </si>
  <si>
    <t>A-2452</t>
  </si>
  <si>
    <t>A-2453</t>
  </si>
  <si>
    <t>Labeled on the official Aug-1-1920 zone map. Post-depopulation label persistence on the OFFICIAL map - pairs with the 1927 sheet (the district names outlive the towns).</t>
  </si>
  <si>
    <t>A-2454</t>
  </si>
  <si>
    <t>Labeled on the official Aug-1-1920 zone map. Post-depopulation label persistence on the OFFICIAL map - pairs with the 1927 sheet (the district names outlive the towns). [UNDATED at row level: Aug-1920 is the MAP date; for a place ended 1913-16 the label is persistence/successor-referent evidence (locks, station, district name), not settlement survival.]</t>
  </si>
  <si>
    <t>A-2455</t>
  </si>
  <si>
    <t>A-2456</t>
  </si>
  <si>
    <t>A-2457</t>
  </si>
  <si>
    <t>Miraflores (locks/lake)</t>
  </si>
  <si>
    <t>A-2458</t>
  </si>
  <si>
    <t>A-2459</t>
  </si>
  <si>
    <t>A-2460</t>
  </si>
  <si>
    <t>A-2461</t>
  </si>
  <si>
    <t>Labeled on the official Aug-1-1920 zone map. The upper-Chagres village on an OFFICIAL map, Aug 1920 - corroborates the Hammond-1927 east-Chagres reads with an official source (all drowned by Madden 1935).</t>
  </si>
  <si>
    <t>A-2462</t>
  </si>
  <si>
    <t>A-2463</t>
  </si>
  <si>
    <t>A-2464</t>
  </si>
  <si>
    <t>A-2465</t>
  </si>
  <si>
    <t>A-2466</t>
  </si>
  <si>
    <t>OFFICIAL-MAP ABSENCE Aug 1920: no label at the drowned site on the Governor's zone map - the official erasure of the lake towns is now dated to &lt;=Aug 1920 (previously bounded at Jan 1927). Photo-copy resolution: Medium confidence.</t>
  </si>
  <si>
    <t>A-2467</t>
  </si>
  <si>
    <t>A-2468</t>
  </si>
  <si>
    <t>A-2469</t>
  </si>
  <si>
    <t>A-2470</t>
  </si>
  <si>
    <t>A-2471</t>
  </si>
  <si>
    <t>A-2472</t>
  </si>
  <si>
    <t>A-2473</t>
  </si>
  <si>
    <t>A-2474</t>
  </si>
  <si>
    <t>Official Aug-1920 zone map (NARA 6861830), pass 2 2026-09-15</t>
  </si>
  <si>
    <t>Labeled on the official Aug-1920 map (missed in pass 1).</t>
  </si>
  <si>
    <t>A-2475</t>
  </si>
  <si>
    <t>Rio Cocoli</t>
  </si>
  <si>
    <t>The river labeled, the town not - the hydronym-first pattern persists on the official 1920 map.</t>
  </si>
  <si>
    <t>A-2476</t>
  </si>
  <si>
    <t>ABSENT from the official Aug-1920 zone map though established c.1919 and sizable - Summit and Paraiso are labeled at the same scale. Genre caveat noted; still expected+searched+absent.</t>
  </si>
  <si>
    <t>A-2477</t>
  </si>
  <si>
    <t>ABSENT from the Aug-1-1920 official map - CORROBORATION BY ABSENCE: the Canal Record shows Silver City being GRADED in Vol XIV (1920-21); the town did not yet exist to map. Founding c.1920 gains a cartographic lower bound.</t>
  </si>
  <si>
    <t>A-2478</t>
  </si>
  <si>
    <t>Absent at this scale (weak negative - camp-scale below the genre threshold).</t>
  </si>
  <si>
    <t>A-2479</t>
  </si>
  <si>
    <t>San Juan (upper-Chagres site)</t>
  </si>
  <si>
    <t>1934 memory map (NARA 185-G-211)</t>
  </si>
  <si>
    <t>CORRECTED 2026-09-16 (was a CZ-114 Name row for the map's 'San Juan (Inn)'). Chain-fit test (Colon+Panama city pins, ~273 ground m/px) places that inn at (9.2721, -79.7074) - 14.2 km W of CZ-114's stored point (9.2528, -79.5793); the same transform lands the map's Venta de Chagres ~1.8 km from the CZ-114 reach, so the offset is real, not fit noise. The inn is a DIFFERENT San Juan on the upper Camino Real (recorded as an unregistered candidate in NARA1934_features.csv). CZ-114 San Juan (Pequeni site) itself is UNMARKED on the 1934 historical map - a weak negative only: the sheet curates 1502-1855 memory, so a 19th-c. Chagres village is genre-expected to be absent. Net: the 'deep ancestry' claim for CZ-114 is withdrawn.</t>
  </si>
  <si>
    <t>A-2480</t>
  </si>
  <si>
    <t>Cruces (trail narrative)</t>
  </si>
  <si>
    <t>The CRUCES TRAIL narrative box (Ft. San Lorenzo up the Chagres by cayuco to Cruces, thence by trail to Panama, 1550-1855) - Cruces remembered as route history, twenty years after its successors drowned unmarked. [UNDATED: 1934 is the memory-map date - remembrance of the 1550-1855 trail, not existence evidence for the town.]</t>
  </si>
  <si>
    <t>A-2481</t>
  </si>
  <si>
    <t>ZERO pages in La Estrella de Panama's digitized run for the phrase(s). [Buena Vista camp:0] [La Estrella de Panama page search (LOC lccn 2010225009, full run) (retro audit 2026-09-16)]</t>
  </si>
  <si>
    <t>A-2482</t>
  </si>
  <si>
    <t>149 pages from 1907-02-19 in Panama's own paper. [Guachapali:149] [La Estrella de Panama page search (LOC lccn 2010225009, full run) (retro audit 2026-09-16)]</t>
  </si>
  <si>
    <t>A-2483</t>
  </si>
  <si>
    <t>ZERO pages in La Estrella de Panama's digitized run for the phrase(s). [Cansaloma:0; Cansa Loma:0] [La Estrella de Panama page search (LOC lccn 2010225009, full run) (retro audit 2026-09-16)]</t>
  </si>
  <si>
    <t>A-2484</t>
  </si>
  <si>
    <t>Baptist Mission</t>
  </si>
  <si>
    <t>Page hits exist but the name is ambiguous in this corpus, so the rows are undated leads pending page reading; earliest hit 1910-04-28. [Baptist church at Culebra:0; Culebra Baptist:0; Baptist Mission:2] [La Estrella de Panama page search (LOC lccn 2010225009, full run) (retro audit 2026-09-16)]</t>
  </si>
  <si>
    <t>A-2485</t>
  </si>
  <si>
    <t>ZERO pages in La Estrella de Panama's digitized run for the phrase(s). [Mount Zion:0; Mt. Zion:0] [La Estrella de Panama page search (LOC lccn 2010225009, full run) (retro audit 2026-09-16)]</t>
  </si>
  <si>
    <t>A-2486</t>
  </si>
  <si>
    <t>Hospital de Ancón</t>
  </si>
  <si>
    <t>'Hospital de Ancon' 346 pages from 1904-12-30 (plus 46 for the English form). [Ancon Hospital:46; Hospital de Ancón:346] [La Estrella de Panama page search (LOC lccn 2010225009, full run) (retro audit 2026-09-16)]</t>
  </si>
  <si>
    <t>A-2487</t>
  </si>
  <si>
    <t>'Cementerio de Ancon' 4 pages from 1909-03-04 and 4 more for the English form. [Ancon Cemetery:4; Cementerio de Ancón:4] [La Estrella de Panama page search (LOC lccn 2010225009, full run) (retro audit 2026-09-16)]</t>
  </si>
  <si>
    <t>A-2488</t>
  </si>
  <si>
    <t>'Cementerio Chino' 1 page, 1911-04-04 - the only newspaper trace of the Chinese cemetery found anywhere. [Chinese Cemetery:0; Cementerio Chino:1] [La Estrella de Panama page search (LOC lccn 2010225009, full run) (retro audit 2026-09-16)] | PAGE READ 2026-09-16 (round 2): VERIFIED - 1911-04-04 obituary of a Chinese community leader, 'miembro de la Directiva de la sociedad Wa On, depositaria de los fondos para la RECONSTRUCCION DEL CEMENTERIO CHINO en esta capital'. The burial ground exists in 1911 and its own community is funding its rebuilding - the only newspaper trace of it anywhere, against silence in the Canal Record and on every map after 1906.</t>
  </si>
  <si>
    <t>A-2489</t>
  </si>
  <si>
    <t>ZERO pages in La Estrella de Panama's digitized run for the phrase(s). [New Empire:0] [La Estrella de Panama page search (LOC lccn 2010225009, full run) (retro audit 2026-09-16)]</t>
  </si>
  <si>
    <t>A-2490</t>
  </si>
  <si>
    <t>17 pages from 1910-04-16; may be the hill rather than the camp. [Cerro Gordo:17] [La Estrella de Panama page search (LOC lccn 2010225009, full run) (retro audit 2026-09-16)] | PAGE READ 2026-09-16: page read: the hits are the HILL - a 1910-04-16 condemnation describes a farm near Emperador bounded 'por el Sur, con potreros... y la cuspide del Cerro Gordo'. Hill name, not the camp.</t>
  </si>
  <si>
    <t>A-2491</t>
  </si>
  <si>
    <t>36 pages from 1904-08-10; probably the river. [Curundu:36] [La Estrella de Panama page search (LOC lccn 2010225009, full run) (retro audit 2026-09-16)] | PAGE READ 2026-09-16: the Panamanian paper's 'Curundu' is likewise the river (see the US-press reading on A-2543).</t>
  </si>
  <si>
    <t>A-2492</t>
  </si>
  <si>
    <t>ZERO pages in La Estrella de Panama's digitized run for the phrase(s). [Coco Solito:0] [La Estrella de Panama page search (LOC lccn 2010225009, full run) (retro audit 2026-09-16)]</t>
  </si>
  <si>
    <t>A-2493</t>
  </si>
  <si>
    <t>ZERO pages in La Estrella de Panama's digitized run for the phrase(s). [New Cristobal:0] [La Estrella de Panama page search (LOC lccn 2010225009, full run) (retro audit 2026-09-16)]</t>
  </si>
  <si>
    <t>A-2494</t>
  </si>
  <si>
    <t>ZERO pages in La Estrella de Panama's digitized run for the phrase(s). [Lacona:0] [La Estrella de Panama page search (LOC lccn 2010225009, full run) (retro audit 2026-09-16)]</t>
  </si>
  <si>
    <t>A-2495</t>
  </si>
  <si>
    <t>12 pages from 1907-02-01. [Cartagenita:12] [La Estrella de Panama page search (LOC lccn 2010225009, full run) (retro audit 2026-09-16)] | PAGE READ 2026-09-16: verified - 1907-01-31 property advertisement: a two-storey house 'en terreno de la Zona del Canal en la Boca, calle de Cartagenita' - the La Boca Cartagenita as a STREET name inside the Zone.</t>
  </si>
  <si>
    <t>A-2496</t>
  </si>
  <si>
    <t>ZERO pages in La Estrella de Panama's digitized run for the phrase(s). [New Frijoles:0] [La Estrella de Panama page search (LOC lccn 2010225009, full run) (retro audit 2026-09-16)]</t>
  </si>
  <si>
    <t>A-2497</t>
  </si>
  <si>
    <t>ZERO pages in La Estrella de Panama's digitized run for the phrase(s). [Jamaica Town:0] [La Estrella de Panama page search (LOC lccn 2010225009, full run) (retro audit 2026-09-16)]</t>
  </si>
  <si>
    <t>A-2498</t>
  </si>
  <si>
    <t>ZERO pages in La Estrella de Panama's digitized run for the phrase(s). [Big Camacho:0; Small Camacho:0] [La Estrella de Panama page search (LOC lccn 2010225009, full run) (retro audit 2026-09-16)]</t>
  </si>
  <si>
    <t>A-2499</t>
  </si>
  <si>
    <t>1 page 1913-12-05 - the only press trace of Bishop's Hollow. [Bishop's Hollow:1; Bishops Hollow:1] [La Estrella de Panama page search (LOC lccn 2010225009, full run) (retro audit 2026-09-16)] | PAGE READ 2026-09-16: VERIFIED - 1913-12-05: on the workers' train 'cerca del Hotel Tivoli' 8-10 Black workers boarded the car reserved for European workers; at 'el sitio denominado Bishop's Hollow' a stone thrown as they got off fractured Francesco's skull, and he died. The place named in an account of segregated transport.</t>
  </si>
  <si>
    <t>A-2500</t>
  </si>
  <si>
    <t>ZERO pages in La Estrella de Panama's digitized run for the phrase(s). [Banana Walk:0] [La Estrella de Panama page search (LOC lccn 2010225009, full run) (retro audit 2026-09-16)]</t>
  </si>
  <si>
    <t>A-2501</t>
  </si>
  <si>
    <t>1 page 1906-08-01. [Culebra Rio Grande:1; Rio Grande camp:0] [La Estrella de Panama page search (LOC lccn 2010225009, full run) (retro audit 2026-09-16)] | PAGE READ 2026-09-16: page not re-read (segment fetch failed); the single 1906 hit stands as an undated-grade lead. | PAGE READ 2026-09-16 (round 2): VERIFIED - 1906-07-31 commercial notice: 'he comprado al senor Jacinto Luis su casa situada en Culebra, Rio Grande, Zona del Canal, y tambien las existencias y enseres de su casa comercial situada en el mismo lugar', signed Li Kui, R. Reyes - a Chinese-run shop at the Rio Grande works settlement, named as a place of business.</t>
  </si>
  <si>
    <t>A-2502</t>
  </si>
  <si>
    <t>1 page 1907-03-03. [Culebra police station:0; police station at Culebra:1] [La Estrella de Panama page search (LOC lccn 2010225009, full run) (retro audit 2026-09-16)] | PAGE READ 2026-09-16: verified - 1907-03-03: 'The Sergeant in command of the police station at Culebra informs the Man About Town that February was a very busy month... one hundred and eight arrests with one hundred and three convictions.'</t>
  </si>
  <si>
    <t>A-2503</t>
  </si>
  <si>
    <t>Penitenciaría de Culebra</t>
  </si>
  <si>
    <t>'Penitenciaria de Culebra' 19 pages from 1908-10-06, plus 7 for the English form. [Culebra penitentiary:7; penitentiary at Culebra:0; Penitenciaría de Culebra:19] [La Estrella de Panama page search (LOC lccn 2010225009, full run) (retro audit 2026-09-16)] | PAGE READ 2026-09-16 (round 2): VERIFIED - 1908-10-06: men convicted in the Zone Circuit Court under Judge Mutis Duran were sentenced to 'un ano en la Penitenciaria de Culebra, a la que ingresaron ayer'.</t>
  </si>
  <si>
    <t>A-2504</t>
  </si>
  <si>
    <t>ZERO pages in La Estrella de Panama's digitized run for the phrase(s). [Culebra pumping station:0; pumping station at Culebra:0] [La Estrella de Panama page search (LOC lccn 2010225009, full run) (retro audit 2026-09-16)]</t>
  </si>
  <si>
    <t>A-2505</t>
  </si>
  <si>
    <t>ZERO pages in La Estrella de Panama's digitized run for the phrase(s). [Diablo Heights:0] [La Estrella de Panama page search (LOC lccn 2010225009, full run) (retro audit 2026-09-16)]</t>
  </si>
  <si>
    <t>A-2506</t>
  </si>
  <si>
    <t>4 pages from 1908-05-23 - the estate name in the Panamanian press. [Barro Colorado Abajo:4] [La Estrella de Panama page search (LOC lccn 2010225009, full run) (retro audit 2026-09-16)] | PAGE READ 2026-09-16: verified - 1908-05-23 condemnation notice signed by J.C.S. Blackburn lists the estates taken 'para objetos del Canal': 'Barro Colorado, Barro Colorado Arriba, Barro Colorado Abajo, Penas Blancas arriba, Penas Blancas en medio, Palo Matias y Ahorca Lagarto, Palo Horqueta y Matias, Calle Bruja, Miraflores y Paraiso'.</t>
  </si>
  <si>
    <t>A-2507</t>
  </si>
  <si>
    <t>ZERO pages in La Estrella de Panama's digitized run for the phrase(s). [Rio Indio settlement:0; Indio Settlement:0] [La Estrella de Panama page search (LOC lccn 2010225009, full run) (retro audit 2026-09-16)]</t>
  </si>
  <si>
    <t>A-2508</t>
  </si>
  <si>
    <t>ZERO pages in La Estrella de Panama's digitized run for the phrase(s). [Palo Matias Nuevo:0] [La Estrella de Panama page search (LOC lccn 2010225009, full run) (retro audit 2026-09-16)]</t>
  </si>
  <si>
    <t>A-2509</t>
  </si>
  <si>
    <t>'Palo Horqueta' 4 pages from 1908-05-23; 7 for bare 'Horqueta'. [Palo Horqueta:4; Horqueta:7] [La Estrella de Panama page search (LOC lccn 2010225009, full run) (retro audit 2026-09-16)] | PAGE READ 2026-09-16: verified - 'Palo Horqueta y Matias' in the same 1908 condemnation notice, and 'Palo Horqueta y Matias 576 [hectares] Desconocido 5,760.00' in the 1908-08-09 award table.</t>
  </si>
  <si>
    <t>A-2510</t>
  </si>
  <si>
    <t>'Palenquilla' 1 page 1908-08-09; 'Palenquillo' 2 from 1913-06-26. [Palenquilla:1; Palenquillo:2] [La Estrella de Panama page search (LOC lccn 2010225009, full run) (retro audit 2026-09-16)] | PAGE READ 2026-09-16: verified - award table 1908-08-09: 'Palenquilla y Frijol Grande 190 Desconocido 1,900.00', beside 'Barro Colorado y Palenquilla 162.5'.</t>
  </si>
  <si>
    <t>A-2511</t>
  </si>
  <si>
    <t>ZERO pages in La Estrella de Panama's digitized run for the phrase(s). [Pedro Bernal:0] [La Estrella de Panama page search (LOC lccn 2010225009, full run) (retro audit 2026-09-16)]</t>
  </si>
  <si>
    <t>A-2512</t>
  </si>
  <si>
    <t>Mariposa</t>
  </si>
  <si>
    <t>Page hits exist but the name is ambiguous in this corpus, so the rows are undated leads pending page reading; earliest hit 1904-04-06. [Mari Posa:6; Mariposa:140] [La Estrella de Panama page search (LOC lccn 2010225009, full run) (retro audit 2026-09-16)]</t>
  </si>
  <si>
    <t>A-2513</t>
  </si>
  <si>
    <t>ZERO pages in La Estrella de Panama's digitized run for the phrase(s). [Noreza:0] [La Estrella de Panama page search (LOC lccn 2010225009, full run) (retro audit 2026-09-16)]</t>
  </si>
  <si>
    <t>A-2514</t>
  </si>
  <si>
    <t>Page hits exist but the name is ambiguous in this corpus, so the rows are undated leads pending page reading; earliest hit 1904-04-01. [Dominica:702] [La Estrella de Panama page search (LOC lccn 2010225009, full run) (retro audit 2026-09-16)]</t>
  </si>
  <si>
    <t>A-2515</t>
  </si>
  <si>
    <t>Page hits exist but the name is ambiguous in this corpus, so the rows are undated leads pending page reading; earliest hit 1904-06-04. [Cardenas:285] [La Estrella de Panama page search (LOC lccn 2010225009, full run) (retro audit 2026-09-16)]</t>
  </si>
  <si>
    <t>A-2516</t>
  </si>
  <si>
    <t>Halfway House</t>
  </si>
  <si>
    <t>Page hits exist but the name is ambiguous in this corpus, so the rows are undated leads pending page reading; earliest hit 1907-06-08. [Half Way House:0; Halfway House:1; La Vuella:1] [La Estrella de Panama page search (LOC lccn 2010225009, full run) (retro audit 2026-09-16)] | PAGE READ 2026-09-16: page read: 'La Vuella' is an OCR slip for 'la vuelta' in a philosophy column, and the 'Halfway House' page does not contain the phrase in its OCR - both leads unconfirmed.</t>
  </si>
  <si>
    <t>A-2517</t>
  </si>
  <si>
    <t>107 pages from 1905-09-22 for Maranon / Maranon with tilde. [Maranon:107; Marañón:107] [La Estrella de Panama page search (LOC lccn 2010225009, full run) (retro audit 2026-09-16)]</t>
  </si>
  <si>
    <t>A-2518</t>
  </si>
  <si>
    <t>120 pages from 1905-02-17. [Cocoa Grove:120] [La Estrella de Panama page search (LOC lccn 2010225009, full run) (retro audit 2026-09-16)]</t>
  </si>
  <si>
    <t>A-2519</t>
  </si>
  <si>
    <t>432 pages from 1904-06-18. [Chorrillo:432] [La Estrella de Panama page search (LOC lccn 2010225009, full run) (retro audit 2026-09-16)]</t>
  </si>
  <si>
    <t>A-2520</t>
  </si>
  <si>
    <t>Cementerio Católico</t>
  </si>
  <si>
    <t>'Cementerio Catolico' 14 pages from 1906-08-16 and 'Cementerio Hebreo' 6 from 1906-06-23 - two of the row's enclosures named in the Panamanian press. [Catholic cemetery:1; Hebrew cemetery:0; foreign cemetery:0; Cementerio Católico:14; Cementerio Hebreo:6; Cementerio de Extranjeros:0] [La Estrella de Panama page search (LOC lccn 2010225009, full run) (retro audit 2026-09-16)] | PAGE READ 2026-09-16: page read: the 1906-08-16 'Cementerio Catolico' sample is Kensal Green, LONDON; the count is not attributable to Panama's row without further reading, so the grade is lowered.</t>
  </si>
  <si>
    <t>A-2521</t>
  </si>
  <si>
    <t>3,732 pages from 1904-04-01 - the district named constantly in its own city's paper. [Santa Ana:3732] [La Estrella de Panama page search (LOC lccn 2010225009, full run) (retro audit 2026-09-16)]</t>
  </si>
  <si>
    <t>A-2522</t>
  </si>
  <si>
    <t>Ciénaga</t>
  </si>
  <si>
    <t>'Cienaga' 51 pages from 1904-06-03 (8 for the unaccented form). [Cienega:8; Ciénaga:51] [La Estrella de Panama page search (LOC lccn 2010225009, full run) (retro audit 2026-09-16)]</t>
  </si>
  <si>
    <t>A-2523</t>
  </si>
  <si>
    <t>671 pages from 1904-04-17. [Salsipuedes:671] [La Estrella de Panama page search (LOC lccn 2010225009, full run) (retro audit 2026-09-16)]</t>
  </si>
  <si>
    <t>A-2524</t>
  </si>
  <si>
    <t>561 pages from 1905-02-16. [Tivoli:561] [La Estrella de Panama page search (LOC lccn 2010225009, full run) (retro audit 2026-09-16)]</t>
  </si>
  <si>
    <t>A-2525</t>
  </si>
  <si>
    <t>ZERO pages in La Estrella de Panama's digitized run for the phrase(s). [Mount Zion reservoir:0; Mt. Zion reservoir:0] [La Estrella de Panama page search (LOC lccn 2010225009, full run) (retro audit 2026-09-16)]</t>
  </si>
  <si>
    <t>A-2526</t>
  </si>
  <si>
    <t>Page hits exist but the name is ambiguous in this corpus, so the rows are undated leads pending page reading; earliest hit 1906-01-18. [Gerig:10] [La Estrella de Panama page search (LOC lccn 2010225009, full run) (retro audit 2026-09-16)] | PAGE READ 2026-09-16: page read: the hits are the PERSON - 'La Boca Division WILLIAM GERIG, Division Engineer' (1906-01-18 staff list). No camp of that name in the Panamanian paper either.</t>
  </si>
  <si>
    <t>A-2527</t>
  </si>
  <si>
    <t>1 page 1912-05-08. [West Culebra:1] [La Estrella de Panama page search (LOC lccn 2010225009, full run) (retro audit 2026-09-16)] | PAGE READ 2026-09-16: verified - 1912-05-08 saloon-licensing areas: 'CULEBRA: Lots 11 to 19... block 5, West Culebra' - the quarter defined lot by lot in liquor law.</t>
  </si>
  <si>
    <t>A-2528</t>
  </si>
  <si>
    <t>2 pages, 1910-03-16 and 1911-03-29 - the camp named in Panama's press while the US papers are silent. [Camp Bierd:2] [La Estrella de Panama page search (LOC lccn 2010225009, full run) (retro audit 2026-09-16)] | PAGE READ 2026-09-16: VERIFIED FOUNDING DESCRIPTION - 1910-03-16: 'Camp Bierd es un nuevo sitio como a un cuarto de milla de la linea divisoria entre Cristobal y Colon, donde se levantan algunas casas de empleados y muchas toldas de trabajadores espanoles y antillanos' - a NEW place in 1910 of employees' houses and many tents of Spanish and West Indian workers.</t>
  </si>
  <si>
    <t>A-2529</t>
  </si>
  <si>
    <t>3 pages from 1909-12-09. [Monte Esperanza:0; Mount Hope cemetery:3] [La Estrella de Panama page search (LOC lccn 2010225009, full run) (retro audit 2026-09-16)] | PAGE READ 2026-09-16: verified - 1909-12-09: a drowning victim at Colon 'buried yesterday morning at Mount Hope cemetery'.</t>
  </si>
  <si>
    <t>A-2530</t>
  </si>
  <si>
    <t>ZERO pages in La Estrella de Panama's digitized run for the phrase(s). [Fort de Lesseps:0] [La Estrella de Panama page search (LOC lccn 2010225009, full run) (retro audit 2026-09-16)]</t>
  </si>
  <si>
    <t>A-2531</t>
  </si>
  <si>
    <t>29 pages from 1905-07-01; the name is also a common Spanish toponym, so page reading is still pending. [Dos Hermanas:29] [La Estrella de Panama page search (LOC lccn 2010225009, full run) (retro audit 2026-09-16)] | PAGE READ 2026-09-16: page read: the 1905-07-01 sample is figurative ('dos hermanas latinas'); the count cannot date the hamlet.</t>
  </si>
  <si>
    <t>A-2532</t>
  </si>
  <si>
    <t>Page hits exist but the name is ambiguous in this corpus, so the rows are undated leads pending page reading; earliest hit 1908-08-25. [Juan Maria:6] [La Estrella de Panama page search (LOC lccn 2010225009, full run) (retro audit 2026-09-16)]</t>
  </si>
  <si>
    <t>A-2533</t>
  </si>
  <si>
    <t>10 pages from 1904-08-26; also a common Spanish toponym. [Agua Bendita:10] [La Estrella de Panama page search (LOC lccn 2010225009, full run) (retro audit 2026-09-16)] | PAGE READ 2026-09-16 (round 2): page read: the 1904-08-26 sample is 'agua bendita' = HOLY WATER (the baptism of the Tsarevich Alexis), not the hamlet - the count cannot date the place.</t>
  </si>
  <si>
    <t>A-2534</t>
  </si>
  <si>
    <t>ZERO pages in the digitized US newspaper corpus for the phrase(s), paired with "Panama", 1880-1920. [Cansaloma:0; Cansa Loma:0] [Chronicling America page search, "PHRASE"+"Panama", 1880-1920 (retro audit 2026-09-16)]</t>
  </si>
  <si>
    <t>A-2535</t>
  </si>
  <si>
    <t>Page hits exist but the name is ambiguous in this corpus, so the rows are undated leads pending page reading; earliest hit 1880-01-01. [Silver City:5576] [Chronicling America page search, "PHRASE"+"Panama", 1880-1920 (retro audit 2026-09-16)]</t>
  </si>
  <si>
    <t>A-2536</t>
  </si>
  <si>
    <t>Page hits exist but the name is ambiguous in this corpus, so the rows are undated leads pending page reading; earliest hit 1880-05-27. [Baptist church at Culebra:0; Culebra Baptist:0; Baptist Mission:941] [Chronicling America page search, "PHRASE"+"Panama", 1880-1920 (retro audit 2026-09-16)]</t>
  </si>
  <si>
    <t>A-2537</t>
  </si>
  <si>
    <t>Mt. Zion</t>
  </si>
  <si>
    <t>Page hits exist but the name is ambiguous in this corpus, so the rows are undated leads pending page reading; earliest hit 1880-01-01. [Mount Zion:871; Mt. Zion:1533] [Chronicling America page search, "PHRASE"+"Panama", 1880-1920 (retro audit 2026-09-16)]</t>
  </si>
  <si>
    <t>A-2538</t>
  </si>
  <si>
    <t>454 pages from 1904-09-04 - the hospital in the US press throughout the construction era. [Ancon Hospital:454] [Chronicling America page search, "PHRASE"+"Panama", 1880-1920 (retro audit 2026-09-16)]</t>
  </si>
  <si>
    <t>A-2539</t>
  </si>
  <si>
    <t>16 pages from 1906-01-02; a distinctive phrase. [Ancon Cemetery:16] [Chronicling America page search, "PHRASE"+"Panama", 1880-1920 (retro audit 2026-09-16)] | PAGE READ 2026-09-16: verified - 'Interment was made in the Ancon Cemetery under the auspices of the resident Masons' (1906-01-02), a Panama burial.</t>
  </si>
  <si>
    <t>A-2540</t>
  </si>
  <si>
    <t>Page hits exist but the name is ambiguous in this corpus, so the rows are undated leads pending page reading; earliest hit 1884-02-21. [Chinese Cemetery:61] [Chronicling America page search, "PHRASE"+"Panama", 1880-1920 (retro audit 2026-09-16)] | PAGE READ 2026-09-16: page read: the 1884 sample is the Chinese cemetery of SAN FRANCISCO - the US-press count cannot be attributed to Panama.</t>
  </si>
  <si>
    <t>A-2541</t>
  </si>
  <si>
    <t>Page hits exist but the name is ambiguous in this corpus, so the rows are undated leads pending page reading; earliest hit 1880-02-28. [New Empire:1155] [Chronicling America page search, "PHRASE"+"Panama", 1880-1920 (retro audit 2026-09-16)]</t>
  </si>
  <si>
    <t>A-2542</t>
  </si>
  <si>
    <t>Page hits exist but the name is ambiguous in this corpus, so the rows are undated leads pending page reading; earliest hit 1880-01-12. [Cerro Gordo:841] [Chronicling America page search, "PHRASE"+"Panama", 1880-1920 (retro audit 2026-09-16)]</t>
  </si>
  <si>
    <t>A-2543</t>
  </si>
  <si>
    <t>1 page (Evening Star, 1913-09-14) - the only US-press mention; probably the river. [Curundu:1] [Chronicling America page search, "PHRASE"+"Panama", 1880-1920 (retro audit 2026-09-16)] | PAGE READ 2026-09-16: verified as the RIVER: 'the Panama canal commission will fill in the low, swampy area lying between the Curundu river on the north and that part of the Calidonia district... known as San Miguel' (Evening Star 1913-09-14) - sanitation fill beside the arrabal, not the later townsite.</t>
  </si>
  <si>
    <t>A-2544</t>
  </si>
  <si>
    <t>ZERO pages in the digitized US newspaper corpus for the phrase(s), paired with "Panama", 1880-1920. [Coco Solito:0] [Chronicling America page search, "PHRASE"+"Panama", 1880-1920 (retro audit 2026-09-16)]</t>
  </si>
  <si>
    <t>A-2545</t>
  </si>
  <si>
    <t>16 pages from 1914-10-11. [New Cristobal:16] [Chronicling America page search, "PHRASE"+"Panama", 1880-1920 (retro audit 2026-09-16)]</t>
  </si>
  <si>
    <t>A-2546</t>
  </si>
  <si>
    <t>Page hits exist but the name is ambiguous in this corpus, so the rows are undated leads pending page reading; earliest hit 1880-08-04. [Lacona:208] [Chronicling America page search, "PHRASE"+"Panama", 1880-1920 (retro audit 2026-09-16)]</t>
  </si>
  <si>
    <t>A-2547</t>
  </si>
  <si>
    <t>3 pages from 1908-05-10; distinctive name, but shared with the Culebra-district Cartagenita (CZ-062). [Cartagenita:3] [Chronicling America page search, "PHRASE"+"Panama", 1880-1920 (retro audit 2026-09-16)] | PAGE READ 2026-09-16: verified - a German-language Zone menu joke lists 'Culebra-Radieschen... Cartagenita... Gorgona Squash, Gatun Orangen' (1908-05-10): the name in circulation, place not distinguished from CZ-062.</t>
  </si>
  <si>
    <t>A-2548</t>
  </si>
  <si>
    <t>ZERO pages in the digitized US newspaper corpus for the phrase(s), paired with "Panama", 1880-1920. [New Frijoles:0] [Chronicling America page search, "PHRASE"+"Panama", 1880-1920 (retro audit 2026-09-16)]</t>
  </si>
  <si>
    <t>A-2549</t>
  </si>
  <si>
    <t>ZERO pages in the digitized US newspaper corpus for the phrase(s), paired with "Panama", 1880-1920. [Big Camacho:0; Small Camacho:0] [Chronicling America page search, "PHRASE"+"Panama", 1880-1920 (retro audit 2026-09-16)]</t>
  </si>
  <si>
    <t>A-2550</t>
  </si>
  <si>
    <t>ZERO pages in the digitized US newspaper corpus for the phrase(s), paired with "Panama", 1880-1920. [Bishop's Hollow:0; Bishops Hollow:0] [Chronicling America page search, "PHRASE"+"Panama", 1880-1920 (retro audit 2026-09-16)]</t>
  </si>
  <si>
    <t>A-2551</t>
  </si>
  <si>
    <t>Page hits exist but the name is ambiguous in this corpus, so the rows are undated leads pending page reading; earliest hit. [Banana Walk:2] [Chronicling America page search, "PHRASE"+"Panama", 1880-1920 (retro audit 2026-09-16)]</t>
  </si>
  <si>
    <t>A-2552</t>
  </si>
  <si>
    <t>Rio Grande camp</t>
  </si>
  <si>
    <t>Page hits exist but the name is ambiguous in this corpus, so the rows are undated leads pending page reading; earliest hit 1906-11-14. [Culebra Rio Grande:0; Rio Grande camp:2] [Chronicling America page search, "PHRASE"+"Panama", 1880-1920 (retro audit 2026-09-16)] | PAGE READ 2026-09-16: VERIFIED AND UPGRADED - a 1906-11-14 photo key reads '(L) Rio Grande camp, home of upward of fifteen hundred Negro laborers', beside '(K) Town of Enterprise - home of many married Negro laborers', '(M) Zone penitentiary' and '(O) Big hotel at Culebra'. A population figure for the works camp.</t>
  </si>
  <si>
    <t>A-2553</t>
  </si>
  <si>
    <t>ZERO pages in the digitized US newspaper corpus for the phrase(s), paired with "Panama", 1880-1920. [Culebra police station:0; police station at Culebra:0] [Chronicling America page search, "PHRASE"+"Panama", 1880-1920 (retro audit 2026-09-16)]</t>
  </si>
  <si>
    <t>A-2554</t>
  </si>
  <si>
    <t>penitentiary at Culebra</t>
  </si>
  <si>
    <t>20 pages across both phrasings from 1907-04-16. [Culebra penitentiary:8; penitentiary at Culebra:12] [Chronicling America page search, "PHRASE"+"Panama", 1880-1920 (retro audit 2026-09-16)]</t>
  </si>
  <si>
    <t>A-2555</t>
  </si>
  <si>
    <t>ZERO pages in the digitized US newspaper corpus for the phrase(s), paired with "Panama", 1880-1920. [Culebra pumping station:0] [Chronicling America page search, "PHRASE"+"Panama", 1880-1920 (retro audit 2026-09-16)]</t>
  </si>
  <si>
    <t>A-2556</t>
  </si>
  <si>
    <t>ZERO pages in the digitized US newspaper corpus for the phrase(s), paired with "Panama", 1880-1920. [Diablo Heights:0] [Chronicling America page search, "PHRASE"+"Panama", 1880-1920 (retro audit 2026-09-16)]</t>
  </si>
  <si>
    <t>A-2557</t>
  </si>
  <si>
    <t>ZERO pages in the digitized US newspaper corpus for the phrase(s), paired with "Panama", 1880-1920. [Barro Colorado Abajo:0] [Chronicling America page search, "PHRASE"+"Panama", 1880-1920 (retro audit 2026-09-16)]</t>
  </si>
  <si>
    <t>A-2558</t>
  </si>
  <si>
    <t>ZERO pages in the digitized US newspaper corpus for the phrase(s), paired with "Panama", 1880-1920. [Rio Indio settlement:0; Indio Settlement:0] [Chronicling America page search, "PHRASE"+"Panama", 1880-1920 (retro audit 2026-09-16)]</t>
  </si>
  <si>
    <t>A-2559</t>
  </si>
  <si>
    <t>ZERO pages in the digitized US newspaper corpus for the phrase(s), paired with "Panama", 1880-1920. [Palo Matias Nuevo:0] [Chronicling America page search, "PHRASE"+"Panama", 1880-1920 (retro audit 2026-09-16)]</t>
  </si>
  <si>
    <t>A-2560</t>
  </si>
  <si>
    <t>1 page 1914-06-24 for 'Palo Horqueta'; 4 more for bare 'Horqueta'. [Palo Horqueta:1; Horqueta:4] [Chronicling America page search, "PHRASE"+"Panama", 1880-1920 (retro audit 2026-09-16)] | PAGE READ 2026-09-16: verified - a 1914-06-24 travel column lists Zone names to practise: 'Dos Hermandos, Palo Horqueta, Ahorca Lagarto, Vamos Vamos, Tobernilla, Matachin, Juan Grande, Las Casoodas'.</t>
  </si>
  <si>
    <t>A-2561</t>
  </si>
  <si>
    <t>1 page 1913-12-05. [Palenquillo:1; Palenquilla:0] [Chronicling America page search, "PHRASE"+"Panama", 1880-1920 (retro audit 2026-09-16)]</t>
  </si>
  <si>
    <t>A-2562</t>
  </si>
  <si>
    <t>Page hits exist but the name is ambiguous in this corpus, so the rows are undated leads pending page reading; earliest hit 1917-03-20. [Pedro Bernal:3] [Chronicling America page search, "PHRASE"+"Panama", 1880-1920 (retro audit 2026-09-16)]</t>
  </si>
  <si>
    <t>A-2563</t>
  </si>
  <si>
    <t>Page hits exist but the name is ambiguous in this corpus, so the rows are undated leads pending page reading; earliest hit 1880-01-01. [Mari Posa:694; Mariposa:9727] [Chronicling America page search, "PHRASE"+"Panama", 1880-1920 (retro audit 2026-09-16)]</t>
  </si>
  <si>
    <t>A-2564</t>
  </si>
  <si>
    <t>ZERO pages in the digitized US newspaper corpus for the phrase(s), paired with "Panama", 1880-1920. [Noreza:0] [Chronicling America page search, "PHRASE"+"Panama", 1880-1920 (retro audit 2026-09-16)]</t>
  </si>
  <si>
    <t>A-2565</t>
  </si>
  <si>
    <t>Page hits exist but the name is ambiguous in this corpus, so the rows are undated leads pending page reading; earliest hit 1880-01-01. [Dominica:1909] [Chronicling America page search, "PHRASE"+"Panama", 1880-1920 (retro audit 2026-09-16)]</t>
  </si>
  <si>
    <t>A-2566</t>
  </si>
  <si>
    <t>Page hits exist but the name is ambiguous in this corpus, so the rows are undated leads pending page reading; earliest hit 1880-01-03. [Cardenas:5259] [Chronicling America page search, "PHRASE"+"Panama", 1880-1920 (retro audit 2026-09-16)]</t>
  </si>
  <si>
    <t>A-2567</t>
  </si>
  <si>
    <t>Page hits exist but the name is ambiguous in this corpus, so the rows are undated leads pending page reading; earliest hit 1880-01-07. [Half Way House:419; Halfway House:972; La Vuella:0] [Chronicling America page search, "PHRASE"+"Panama", 1880-1920 (retro audit 2026-09-16)]</t>
  </si>
  <si>
    <t>A-2568</t>
  </si>
  <si>
    <t>Page hits exist but the name is ambiguous in this corpus, so the rows are undated leads pending page reading; earliest hit 1880-07-22. [Maranon:129; Marañon:129] [Chronicling America page search, "PHRASE"+"Panama", 1880-1920 (retro audit 2026-09-16)]</t>
  </si>
  <si>
    <t>A-2569</t>
  </si>
  <si>
    <t>Page hits exist but the name is ambiguous in this corpus, so the rows are undated leads pending page reading; earliest hit 1889-02-15. [Cocoa Grove:39] [Chronicling America page search, "PHRASE"+"Panama", 1880-1920 (retro audit 2026-09-16)]</t>
  </si>
  <si>
    <t>A-2570</t>
  </si>
  <si>
    <t>Page hits exist but the name is ambiguous in this corpus, so the rows are undated leads pending page reading; earliest hit 1880-04-25. [Chorrillo:23] [Chronicling America page search, "PHRASE"+"Panama", 1880-1920 (retro audit 2026-09-16)]</t>
  </si>
  <si>
    <t>A-2571</t>
  </si>
  <si>
    <t>Page hits exist but the name is ambiguous in this corpus, so the rows are undated leads pending page reading; earliest hit 1880-01-01. [Catholic cemetery:1913; Hebrew cemetery:191; foreign cemetery:18] [Chronicling America page search, "PHRASE"+"Panama", 1880-1920 (retro audit 2026-09-16)]</t>
  </si>
  <si>
    <t>A-2572</t>
  </si>
  <si>
    <t>Page hits exist but the name is ambiguous in this corpus, so the rows are undated leads pending page reading; earliest hit 1880-01-01. [Santa Ana:6671] [Chronicling America page search, "PHRASE"+"Panama", 1880-1920 (retro audit 2026-09-16)]</t>
  </si>
  <si>
    <t>A-2573</t>
  </si>
  <si>
    <t>Page hits exist but the name is ambiguous in this corpus, so the rows are undated leads pending page reading; earliest hit 1881-08-24. [Cienega:236] [Chronicling America page search, "PHRASE"+"Panama", 1880-1920 (retro audit 2026-09-16)]</t>
  </si>
  <si>
    <t>A-2574</t>
  </si>
  <si>
    <t>Page hits exist but the name is ambiguous in this corpus, so the rows are undated leads pending page reading; earliest hit 1882-09-28. [Malambo:18] [Chronicling America page search, "PHRASE"+"Panama", 1880-1920 (retro audit 2026-09-16)] | PAGE READ 2026-09-16: page read: the 1882 sample is Malambo church near Barranquilla, COLOMBIA (earthquake report) - not the Panama City quarter.</t>
  </si>
  <si>
    <t>A-2575</t>
  </si>
  <si>
    <t>Page hits exist but the name is ambiguous in this corpus, so the rows are undated leads pending page reading; earliest hit 1894-06-20. [Salsipuedes:13] [Chronicling America page search, "PHRASE"+"Panama", 1880-1920 (retro audit 2026-09-16)] | PAGE READ 2026-09-16: page read: the 1894 sample is a city fire on 'Salsipuedes' street elsewhere in the Spanish Caribbean - not Panama's.</t>
  </si>
  <si>
    <t>A-2576</t>
  </si>
  <si>
    <t>Page hits exist but the name is ambiguous in this corpus, so the rows are undated leads pending page reading; earliest hit 1880-01-13. [Tivoli:3493] [Chronicling America page search, "PHRASE"+"Panama", 1880-1920 (retro audit 2026-09-16)]</t>
  </si>
  <si>
    <t>A-2577</t>
  </si>
  <si>
    <t>ZERO pages in the digitized US newspaper corpus for the phrase(s), paired with "Panama", 1880-1920. [Mount Zion reservoir:0; Mt. Zion reservoir:0] [Chronicling America page search, "PHRASE"+"Panama", 1880-1920 (retro audit 2026-09-16)]</t>
  </si>
  <si>
    <t>A-2578</t>
  </si>
  <si>
    <t>Page hits exist but the name is ambiguous in this corpus, so the rows are undated leads pending page reading; earliest hit 1880-12-11. [Gerig:552] [Chronicling America page search, "PHRASE"+"Panama", 1880-1920 (retro audit 2026-09-16)] | PAGE READ 2026-09-16: page read: the hits are the PERSON - 'La Boca Division WILLIAM GERIG, Division Engineer' - not a camp called Gerig. The US press never names the shore camp.</t>
  </si>
  <si>
    <t>A-2579</t>
  </si>
  <si>
    <t>5 pages from 1908-02-14. [West Culebra:5] [Chronicling America page search, "PHRASE"+"Panama", 1880-1920 (retro audit 2026-09-16)]</t>
  </si>
  <si>
    <t>A-2580</t>
  </si>
  <si>
    <t>ZERO pages in the digitized US newspaper corpus for the phrase(s), paired with "Panama", 1880-1920. [Camp Bierd:0] [Chronicling America page search, "PHRASE"+"Panama", 1880-1920 (retro audit 2026-09-16)]</t>
  </si>
  <si>
    <t>A-2581</t>
  </si>
  <si>
    <t>'Monkey Hill cemetery' 60 pages from 1886-02-15 - the Colon burial ground under its older name; bare 'Mount Hope cemetery' (384) is mostly US cemeteries. [Mount Hope cemetery:384; Monkey Hill cemetery:60] [Chronicling America page search, "PHRASE"+"Panama", 1880-1920 (retro audit 2026-09-16)] | PAGE READ 2026-09-16: sample page not re-read; the 1886 'Monkey Hill cemetery' count stands as a dated lead.</t>
  </si>
  <si>
    <t>A-2582</t>
  </si>
  <si>
    <t>Fort DeLesseps</t>
  </si>
  <si>
    <t>32 pages across both spellings from 1911-11-24 - the naming order year. [Fort de Lesseps:13; Fort DeLesseps:19] [Chronicling America page search, "PHRASE"+"Panama", 1880-1920 (retro audit 2026-09-16)]</t>
  </si>
  <si>
    <t>A-2583</t>
  </si>
  <si>
    <t>Page hits exist but the name is ambiguous in this corpus, so the rows are undated leads pending page reading; earliest hit 1893-02-09. [Jamaica Town:32] [Chronicling America page search, "PHRASE"+"Panama", 1880-1920 (retro audit 2026-09-16)]</t>
  </si>
  <si>
    <t>A-2584</t>
  </si>
  <si>
    <t>Dos Hermanos</t>
  </si>
  <si>
    <t>Page hits exist but the name is ambiguous in this corpus, so the rows are undated leads pending page reading; earliest hit 1881-07-08. [Dos Hermanas:47; Dos Hermanos:264] [Chronicling America page search, "PHRASE"+"Panama", 1880-1920 (retro audit 2026-09-16)] | PAGE READ 2026-09-16: page read: the Panamanian-paper sample of 'dos hermanas' is figurative ('dos hermanas latinas', France and Italy); the US-press count is not attributable.</t>
  </si>
  <si>
    <t>A-2585</t>
  </si>
  <si>
    <t>Page hits exist but the name is ambiguous in this corpus, so the rows are undated leads pending page reading; earliest hit 1880-03-28. [Juan Maria:45] [Chronicling America page search, "PHRASE"+"Panama", 1880-1920 (retro audit 2026-09-16)]</t>
  </si>
  <si>
    <t>A-2586</t>
  </si>
  <si>
    <t>Page hits exist but the name is ambiguous in this corpus, so the rows are undated leads pending page reading; earliest hit 1883-09-16. [Agua Bendita:14] [Chronicling America page search, "PHRASE"+"Panama", 1880-1920 (retro audit 2026-09-16)]</t>
  </si>
  <si>
    <t>A-2587</t>
  </si>
  <si>
    <t>The 32 US-press pages for "Jamaica Town"+"Panama" are dominated by Jamaica Town Hall, Long Island, New York (verified in the 2026-09-14 variant probe, A-1454). No Pacific-side quarter is named. [Chronicling America page search, retro audit 2026-09-16]</t>
  </si>
  <si>
    <t>A-2588</t>
  </si>
  <si>
    <t>ZERO pages for "Jamaica Town" in La Estrella de Panama's digitized run - the Paraiso quarter is named only in the Canal Record's district table.</t>
  </si>
  <si>
    <t>A-2589</t>
  </si>
  <si>
    <t>ZERO pages for "Jamaica Town" in La Estrella de Panama's digitized run; Gatun's quarter survives only in the Canal Record and in two workers' letters.</t>
  </si>
  <si>
    <t>A-2590</t>
  </si>
  <si>
    <t>ZERO matching records in the 45,040-record Smithsonian bulk corpus (the same phrase scan that covered CZ-174 and CZ-215).</t>
  </si>
  <si>
    <t>A-2591</t>
  </si>
  <si>
    <t>The four Silver People letters naming a "Jamaica Town" place it at Gorgona (McDonald) and Gatun (Clarke, Mark); none names the Paraiso-district quarter.</t>
  </si>
  <si>
    <t>A-2592</t>
  </si>
  <si>
    <t>Colon + Cristobal (ED base)</t>
  </si>
  <si>
    <t>CENSUS1940_COLON (naId 5838622 p.001), georef 2026-09-16</t>
  </si>
  <si>
    <t>1940 Census ED base sheet of Colon island, graticule-true fit (two 30-arcsec crosses; third cross 27 m, pier tips vs ATLANTIC1947 17-28 m, Hotel Washington vs modern ~40 m). The Republic city drawn street-by-street with named streets and civic buildings (Colon Park, Post Office, P.R.R. Station, Masonic Temple, Army &amp; Navy YMCA 222, Commissary 1001); Piers 6/7/8 + Dock 10 drawn as on the 1947 twin. Reads in CENSUS1940_COLON_positions.csv.</t>
  </si>
  <si>
    <t>A-2593</t>
  </si>
  <si>
    <t>FORT DE LESSEPS (ED 47)</t>
  </si>
  <si>
    <t>'FORT DE LESSEPS' stamped with ED number 47 on the NW Limon Bay point beside the Washington Hotel - numbered post buildings 1-5, pool and tennis court drawn. FIRST DATED building-level read of the fort; decisive for the 2026-09-16 CZ-214 coordinate correction (the fort is NOT the De-Lesseps-Park site by the Cristobal tennis courts).</t>
  </si>
  <si>
    <t>A-2594</t>
  </si>
  <si>
    <t>New Cristobal + De Lesseps section (ED base)</t>
  </si>
  <si>
    <t>CENSUS1940_NEWCRISTOBAL (naId 5838622 p.007), georef 2026-09-16</t>
  </si>
  <si>
    <t>East-island ED base quad: New Cristobal + the De Lesseps garden section drawn cottage-by-cottage (numbered quarters 101-176+, curvilinear rows on Plaza de Chaco), Boundary Road, Ball Grounds, Christian Bros College, Church of God, Wesleyan Methodist Church, Guatemalan Consulate. KEY: the NE promontory is 'RADIO RESERVATION' with two tower symbols + Comdr. Qtrs. = the Colon Naval Radio Reservation (the unmatched census item naId 5838621/ED 2-13 located at last); by the 1947 sheet the same ground is the De Lesseps park/tennis area - the reservation dissolved between 1940 and 1947. Reads in CENSUS1940_NEWCRISTOBAL_positions.csv; fit chained Plaza de Chaco (ATLANTIC1947) + Garage (CENSUS1940_COLON), tennis-oval check 38 m, +-50-100 m.</t>
  </si>
  <si>
    <t>A-2595</t>
  </si>
  <si>
    <t>FORT CLAYTON (reservation, ED 1-21)</t>
  </si>
  <si>
    <t>CENSUS1940_CLAYTON (naId 5838609), georef 2026-09-16</t>
  </si>
  <si>
    <t>Reservation drawn as TERRAIN ONLY: boundary, monuments, streams, trails, contour hatching, 'FORT CLAYTON' letters + ED 11 - and NO cantonment structures, though the post was built 1919-22 and garrisoned in 1940. The census base maps the military reservation as legally-bounded blank ground: the military variant of cartographic silence (cf. the closing-sweep read; now warped graticule-true, lat-line residuals &lt;=11 m, canal-centerline lon check ~10 m).</t>
  </si>
  <si>
    <t>A-2596</t>
  </si>
  <si>
    <t>POST OF COROZAL (ED 9) + Hospital Farm (ED 10)</t>
  </si>
  <si>
    <t>'POST OF COROZAL' + 'COROZAL HOSPITAL FARM' (tract 10) + Panama Arsenal Reservation + Engineer Depot Reservation (survey monuments MON #1/#2/#7 on the RR) - the military-institutional layer around Corozal drawn as bounded tracts. Letters center ~340 m NW of the stored town point (label spread, not a position conflict). Reads in CENSUS1940_CLAYTON_positions.csv.</t>
  </si>
  <si>
    <t>A-2597</t>
  </si>
  <si>
    <t>the cemeteries of Panama, five in all</t>
  </si>
  <si>
    <t>Chronicling America page read 2026-09-16 (sn84020107, 1889-02-15 p2)</t>
  </si>
  <si>
    <t>'The cemeteries of Panama, five in all, are at Cocoa Grove and are within one minute's walk from one another. They are all managed by one firm, Sves Obarrio y Cia.' - the whole municipal cemetery row described in 1889, twenty years before the maps this project reads, and privately run.</t>
  </si>
  <si>
    <t>A-2598</t>
  </si>
  <si>
    <t>Same page: Panama's five cemeteries 'are at Cocoa Grove' - the district named in the US press in 1889, well before the 1904 city plan.</t>
  </si>
  <si>
    <t>A-2599</t>
  </si>
  <si>
    <t>PALO SECO LEPER COLONY (boundary tract, ED 1-6)</t>
  </si>
  <si>
    <t>CENSUS1940_PALOSECO (naId 5838612, dwg 6100-90), georef 2026-09-16</t>
  </si>
  <si>
    <t>The Section of Surveys boundary plot (drawing 6100-90): 346.75-acre tract, concrete monuments A-D + two approx-high-water monuments, DUE WEST 3833 ft north line; Bruja Point Military Reservation adjoining W; Rio Farfan N. Sheet carries a labeled graticule (79d34/35/36 W, 8d54/55 N) - affine fit residuals 3 m, survey bearings reproduce within 1-3%. NO buildings drawn: the colony appears as a legal boundary only - the leprosarium's residents are a bounded blank, like Fort Clayton's cantonment on its sheet. KEY: corrects CZ-048's stored point (the 1:100,000-derived fix lay in the entrance-channel water ~1.4 km due E - the latitude was right, the longitude off). Extent traced to footprints.geojson.</t>
  </si>
  <si>
    <t>A-2600</t>
  </si>
  <si>
    <t>1 dLOC item co-mentions the name with panama - a Canal Record volume already in the model's own corpus, so it adds no independent trace. Item-level lead, undated.</t>
  </si>
  <si>
    <t>A-2601</t>
  </si>
  <si>
    <t>0 items in the digitized Caribbean corpus co-mention "Jamaica Town" + panama - the Caribbean press does not name the quarter its own emigrants lived in.</t>
  </si>
  <si>
    <t>A-2602</t>
  </si>
  <si>
    <t>0 items (same query as CZ-174) - Gatun's quarter is likewise absent from the Caribbean press.</t>
  </si>
  <si>
    <t>A-2603</t>
  </si>
  <si>
    <t>0 items (same query) - the Paraiso quarter too.</t>
  </si>
  <si>
    <t>A-2604</t>
  </si>
  <si>
    <t>16 items, all The Dominica Chronicle (the island's own paper) - no trace of the Panama river or settlement.</t>
  </si>
  <si>
    <t>A-2605</t>
  </si>
  <si>
    <t>45 items, dominated by Canal Record volumes already in the model; ambiguous name, undated lead.</t>
  </si>
  <si>
    <t>A-2606</t>
  </si>
  <si>
    <t>19 items, all Panama Canal Museum photographs and journals of the Pacific-side locks - the Atlantic Miraflores is not distinguishable in them.</t>
  </si>
  <si>
    <t>A-2607</t>
  </si>
  <si>
    <t>25 items incl. the Silver People letters, the La Bocan yearbook and a Panamanian retirees' club history - Caribbean-community publications naming the district, item level, undated.</t>
  </si>
  <si>
    <t>A-2608</t>
  </si>
  <si>
    <t>Cementerios</t>
  </si>
  <si>
    <t>1 item (The Panama American) co-mentions "Cementerios" + panama; "Catholic cemetery" returns none. Item-level lead.</t>
  </si>
  <si>
    <t>A-2609</t>
  </si>
  <si>
    <t>312 items, mostly The Panama American - the district named constantly, but the phrase is too common to date at item level.</t>
  </si>
  <si>
    <t>A-2610</t>
  </si>
  <si>
    <t>0 items co-mention "Dos Hermanas" + panama.</t>
  </si>
  <si>
    <t>A-2611</t>
  </si>
  <si>
    <t>21 items, mostly The Panama American - the late-era townsite in the Caribbean-region press, item level, undated.</t>
  </si>
  <si>
    <t>A-2612</t>
  </si>
  <si>
    <t>27 items (Isthmian Collectors Club Journal, Canal Museum photographs); shares the name with CZ-020, so the as-built town is not distinguishable.</t>
  </si>
  <si>
    <t>A-2613</t>
  </si>
  <si>
    <t>481 pages in La Estrella from 1904-04-05 - the quarter named constantly in its own city's paper (the US-press count is Colombian, see A-2574). Page reading still pending.</t>
  </si>
  <si>
    <t>A-2614</t>
  </si>
  <si>
    <t>ZERO pages for "Silver City" in La Estrella's digitized run - the Atlantic silver town is absent from the Panamanian paper while the Canal Record names it from 1920.</t>
  </si>
  <si>
    <t>A-2615</t>
  </si>
  <si>
    <t>retro text probe 2026-09-16 (letters full text / dLOC / Smithsonian)</t>
  </si>
  <si>
    <t>Empire is named in 33 of the 114 letters; a court house at Empire in none of them. The silence measures what West Indian workers recalled of the town, not whether the building stood.</t>
  </si>
  <si>
    <t>A-2616</t>
  </si>
  <si>
    <t>Empire named in 33 letters, its freight house in none - the freight house is an employer's building, absent from the workers' account of the same town.</t>
  </si>
  <si>
    <t>A-2617</t>
  </si>
  <si>
    <t>Empire ball park</t>
  </si>
  <si>
    <t>No ball park at Empire in 33 Empire letters. A ball park IS remembered at Culebra ("the ball park in Culebra in front of the Railroad Station", v00044), so the genre was memorable and Empire's simply is not recalled.</t>
  </si>
  <si>
    <t>A-2618</t>
  </si>
  <si>
    <t>v00048: "I was painting at the new hotel at Empire" at the time "President Rosvelt came here" (Roosevelt's visit, Nov 1906). v00057 (Hodges): in December 1907 "we were transferred over in a new Hotel which was built at or near the Panama Rail Road Station in Empire. The Manager's name was Mr. Gondolfo." Two "new" hotels a year apart - either successive buildings or one long build.</t>
  </si>
  <si>
    <t>A-2619</t>
  </si>
  <si>
    <t>Empire police station</t>
  </si>
  <si>
    <t>33 Empire letters, no police station at Empire. Policing appears in the corpus only as arrests and the Culebra gallows, never as a building.</t>
  </si>
  <si>
    <t>A-2620</t>
  </si>
  <si>
    <t>Empire municipal building</t>
  </si>
  <si>
    <t>Absent from all 114 letters; the administration building remembered in the corpus (v00037) is Culebra's, not Empire's.</t>
  </si>
  <si>
    <t>A-2621</t>
  </si>
  <si>
    <t>Empire railroad shops</t>
  </si>
  <si>
    <t>No shops at Empire in 33 Empire letters, though the corpus does remember shops at Gorgona (v00068) and Balboa.</t>
  </si>
  <si>
    <t>A-2622</t>
  </si>
  <si>
    <t>Empire Y.M.C.A.</t>
  </si>
  <si>
    <t>Empire's clubhouse is in none of the 33 Empire letters, while Gorgona's Y.M.C.A. is placed precisely (v00072) - the Y.M.C.A. was a gold-roll institution and only one writer had reason to fix it on the ground.</t>
  </si>
  <si>
    <t>A-2623</t>
  </si>
  <si>
    <t>Empire fire station</t>
  </si>
  <si>
    <t>Absent from all 114 letters.</t>
  </si>
  <si>
    <t>A-2624</t>
  </si>
  <si>
    <t>v00044 (Finn, on the isthmus from 1905): "I also knew the bank when it was in Empire." The past tense records the bank's later removal from the town as well as its presence in it. Undated within the letter.</t>
  </si>
  <si>
    <t>A-2625</t>
  </si>
  <si>
    <t>No post office at Empire in 33 Empire letters; the corpus's only postal memory is mail carried on horseback from Culebra Station (v00044).</t>
  </si>
  <si>
    <t>A-2626</t>
  </si>
  <si>
    <t>hospital at Empire</t>
  </si>
  <si>
    <t>v00036: in the malaria years, when "40 or 50 men a day died", "hospitals or rest houses were built at Empire, Culebra, and Paraiso, trains coming into Panama daily was always full of patients heading for the old Ancon Hospital."</t>
  </si>
  <si>
    <t>A-2627</t>
  </si>
  <si>
    <t>Gorgona is named in 17 letters; its market in none.</t>
  </si>
  <si>
    <t>A-2628</t>
  </si>
  <si>
    <t>Y.M.C.A. at Gorgona</t>
  </si>
  <si>
    <t>v00072 (McDonald), the corpus's one topographic description of the town: "Gorgona a section very flat with the Chagres river running; there is one little hill midway, where the Y.M.C.A are located." The clubhouse is placed on the town's only rise - a geometry lead if the hill can be identified on the 1908 sheets.</t>
  </si>
  <si>
    <t>A-2629</t>
  </si>
  <si>
    <t>Gorgona band stand</t>
  </si>
  <si>
    <t>17 Gorgona letters, no band stand.</t>
  </si>
  <si>
    <t>A-2630</t>
  </si>
  <si>
    <t>Gorgona Hotel</t>
  </si>
  <si>
    <t>v00029: "Sunday Feby 23rd 1913. There was a strike of Hotel waiters in the I.C.C. Hotels and the Management were looking out for men to fill the Gaps. Myself and several other fellows were taken on for 'Gorgona Hotel' as waiters." A working I.C.C. hotel at Gorgona in February 1913, inside the town's own last years.</t>
  </si>
  <si>
    <t>A-2631</t>
  </si>
  <si>
    <t>Culebra Y.M.C.A.</t>
  </si>
  <si>
    <t>Culebra is named in 34 letters; its Y.M.C.A. in none, though Gorgona's is described (v00072).</t>
  </si>
  <si>
    <t>A-2632</t>
  </si>
  <si>
    <t>v00048: after twelve days in the Culebra rest house, "I went to work at Culebra Hotel they was adding on some extension to the kitchen". Undated; the same letter places the writer at Empire for Roosevelt's Nov 1906 visit.</t>
  </si>
  <si>
    <t>A-2633</t>
  </si>
  <si>
    <t>No post office building in 34 Culebra letters, but v00044 records the function: "The mail was brought to the P.C. on horse back from Culebra Station." Postal service at Culebra is attested; the office as a building is not.</t>
  </si>
  <si>
    <t>A-2634</t>
  </si>
  <si>
    <t>Neither a church nor a lodge hall at Culebra appears in 34 Culebra letters.</t>
  </si>
  <si>
    <t>A-2635</t>
  </si>
  <si>
    <t>Culebra colored school</t>
  </si>
  <si>
    <t>The sharpest silence in the corpus: v00037, a West Indian writer, was "janitor at the Culebra white school" - he names the white school he swept and no colored school anywhere in the town. 34 Culebra letters, no colored school. See the new-place flag for "Culebra white school".</t>
  </si>
  <si>
    <t>A-2636</t>
  </si>
  <si>
    <t>Commissary at Culebra</t>
  </si>
  <si>
    <t>v00093 (Riley): arrived 25 August 1909, "employed by the Commissary Division at Culebra C.Z. on the [2]th of September the same year, as a delivery man... making deliveries of food stuffs to the American employees living in that area" - the commissary named from inside its silver-roll workforce.</t>
  </si>
  <si>
    <t>A-2637</t>
  </si>
  <si>
    <t>Culebra fire station</t>
  </si>
  <si>
    <t>A-2638</t>
  </si>
  <si>
    <t>Culebra rest house</t>
  </si>
  <si>
    <t>Twice attested: v00036 lists hospitals or rest houses "built at Empire, Culebra, and Paraiso" in the malaria years; v00048 "I was taken out of camp smitten with malaria was taken to Culebra rest house I spent 12 days in the rest house when I came out I was deaf".</t>
  </si>
  <si>
    <t>A-2639</t>
  </si>
  <si>
    <t>Culebra planing mill</t>
  </si>
  <si>
    <t>No planing mill at Culebra in 34 Culebra letters, though the adjacent lumber yard is remembered (v00044).</t>
  </si>
  <si>
    <t>A-2640</t>
  </si>
  <si>
    <t>Culebra corral</t>
  </si>
  <si>
    <t>34 Culebra letters, no corral at Culebra. A Quartermaster Department corral is remembered in v00111, but the writer places his deliveries at Empire, not Culebra.</t>
  </si>
  <si>
    <t>A-2641</t>
  </si>
  <si>
    <t>Culebra Lumber Yard</t>
  </si>
  <si>
    <t>v00044 (Finn): "I came here in 1905 and started working for the Building &amp; Construction Division In Culebra Lumber Yard as checker with W. B. Honey as Foreman, they were building a office for the Sup Henry E. Daily".</t>
  </si>
  <si>
    <t>A-2642</t>
  </si>
  <si>
    <t>Culebra Station</t>
  </si>
  <si>
    <t>v00025 (Butcher) lists the vanished stops: "Culebra, Empire, Las Cascadas, Obispo, Gorgona were among the good old train stations or train stops. Some of those went under water after the opening of the canal." v00044 fixes it in the townscape: "the ball park in Culebra in front of the Railroad Station."</t>
  </si>
  <si>
    <t>A-2643</t>
  </si>
  <si>
    <t>Culebra magazine</t>
  </si>
  <si>
    <t>A-2644</t>
  </si>
  <si>
    <t>Las Cascadas engine house</t>
  </si>
  <si>
    <t>Las Cascadas is named in only 4 letters, and then only as a train stop (v00025) - the town is thin in the corpus, so this absence is weak.</t>
  </si>
  <si>
    <t>A-2645</t>
  </si>
  <si>
    <t>Las Cascadas post office</t>
  </si>
  <si>
    <t>Same 4 Las Cascadas letters, no post office; weak absence.</t>
  </si>
  <si>
    <t>A-2646</t>
  </si>
  <si>
    <t>Paraiso is named in 21 letters; the French-era shop complex in none. The corpus remembers Paraiso as a rest house and a hotel, not as a works.</t>
  </si>
  <si>
    <t>A-2647</t>
  </si>
  <si>
    <t>Hotel at Paraiso</t>
  </si>
  <si>
    <t>v00057 (Hodges): "I left there and went and got a job in a Hotel in that same Section (Paraiso). The Hotel Manager name was Mr. Seigl, whom I worked for about eight months. After working eight months at the Hotel, I went and got a job in another Hotel in Empire." The sequence puts Paraiso just before the December 1907 Empire hotel.</t>
  </si>
  <si>
    <t>A-2648</t>
  </si>
  <si>
    <t>Pedro Miguel shops</t>
  </si>
  <si>
    <t>27 letters name Pedro Miguel and none place a shop or roundhouse there. v00068 does remember car repair shops - but at Gorgona, and then the Balboa Shops after transfer. See the new-place flag for the Gorgona railroad shops.</t>
  </si>
  <si>
    <t>A-2649</t>
  </si>
  <si>
    <t>Paraiso police station</t>
  </si>
  <si>
    <t>21 Paraiso letters, no police station.</t>
  </si>
  <si>
    <t>A-2650</t>
  </si>
  <si>
    <t>0 dLOC items co-mention the phrase with panama.</t>
  </si>
  <si>
    <t>A-2651</t>
  </si>
  <si>
    <t>A-2652</t>
  </si>
  <si>
    <t>0 dLOC items for "Empire ball park", "base ball park at Empire" or "Empire baseball" with panama.</t>
  </si>
  <si>
    <t>A-2653</t>
  </si>
  <si>
    <t>0 dLOC items for "Empire hotel" or "hotel at Empire" with panama.</t>
  </si>
  <si>
    <t>A-2654</t>
  </si>
  <si>
    <t>A-2655</t>
  </si>
  <si>
    <t>A-2656</t>
  </si>
  <si>
    <t>A-2657</t>
  </si>
  <si>
    <t>0 dLOC items for "Empire Y.M.C.A.", "Y.M.C.A. at Empire" or "Empire clubhouse" with panama.</t>
  </si>
  <si>
    <t>A-2658</t>
  </si>
  <si>
    <t>A-2659</t>
  </si>
  <si>
    <t>Empire bank</t>
  </si>
  <si>
    <t>A-2660</t>
  </si>
  <si>
    <t>A-2661</t>
  </si>
  <si>
    <t>A-2662</t>
  </si>
  <si>
    <t>A-2663</t>
  </si>
  <si>
    <t>Gorgona Y.M.C.A.</t>
  </si>
  <si>
    <t>A-2664</t>
  </si>
  <si>
    <t>A-2665</t>
  </si>
  <si>
    <t>0 dLOC items co-mention the phrase with panama, though the letters record its waiters' strike in February 1913.</t>
  </si>
  <si>
    <t>A-2666</t>
  </si>
  <si>
    <t>A-2667</t>
  </si>
  <si>
    <t>A-2668</t>
  </si>
  <si>
    <t>A-2669</t>
  </si>
  <si>
    <t>A-2670</t>
  </si>
  <si>
    <t>0 dLOC items co-mention the phrase with panama - the Caribbean's own digitized press does not name the school its emigrants' children attended.</t>
  </si>
  <si>
    <t>A-2671</t>
  </si>
  <si>
    <t>A-2672</t>
  </si>
  <si>
    <t>A-2673</t>
  </si>
  <si>
    <t>Culebra dispensary</t>
  </si>
  <si>
    <t>A-2674</t>
  </si>
  <si>
    <t>A-2675</t>
  </si>
  <si>
    <t>A-2676</t>
  </si>
  <si>
    <t>Culebra lumber yard</t>
  </si>
  <si>
    <t>0 dLOC items for "Culebra lumber" or "lumber yard at Culebra" with panama.</t>
  </si>
  <si>
    <t>A-2677</t>
  </si>
  <si>
    <t>2 dLOC items name the station: a photograph captioned "Loading Mules with Beef and Ice, Culebra Station, Panama" (AA00015332) and the Isthmian Collectors Club Journal (AA00114072), a philatelic serial that tracks Canal Zone post-office and station names. Item-level, undated here.</t>
  </si>
  <si>
    <t>A-2678</t>
  </si>
  <si>
    <t>A-2679</t>
  </si>
  <si>
    <t>A-2680</t>
  </si>
  <si>
    <t>A-2681</t>
  </si>
  <si>
    <t>A-2682</t>
  </si>
  <si>
    <t>Paraiso hotel</t>
  </si>
  <si>
    <t>A-2683</t>
  </si>
  <si>
    <t>A-2684</t>
  </si>
  <si>
    <t>A-2685</t>
  </si>
  <si>
    <t>A-2686</t>
  </si>
  <si>
    <t>0 records in the Smithsonian Open Access bulk corpus match "Empire freight house"; "freight house at Empire". The dump indexes catalogue titles and descriptions, not page text, so this is absence from the museum catalogue rather than from the museum.</t>
  </si>
  <si>
    <t>A-2687</t>
  </si>
  <si>
    <t>0 records in the Smithsonian Open Access bulk corpus match "Empire municipal building"; "municipal building at Empire". The dump indexes catalogue titles and descriptions, not page text, so this is absence from the museum catalogue rather than from the museum.</t>
  </si>
  <si>
    <t>A-2688</t>
  </si>
  <si>
    <t>0 records in the Smithsonian Open Access bulk corpus match "Empire fire station"; "fire station at Empire". The dump indexes catalogue titles and descriptions, not page text, so this is absence from the museum catalogue rather than from the museum.</t>
  </si>
  <si>
    <t>A-2689</t>
  </si>
  <si>
    <t>0 records in the Smithsonian Open Access bulk corpus match "Empire bank"; "bank at Empire". The dump indexes catalogue titles and descriptions, not page text, so this is absence from the museum catalogue rather than from the museum.</t>
  </si>
  <si>
    <t>A-2690</t>
  </si>
  <si>
    <t>0 records in the Smithsonian Open Access bulk corpus match "Gorgona band stand"; "band stand at Gorgona". The dump indexes catalogue titles and descriptions, not page text, so this is absence from the museum catalogue rather than from the museum.</t>
  </si>
  <si>
    <t>A-2691</t>
  </si>
  <si>
    <t>0 records in the Smithsonian Open Access bulk corpus match "Culebra fire station"; "fire department at Culebra". The dump indexes catalogue titles and descriptions, not page text, so this is absence from the museum catalogue rather than from the museum.</t>
  </si>
  <si>
    <t>A-2692</t>
  </si>
  <si>
    <t>0 records in the Smithsonian Open Access bulk corpus match "Culebra dispensary"; "dispensary at Culebra". The dump indexes catalogue titles and descriptions, not page text, so this is absence from the museum catalogue rather than from the museum.</t>
  </si>
  <si>
    <t>A-2693</t>
  </si>
  <si>
    <t>0 records in the Smithsonian Open Access bulk corpus match "Culebra planing mill"; "planing mill at Culebra". The dump indexes catalogue titles and descriptions, not page text, so this is absence from the museum catalogue rather than from the museum.</t>
  </si>
  <si>
    <t>A-2694</t>
  </si>
  <si>
    <t>0 records in the Smithsonian Open Access bulk corpus match "Culebra corral"; "corral at Culebra". The dump indexes catalogue titles and descriptions, not page text, so this is absence from the museum catalogue rather than from the museum.</t>
  </si>
  <si>
    <t>A-2695</t>
  </si>
  <si>
    <t>0 records in the Smithsonian Open Access bulk corpus match "Culebra lumber"; "lumber yard at Culebra". The dump indexes catalogue titles and descriptions, not page text, so this is absence from the museum catalogue rather than from the museum.</t>
  </si>
  <si>
    <t>A-2696</t>
  </si>
  <si>
    <t>0 records in the Smithsonian Open Access bulk corpus match "Culebra magazine"; "powder magazine at Culebra". The dump indexes catalogue titles and descriptions, not page text, so this is absence from the museum catalogue rather than from the museum.</t>
  </si>
  <si>
    <t>A-2697</t>
  </si>
  <si>
    <t>0 records in the Smithsonian Open Access bulk corpus match "Las Cascadas engine house"; "engine house at Las Cascadas". The dump indexes catalogue titles and descriptions, not page text, so this is absence from the museum catalogue rather than from the museum.</t>
  </si>
  <si>
    <t>A-2698</t>
  </si>
  <si>
    <t>0 records in the Smithsonian Open Access bulk corpus match "Las Cascadas post office"; "post office at Las Cascadas". The dump indexes catalogue titles and descriptions, not page text, so this is absence from the museum catalogue rather than from the museum.</t>
  </si>
  <si>
    <t>A-2699</t>
  </si>
  <si>
    <t>0 records in the Smithsonian Open Access bulk corpus match "Paraiso hotel"; "hotel at Paraiso". The dump indexes catalogue titles and descriptions, not page text, so this is absence from the museum catalogue rather than from the museum.</t>
  </si>
  <si>
    <t>A-2700</t>
  </si>
  <si>
    <t>0 records in the Smithsonian Open Access bulk corpus match "Paraiso police station"; "police station at Paraiso". The dump indexes catalogue titles and descriptions, not page text, so this is absence from the museum catalogue rather than from the museum.</t>
  </si>
  <si>
    <t>A-2701</t>
  </si>
  <si>
    <t>I.C.C. camp at Pedro Miguel</t>
  </si>
  <si>
    <t>v00097 (Ruiz): "I arrived in Panama in 1910, I went to Pedro Miguel and started to work as a laborer (pick and shovel)... I lived in the I.C.C. camp, about 150 men, slept in a canvas bunk, at times I passed a good night." Corroborated by v00064, which recalls Pedro Miguel living conditions as camps, "6 to 8 men were living in one little room".</t>
  </si>
  <si>
    <t>A-2702</t>
  </si>
  <si>
    <t>retro absence audit (crop read) - map_verdicts_20260916.txt</t>
  </si>
  <si>
    <t>The 1911 property map draws this ground as the CABALLERO Tract, crossed by the Panama Road and the road to Juan Diaz, with Corozal to the west and Old Bridge to the east. No settlement and no Curundu name: in 1911 the future town is a land tract.</t>
  </si>
  <si>
    <t>A-2703</t>
  </si>
  <si>
    <t>Corundo</t>
  </si>
  <si>
    <t>The name is on the 1909 sheet twice - RIO CORUNDO along the stream and CORUNDO ROAD along the highway - but attached to the water and the road, not to any settlement. The toponym precedes the town by four decades, and the sheet spells it Corundo.</t>
  </si>
  <si>
    <t>A-2704</t>
  </si>
  <si>
    <t>The 1905-06 survey strip shows only the Corozal to Panama road crossing open ground here, with a partial COR... label at the sheet edge. No buildings, no camp.</t>
  </si>
  <si>
    <t>A-2705</t>
  </si>
  <si>
    <t>The c.1904 occupation baseline shows contours, streams and a track across empty ground at this point; the nearest building cluster is well to the south-east toward Panama. Nothing at Curundu.</t>
  </si>
  <si>
    <t>A-2706</t>
  </si>
  <si>
    <t>At the as-built town's position the 1909 sheet shows the red-hatched lock excavation zone between PARAISO and the PEDRO MIGUEL LOCKS. The label PEDRO MIGUEL belongs to the old village north-east of it (CZ-020). The relocated town does not yet exist.</t>
  </si>
  <si>
    <t>A-2707</t>
  </si>
  <si>
    <t>The 1947 sheet labels Pedro Miguel and fills it with a yellow built-up polygon centred on the as-built town, with Paraiso, Red Tank and Miraflores around it and Pedro Miguel Locks to the south-west. The replacement town in its mature form.</t>
  </si>
  <si>
    <t>A-2708</t>
  </si>
  <si>
    <t>The 1911 property map names GORGONA and its land tracts (Tract 18, Caballo Viejo, Carabali Reservoir, Old Gorgona Road) and draws the town's buildings as dots, but carries no name for the West Indian quarter. The quarter is inside the drawn town and outside its lettering.</t>
  </si>
  <si>
    <t>A-2709</t>
  </si>
  <si>
    <t>Same pattern on the 1909 sheet: GORGONA labelled, building dots strung along the railroad, the future lake hatched in red around them - and no Jamaica Town. The quarter is drawn and unnamed.</t>
  </si>
  <si>
    <t>A-2710</t>
  </si>
  <si>
    <t>The 1909 sheet names CULEBRA once, for the whole settlement, and draws dot clusters on both sides of the line including the western ground. West Culebra exists as buildings on this sheet but not as a name.</t>
  </si>
  <si>
    <t>A-2711</t>
  </si>
  <si>
    <t>The 1911 property map covers this ground with the Cristobal street grid, the anchorage, numbered tracts 5013/5014/508 and Mount Hope. No labour camp is named.</t>
  </si>
  <si>
    <t>A-2712</t>
  </si>
  <si>
    <t>The 1909 sheet shows CRISTOBAL, its P.R.R. Station and the platted street grid. No Camp Bierd.</t>
  </si>
  <si>
    <t>A-2713</t>
  </si>
  <si>
    <t>The 1911 property map calls this ground Black Swamp inside the AHORCA LAGARTO tract, beside the Chagres. No settlement is drawn or named.</t>
  </si>
  <si>
    <t>A-2714</t>
  </si>
  <si>
    <t>The 1909 sheet hatches the ground for the future lake and names only Ahorca Lagarto nearby. No Dos Hermanas.</t>
  </si>
  <si>
    <t>A-2715</t>
  </si>
  <si>
    <t>Map No.1 of the 1905-06 surveys covers this point with contours, swamp symbols and the Panama R.R.; the nearest lettering is a swamp name. No village.</t>
  </si>
  <si>
    <t>A-2716</t>
  </si>
  <si>
    <t>Juana Maria</t>
  </si>
  <si>
    <t>The 1911 property map carries the name as a land title: tract 5090 JUANA MARIA, beside Rio Frijol Grande and the Tabernilla tracts. The village itself is not drawn - the name survives only in the land register, and the sheet spells it Juana Maria, not Juan Maria.</t>
  </si>
  <si>
    <t>A-2717</t>
  </si>
  <si>
    <t>The 1909 sheet hatches this ground for the lake and labels the 1000-foot channel and Chagresito. No settlement.</t>
  </si>
  <si>
    <t>A-2718</t>
  </si>
  <si>
    <t>Map No.2 of the 1905-06 surveys shows swamp, the Panama R.R. and the canal prism here; the only buildings within half a kilometre are the row of black squares labelled San Pablo. Juan Maria is not on the sheet.</t>
  </si>
  <si>
    <t>A-2719</t>
  </si>
  <si>
    <t>The 1911 property map covers this ground with tract 5057 BARBACOAS and the San Pablo tracts at the K-34/K-35 posts. No Agua Bendita.</t>
  </si>
  <si>
    <t>A-2720</t>
  </si>
  <si>
    <t>The 1909 sheet puts TABERNILLA and its town dot at this position, inside the red lake hatching, with Frijoles to the north-east. The French hamlet's name is gone from the US sheet. Note that this place's position is itself Low certainty, read off the 1886 French profile.</t>
  </si>
  <si>
    <t>A-2721</t>
  </si>
  <si>
    <t>Map No.2 of the 1905-06 surveys shows contours, swamp and the canal prism with a single building at a railroad crossing east of the point. No hamlet is named.</t>
  </si>
  <si>
    <t>A-2722</t>
  </si>
  <si>
    <t>SUMMIT (gardens web + station, ED 1-16)</t>
  </si>
  <si>
    <t>CENSUS1940_SUMMIT (naId 5838616), georef 2026-09-16</t>
  </si>
  <si>
    <t>VERTEX DECODE COMPLETE - the sheet's diagonal ED-boundary labels resolved into a ROTATED GRATICULE (meridians 79d39'00"/79d39'30" W crossing the sheet corner-to-corner at -41.7 deg, parallels 9d04'00"/9d04'30" N); affine on 11 line constraints, residuals &lt;=11 m. Summit 1940 = the Plant Introduction Gardens as town: a road web named as a botanical taxonomy (Ficus Walk, Banana Walk, Bamboo Lane, Eugenia, Spathodea, Cassia, Garcina, Cedrela, Palm, Mango, Mahogany, Royal Poinciana loop, Hevea, Erythea), dispersed numbered buildings 18B-47, quarters rows 23-28, R.R. station + Substation on the relocated line, To Gamboa road, GAILLARD HIGHWAY along the SW. The earlier 'dispersed parcels' read-only verdict upgraded to a graticule-true warp (+-15-40 m). The stored M1947-derived point sat 450 m N of the station along the line (1:100k symbol slop) - Coordinates UPGRADED to the station cluster. Extent traced to footprints.geojson; reads in CENSUS1940_SUMMIT_positions.csv.</t>
  </si>
  <si>
    <t>A-2723</t>
  </si>
  <si>
    <t>Zion Hill Reservoir</t>
  </si>
  <si>
    <t>retro text probe 2026-09-16 (National Archives catalog, Record Group 185)</t>
  </si>
  <si>
    <t>Described in the Dredging Division's Gaillard Cut series: 'Gaillard Cut East Culebra Slide area Looking East and North from Zion Hill Reservoir elevation +550 Showing grader and ditching operations on North end of East Culebra Slide'. The reservoir is named, and its elevation given, in the federal record - found only by searching the archive's name for the hill rather than the model's.</t>
  </si>
  <si>
    <t>A-2724</t>
  </si>
  <si>
    <t>No records in Record Group 185 for "Empire freight house" - the catalog returns nothing at all.</t>
  </si>
  <si>
    <t>A-2725</t>
  </si>
  <si>
    <t>No records in Record Group 185 for "Empire municipal building".</t>
  </si>
  <si>
    <t>A-2726</t>
  </si>
  <si>
    <t>No records in Record Group 185 for "Empire fire station".</t>
  </si>
  <si>
    <t>A-2727</t>
  </si>
  <si>
    <t>No records in Record Group 185 for "Empire bank".</t>
  </si>
  <si>
    <t>A-2728</t>
  </si>
  <si>
    <t>No records in Record Group 185 for "Gorgona band stand".</t>
  </si>
  <si>
    <t>A-2729</t>
  </si>
  <si>
    <t>One match, and it is the Central Files index volume "Wave(s) THRU Zyklon - B" - a fuzzy word match inside an unread digitized index, not a described record. No photograph or file is catalogued under this name.</t>
  </si>
  <si>
    <t>A-2730</t>
  </si>
  <si>
    <t>One match, the index volume "Signal System THRU Stationery". No described record names a Culebra dispensary.</t>
  </si>
  <si>
    <t>A-2731</t>
  </si>
  <si>
    <t>No records in Record Group 185 for "Culebra planing mill".</t>
  </si>
  <si>
    <t>A-2732</t>
  </si>
  <si>
    <t>Three matches, all Central Files index volumes ("Veach, Ella Mrs. THRU Weaver, R. R."; "Playground(s) THRU Power of Attorney"; "Horse(s) THRU Hygiene"). None is a described record.</t>
  </si>
  <si>
    <t>A-2733</t>
  </si>
  <si>
    <t>Two matches, both Central Files index volumes ("Fan(s) (Electric) THRU Fish Pond(s)"; "Tank (Water) THRU Theft of Dynamite"). The lumber yard the letters describe in 1905 has no catalogued record.</t>
  </si>
  <si>
    <t>A-2734</t>
  </si>
  <si>
    <t>No records in Record Group 185 for "Culebra magazine".</t>
  </si>
  <si>
    <t>A-2735</t>
  </si>
  <si>
    <t>Three matches, all Central Files index volumes, one of them "Locks at Miraflores THRU Magazine(s)". No described record.</t>
  </si>
  <si>
    <t>A-2736</t>
  </si>
  <si>
    <t>One match, the index volume "Miraflores THRU Nail(s)". No described record.</t>
  </si>
  <si>
    <t>A-2737</t>
  </si>
  <si>
    <t>Ten matches, all Central Files index volumes with personal-name and subject ranges. No described record names a hotel at Paraiso, though a worker's letter names its manager.</t>
  </si>
  <si>
    <t>A-2738</t>
  </si>
  <si>
    <t>No records in Record Group 185 for "Paraiso police station".</t>
  </si>
  <si>
    <t>A-2739</t>
  </si>
  <si>
    <t>Zion Hill</t>
  </si>
  <si>
    <t>The place is in Record Group 185 under the archive's own name, not the model's: a search for "Mount Zion" returns only index volumes, but "Zion Hill" returns 10 described photographs of the Dredging Division's Gaillard Cut work - "View looking southward from top of Zion Hill showing break in southeast corner of Zion Hill October 22, 1936" and the January 1938 panorama from "the south toe of Zion Hill, Station 1795". The hill outlived the Culebra congregation that named it and enters the record as a slide landmark. | 2026-09-16: typed Name, not Existence - these photographs show the landform that kept the name, not a settlement still standing; the place itself was gone. Excluded from the attested lifespan by convention.</t>
  </si>
  <si>
    <t>A-2740</t>
  </si>
  <si>
    <t>Four matches, all Central Files index volumes; no described record names a Cerro Gordo camp.</t>
  </si>
  <si>
    <t>A-2741</t>
  </si>
  <si>
    <t>Seven matches, every one a Central Files index volume ("Water THRU Wattmeter(s)", "Car(s) Pay THRU Charcoal", "School(s) at Ancon THRU Sewer(s) at Palo Seco" and four more). Distinctive as the name is, no described record in the record group carries it.</t>
  </si>
  <si>
    <t>A-2742</t>
  </si>
  <si>
    <t>"Jamaica Town" returns three matches in Record Group 185 and all three are Central Files index volumes. The Canal's own records describe no place of this name.</t>
  </si>
  <si>
    <t>A-2743</t>
  </si>
  <si>
    <t>Same three index-volume matches; the Gatun quarter, which a worker's letter says had its cemetery dug up, has no described record.</t>
  </si>
  <si>
    <t>A-2744</t>
  </si>
  <si>
    <t>Same query, same three index-volume matches. None of the three Jamaica Towns is described in the Canal's own record group.</t>
  </si>
  <si>
    <t>A-2745</t>
  </si>
  <si>
    <t>Two matches, both Central Files index volumes. No described record.</t>
  </si>
  <si>
    <t>A-2746</t>
  </si>
  <si>
    <t>41 records carry the word, and every one is an employment application recording an applicant's birthplace - "Application #21116 for John Stevens, POB: Dominica". The Canal's records know Dominica as a place workers came FROM, never as the Chagres village that shared the name.</t>
  </si>
  <si>
    <t>A-2747</t>
  </si>
  <si>
    <t>88 records carry the name and the visible ones are the Canal tug CARDENAS ("Photograph of Tug CARDENAS", "Photograph of Tug Cardenas and SS Ancon"). The name survives in the record group on a boat, not on the village.</t>
  </si>
  <si>
    <t>A-2748</t>
  </si>
  <si>
    <t>72 matches, and the name is a person in this record group: the hits are personal-name index ranges such as "Gedney, Ralph THRU Gypsy(ies)". No record describes a shore camp at La Boca called Gerig.</t>
  </si>
  <si>
    <t>A-2749</t>
  </si>
  <si>
    <t>West Culebra Slide</t>
  </si>
  <si>
    <t>19 described photographs name it, all from the Dredging Division's slide work: "Gaillard Cut West Culebra Slide View looking north from slope of Zion Hill... October 22, 1936" and "Project No 13 (The West Culebra Slide)... Station 1795... January 4, 1938". West Culebra survives in the federal record as a landslide, twenty years after it stopped being described as a place where people lived. | 2026-09-16: typed Name, not Existence - these photographs show the landform that kept the name, not a settlement still standing; the place itself was gone. Excluded from the attested lifespan by convention.</t>
  </si>
  <si>
    <t>A-2750</t>
  </si>
  <si>
    <t>17 matches for the 1911 property map's spelling, and all of them are Cristobal Division marriage-licence and log-book indexes where Juana Maria is a person's name. The Chagres village is not described.</t>
  </si>
  <si>
    <t>A-2751</t>
  </si>
  <si>
    <t>FORT DE LESSEPS MILITARY RESERVATION (1:1,000 plan)</t>
  </si>
  <si>
    <t>FDL1000 (naId 5838610, dwg 6056-5), georef 2026-09-16</t>
  </si>
  <si>
    <t>The dedicated Section of Surveys reservation plan (dwg 6056-5, 'February 27, 19[?]8' - final digits washed out; field work H.H.A., traced E.L.K., submitted O.E. Malsbury), used as the 1940 census ED sheet - THE FINEST-SCALE SHEET IN THE CORPUS (1:1,000). Building-by-building: the Washington Hotel's full E-shaped footprint, swimming pool, the battery arc along the Limon Bay shore, barracks quadrangle, building 804-B, Old P.R.R. Freight House, Pier No. 2, 3rd Street edge. Fit: compass rotation + graphical bar scale + hotel anchor; validated pool 19 m, battery arc vs CENSUS1940_COLON 17 m (+-20-40 m). CZ-214 Coordinates refined to the built-cluster center; fenced fort ground traced to footprints.geojson. This item had sat unmatched in the census inventory until the CZ-214 registration and the 2026-09-16 park-vs-fort correction made it legible.</t>
  </si>
  <si>
    <t>A-2752</t>
  </si>
  <si>
    <t>SILVER CITY TOWN</t>
  </si>
  <si>
    <t>retro absence audit (crop read) - map_verdicts_census1950.txt</t>
  </si>
  <si>
    <t>Enumerated as SILVER CITY TOWN across seven districts, EDs 2-21 to 2-27 - more districts than any other place on the sheet except Gatun and Balboa. The town the model registers as erased was in 1950 the largest enumerated settlement of the Cristobal District. | RETRACTED 2026-09-16 by user ruling: duplicate reading. A parallel session read the same 1950 enumeration district sheet within the hour and recorded it as A-2986, which is kept. This row is withdrawn to leave one claim per place per source.</t>
  </si>
  <si>
    <t>A-2753</t>
  </si>
  <si>
    <t>COCO SOLITO TOWN</t>
  </si>
  <si>
    <t>Enumerated as COCO SOLITO TOWN, ED 2-7, listed separately from the three Coco Solo naval districts beside it.</t>
  </si>
  <si>
    <t>A-2754</t>
  </si>
  <si>
    <t>COCOLI TOWN</t>
  </si>
  <si>
    <t>Enumerated as COCOLI TOWN, ED 1-7, with COCOLI MAGAZINE AREA as ED 1-8. The townsite is a census town in its own right.</t>
  </si>
  <si>
    <t>A-2755</t>
  </si>
  <si>
    <t>PEDRO MIGUEL TOWN</t>
  </si>
  <si>
    <t>Enumerated as PEDRO MIGUEL TOWN, ED 1-48, with PEDRO MIGUEL RURAL as ED 1-49 - the as-built town, thirty-odd years after the village it replaced was cleared. | RETRACTED 2026-09-16 by user ruling: duplicate reading. A parallel session read the same 1950 enumeration district sheet within the hour and recorded it as A-2991, which is kept. This row is withdrawn to leave one claim per place per source.</t>
  </si>
  <si>
    <t>A-2756</t>
  </si>
  <si>
    <t>FRIJOLES TOWN</t>
  </si>
  <si>
    <t>Enumerated as FRIJOLES TOWN, ED 2-33, in the Cristobal District, with FRIJOLES RURAL as ED 1-21 in the Balboa District. The relocated station town survives the flooding as a census town. | RETRACTED 2026-09-16 by user ruling: duplicate reading. A parallel session read the same 1950 enumeration district sheet within the hour and recorded it as A-2987, which is kept. This row is withdrawn to leave one claim per place per source. NOTE: this row also had the enumeration district wrong - it gave FRIJOLES RURAL as 1-21, and the roster reads 1-31 (1-21 is South Gamboa Town).</t>
  </si>
  <si>
    <t>A-2757</t>
  </si>
  <si>
    <t>DIABLO HEIGHTS TOWN</t>
  </si>
  <si>
    <t>Enumerated as DIABLO HEIGHTS TOWN, ED 1-27.</t>
  </si>
  <si>
    <t>A-2758</t>
  </si>
  <si>
    <t>CAMP BIERD TOWN</t>
  </si>
  <si>
    <t>Enumerated as CAMP BIERD TOWN, ED 2-4 - the first entry of the Cristobal District list. The 1910 labour camp that neither the 1909 nor the 1911 sheet would name is a census town forty years later. | RETRACTED 2026-09-16 by user ruling: duplicate reading. A parallel session read the same 1950 enumeration district sheet within the hour and recorded it as A-2984, which is kept. This row is withdrawn to leave one claim per place per source.</t>
  </si>
  <si>
    <t>A-2759</t>
  </si>
  <si>
    <t>No Curundu district anywhere in either list. The sheet enumerates Corozal's hospital and military reservation, Diablo Heights, Cocoli and Fort Clayton all around it, and names no Curundu.</t>
  </si>
  <si>
    <t>A-2760</t>
  </si>
  <si>
    <t>The list carries CRISTOBAL TOWN (ED 2-8) and nothing else of the name; New Cristobal is not enumerated as a separate place.</t>
  </si>
  <si>
    <t>A-2761</t>
  </si>
  <si>
    <t>Not among the 66 districts.</t>
  </si>
  <si>
    <t>A-2762</t>
  </si>
  <si>
    <t>Not among the 66 districts; LA BOCA TOWN (EDs 1-36 to 1-40) covers this ground and carries no Cartagenita.</t>
  </si>
  <si>
    <t>A-2763</t>
  </si>
  <si>
    <t>The rural Zone is enumerated as CHAGRES RURAL, TRINIDAD RURAL, ESCOBAL RURAL, ESCONDIDO RURAL, LA CHININA RURAL and MONTE LIRIO RURAL. None of them is Rio Indio, and the settlement has no district of its own.</t>
  </si>
  <si>
    <t>A-2764</t>
  </si>
  <si>
    <t>Not among the six rural districts or any town district.</t>
  </si>
  <si>
    <t>A-2765</t>
  </si>
  <si>
    <t>A-2766</t>
  </si>
  <si>
    <t>A-2767</t>
  </si>
  <si>
    <t>A-2768</t>
  </si>
  <si>
    <t>A-2769</t>
  </si>
  <si>
    <t>A-2770</t>
  </si>
  <si>
    <t>A-2771</t>
  </si>
  <si>
    <t>The list carries MIRAFLORES TOWN (ED 1-44) in the Balboa District, which is the Pacific locks town. No Miraflores appears in the Cristobal District list, so the Atlantic-side place of that name is not enumerated.</t>
  </si>
  <si>
    <t>A-2772</t>
  </si>
  <si>
    <t>No Jamaica Town in either district list; the Pacific quarter is enumerated inside whichever town district contains it, unnamed.</t>
  </si>
  <si>
    <t>A-2773</t>
  </si>
  <si>
    <t>ANCON TOWN is EDs 1-2 and 1-3 and the hospital is not broken out, although the census does give CORZAL HOSPITAL FOR INSANE (ED 1-25) and PALO SECO LEPER COLONY (ED 1-11) districts of their own. The Zone's principal hospital was counted inside its town.</t>
  </si>
  <si>
    <t>A-2774</t>
  </si>
  <si>
    <t>Mount Hope waterfront on the FRENCH CANAL (EDs 2-39/40)</t>
  </si>
  <si>
    <t>CENSUS1940_FRENCHCANAL (naId 5838622 p.003; p.006 duplicate), georef 2026-09-16</t>
  </si>
  <si>
    <t>The waterfront section of the Cristobal-Colon-Mt Hope parent map (index inset decoded): the FRENCH CANAL labeled as a living water body in 1940, with docks 13/14/15, a marginal pile wharf (bldg 5097), the 4000-series industrial group (OFFICE 4035, SCALES 4040) on rail loops at the bulkhead corner, and the tank-farm dike enclosures. IDENTIFICATION CORRECTED: this base had been classified 'France Field/Coco Solo approaches' - wrong; it is the Mount Hope-French Canal margin. Fit: dock-14 chain to ATLANTIC1947 with series rotation/scale, overlay-validated (+-100-200 m absolute, relative geometry good). The French-era canal still working ground in 1940 - infrastructure afterlife on the official base. Reads in CENSUS1940_FRENCHCANAL_positions.csv.</t>
  </si>
  <si>
    <t>A-2775</t>
  </si>
  <si>
    <t>court house at Empire</t>
  </si>
  <si>
    <t>The Canal Record's 1907 church notices: Rev. John C. Elkins, presiding elder of the Methodist Episcopal church for the Canal Zone, held services "First and third Sundays, court house, Empire, 7.30 p.m." The building the workers' letters never mention is where the Methodists met.</t>
  </si>
  <si>
    <t>A-2776</t>
  </si>
  <si>
    <t>freight house at Empire</t>
  </si>
  <si>
    <t>Canal Record 1907: "The unexpected increase in the amount of the local and Commission freight handled by the Panama railroad has made it necessary to erect at once a new freight house at Empire 30 by 70 feet. Similar new houses will have to be erected in the immediate future at Culebra, Las Cascadas and Gorgona." Dimensions and date, from the employer's own weekly.</t>
  </si>
  <si>
    <t>A-2777</t>
  </si>
  <si>
    <t>Canal Record 1909: "The annual picnic for West Indians of Colon and other points along the line of the Panama railroad will be held at the Empire ball park on New Year's Day." A lost-property notice the same year places a medal "between Empire baseball park and Las Cascadas". The ground the letters do not recall was the West Indians' own gathering place.</t>
  </si>
  <si>
    <t>A-2778</t>
  </si>
  <si>
    <t>Pennsylvania Hotel, Empire</t>
  </si>
  <si>
    <t>A Canal Zone guidebook advertisement: "PENNSYLVANIA HOTEL, EMPIRE, CANAL ZONE. A. Rome, Proprietor. ONLY hotel in Empire where travelers can obtain strictly first-class accommodation." A private house, and its claim to be the only one sits oddly beside the I.C.C. hotel the workers' letters describe - a conflict worth a ruling rather than a silent merge.</t>
  </si>
  <si>
    <t>A-2779</t>
  </si>
  <si>
    <t>The 1907 Canal Record police return counts 61 arrests at Empire against 65 at Culebra and 72 at Gorgona; a 1910 notice sets a public auction "at Empire police station, at 2 o'clock p.m., July 30, 1910" for a grey native pony.</t>
  </si>
  <si>
    <t>A-2780</t>
  </si>
  <si>
    <t>Municipal Building, Empire</t>
  </si>
  <si>
    <t>Canal Record 1907: the first meeting of Admiral Walker Garrison No. 40, Regular Army and Navy Union, "was held in Municipal Building, Empire, C.Z., on Sunday, October 20, at 2.30 p.m."</t>
  </si>
  <si>
    <t>A-2781</t>
  </si>
  <si>
    <t>The 1905 annual report's mechanical-division muster: "Bas Matachin shops 537, Cristobal shops 313, Empire shops 343" - and of the 1,216 men, "the balance were Jamaicans".</t>
  </si>
  <si>
    <t>A-2782</t>
  </si>
  <si>
    <t>Commission Club House, Empire</t>
  </si>
  <si>
    <t>Canal Record 1907: "The total membership of the four Commission Club Houses at Culebra, Empire, Gorgona, and Cristobal is more than sixteen hundred, and applications are still being filed each day." The 1907 annual report adds that the four were completed that year and placed under the Young Men's Christian Association.</t>
  </si>
  <si>
    <t>A-2783</t>
  </si>
  <si>
    <t>Canal Record 1907: "New fire stations at Gorgona, Empire, Culebra and Ancon were practically completed at the end of the month." The annual report lists the full set built for the volunteer companies: Gatun, Gorgona, Las Cascadas, Empire, Culebra, Paraiso, Pedro Miguel, Corozal and La Boca.</t>
  </si>
  <si>
    <t>A-2784</t>
  </si>
  <si>
    <t>A Canal Zone guidebook advertisement for the Panama Banking Company lists its offices as "Panama, Colon, Empire, Bocas, New York" - the branch the letter-writer remembered "when it was in Empire", in print.</t>
  </si>
  <si>
    <t>A-2785</t>
  </si>
  <si>
    <t>Canal Record 1907: "at Empire 1,888 orders, value $61,203.59" of money orders issued. The 1911 deposit notice lists Empire among the Canal Zone post offices taking deposits, beside Ancon, Balboa, Bas Obispo, Corozal, Cristobal, Culebra, Gatun, Gorgona, Matachin, Miraflores, Paraiso and Pedro Miguel.</t>
  </si>
  <si>
    <t>A-2786</t>
  </si>
  <si>
    <t>emergency hospital at Empire</t>
  </si>
  <si>
    <t>The 1905 annual report: an emergency hospital was established at Gorgona in February 1905, "There is also an emergency hospital at Empire. Other line hospitals will be established as they are required."</t>
  </si>
  <si>
    <t>A-2787</t>
  </si>
  <si>
    <t>Empire market</t>
  </si>
  <si>
    <t>Canal Record 1907: "During the month 13 stalls and 13 tables were vacant at the Empire market." The annual report the same year: "There are 3 markets, 1 each at Empire, Gorgona, and Cristobal. These properties are sources of considerable revenue to the Zone."</t>
  </si>
  <si>
    <t>A-2788</t>
  </si>
  <si>
    <t>Commission Club House, Gorgona</t>
  </si>
  <si>
    <t>One of the four club houses named in the 1907 Canal Record - Culebra, Empire, Gorgona and Cristobal - and in the annual report's list of buildings raised that year for religious services and open to all denominations.</t>
  </si>
  <si>
    <t>A-2789</t>
  </si>
  <si>
    <t>The 1907 building schedule counts "1 club house, 1 lodge hall, 1 office, 1 band stand" in the town's return; in 1909 "The Gorgona Christian Endeavor Society will hold an open air meeting at the band stand on Sunday evening, March 13."</t>
  </si>
  <si>
    <t>A-2790</t>
  </si>
  <si>
    <t>The 1906 canal investigation: "At Gorgona work has been commenced upon the new reservoir made necessary by the authorization of the hotel building at that point." The hotel is dated by the water it needed.</t>
  </si>
  <si>
    <t>A-2791</t>
  </si>
  <si>
    <t>Commission Club House, Culebra</t>
  </si>
  <si>
    <t>The fourth of the 1907 club houses, and the one whose lobby and building the annual report illustrates in plates 122-123.</t>
  </si>
  <si>
    <t>A-2792</t>
  </si>
  <si>
    <t>The 1905 annual report on the "dormitories, or 'hotels'": "Two dormitories have been erected, one at Corozal and one at Culebra. A third is now in process of erection at Ancon." The word hotel is the Commission's own, in quotation marks.</t>
  </si>
  <si>
    <t>A-2793</t>
  </si>
  <si>
    <t>Canal Record 1907 money-order returns: "in Culebra 1,370 orders, value $40,782.80"; Culebra is again in the 1911 list of deposit-taking Canal Zone post offices.</t>
  </si>
  <si>
    <t>A-2794</t>
  </si>
  <si>
    <t>Baptist clergyman at Culebra</t>
  </si>
  <si>
    <t>The 1905 annual report: "The Jamaican Missionary Society of the Baptist Church has maintained for five or six years an English clergyman at Culebra, who works among the Jamaican negroes there and at other places in the Canal Zone" - which puts a Jamaican Baptist ministry at Culebra from about 1899.</t>
  </si>
  <si>
    <t>A-2795</t>
  </si>
  <si>
    <t>Canal Record 1907: "Colored schools have been opened at the following points: La Boca, Matachin, Gatun, Las Sabanas, Cruces, Mount Hope, Paraiso, Gorgona, Playa de Flor, Culebra, Tabernilla, Cristobal, Empire and Bohio. The curriculum of the colored schools includes the first six grades." The 1914 report tabulates enrolment school by school. The school exists beyond doubt in the employer's record; it is the workers' own letters that never name it.</t>
  </si>
  <si>
    <t>A-2796</t>
  </si>
  <si>
    <t>Canal Record 1911, Commissary Department notice: "The open hours at Culebra commissary are from 8 a.m. to 1 p.m." - printed week after week.</t>
  </si>
  <si>
    <t>A-2797</t>
  </si>
  <si>
    <t>Named in the 1907 annual report's list of fire stations built for the volunteer companies at Gatun, Gorgona, Las Cascadas, Empire, Culebra, Paraiso, Pedro Miguel, Corozal and La Boca, and in the Canal Record's notice of the Zone Fire Department extension.</t>
  </si>
  <si>
    <t>A-2798</t>
  </si>
  <si>
    <t>emergency hospital at Culebra</t>
  </si>
  <si>
    <t>The 1905 annual report dates it exactly: "On October 22, 1904, an emergency hospital was opened at Culebra." Two years earlier than the letters' recollection, and earlier than the place's registered start.</t>
  </si>
  <si>
    <t>A-2799</t>
  </si>
  <si>
    <t>Lirio planing mill at Culebra</t>
  </si>
  <si>
    <t>Canal Record 1909: long-term convicts building the West Culebra road were set to filling low ground "on the west side of the Panama railroad, opposite the Lirio planing mill, at Culebra." The mill has a name, a side of the track, and a convict gang working across from it.</t>
  </si>
  <si>
    <t>A-2800</t>
  </si>
  <si>
    <t>The 1905 appropriation list has "Corrals: Ancon, Corozal, Culebra, Cristobal"; the 1907 Canal Record: several hundred horses and mules "are located in corrals at Cristobal, Gatun, Tabernilla, Gorgona, Bas Obispo, Las Cascadas, Empire, Culebra, Paraiso, Corozal, Ancon, and La Boca. Each corral is under the immediate jurisdiction of a corral foreman."</t>
  </si>
  <si>
    <t>A-2801</t>
  </si>
  <si>
    <t>lumber yard at Culebra</t>
  </si>
  <si>
    <t>The 1907 annual report: "The storekeeper at Empire has jurisdiction over the district between Bas Obispo and Paraiso (which includes the stores at Bas Obispo, Empire, and Culebra, the lumber yard at Culebra, the corrals ...)." The yard where Finn checked lumber in 1905, in the employer's own table of jurisdictions.</t>
  </si>
  <si>
    <t>A-2802</t>
  </si>
  <si>
    <t>Culebra station</t>
  </si>
  <si>
    <t>A construction memoir: "we sat on the platform at Culebra station and listened to the hymns the Jamaicans [sang]" - the same scene twice told, once as "waiting for a south-bound at Culebra station". The station is where the Jamaican singing was heard.</t>
  </si>
  <si>
    <t>A-2803</t>
  </si>
  <si>
    <t>dynamite magazine at Culebra</t>
  </si>
  <si>
    <t>The 1906 annual report's building schedule: "Storehouses: Culebra - Corral, Dynamite magazine; Empire, commissary; Bas Obispo, dynamite magazine."</t>
  </si>
  <si>
    <t>A-2804</t>
  </si>
  <si>
    <t>The Canal Record's 1907 index entry for the town reads "Las Cascadas - Church and Lodge building for, 330. Coal chute, 4. Engine house, 3. Laundry service, 17, 126." Three of the four are buildings the model does not hold.</t>
  </si>
  <si>
    <t>A-2805</t>
  </si>
  <si>
    <t>Canal Record 1907: of the eleven smaller Canal Zone post offices the takings ran "to $29,690.31 at Las Cascadas, where 829 orders were issued". Las Cascadas is in the 1911 deposit-taking list too.</t>
  </si>
  <si>
    <t>A-2806</t>
  </si>
  <si>
    <t>Paraiso shops (former French)</t>
  </si>
  <si>
    <t>The 1905 annual report, on abandoning the Culebra shop built inside the canal prism: the tools and equipment were "moved to Paraiso, where existed the former repair shops of the old French company, which were enlarged, repaired, and fitted up with machinery." The French-era complex, confirmed as French and as reused.</t>
  </si>
  <si>
    <t>A-2807</t>
  </si>
  <si>
    <t>The 1907 annual report on the Panama water system: extensions were made "mainly 4-inch lines, in the outlying districts of Cocoa Grove, Calidonia, and Guachapali. The sanitary department, which requested these latter extensions, estimates that this improvement has lessened [disease]." A 1908 city directory lists residents by house number in Guachapali.</t>
  </si>
  <si>
    <t>A-2808</t>
  </si>
  <si>
    <t>The 1919 annual report of the Governor, on a Joint Land Commission case: a map was prepared "bearing on a map of the adjacent estate of Santa Cruz, Cansaloma and Waterloo", showing the boundary lines and area of the estate. The 1862 village survives as part of an estate name, as it does in the Canal Record. (Waterloo is a new-place candidate.)</t>
  </si>
  <si>
    <t>A-2809</t>
  </si>
  <si>
    <t>The 1927 annual report: "The construction of eight new classrooms at Silver City, Cristobal, and six additional rooms at Gatun was under way at the close of the fiscal year." In 1929 the plans "look toward the erection of a 16-room school building at La Boca and an 8-room building at Silver City. The normal increase of colored children at present below school age will give rise to an acute need for these."</t>
  </si>
  <si>
    <t>A-2810</t>
  </si>
  <si>
    <t>Baptist mission in Culebra</t>
  </si>
  <si>
    <t>Canal Record 1907: "The Baptist mission in Culebra publishes a periodical, which is distributed among the congregation. This is the only local Pr[otestant publication]." A congregation at Culebra with a press of its own.</t>
  </si>
  <si>
    <t>A-2811</t>
  </si>
  <si>
    <t>Canal Record 1907: "With the exception of the Mount Zion service at Culebra, and the pumping plant at Cucaracha, all the water from this system is supplied by gravity." In 1909 "The three boilers in the pumping station at Mt. Zion, which supplies the high level service at Culebra, will be taken out."</t>
  </si>
  <si>
    <t>A-2812</t>
  </si>
  <si>
    <t>Named in 93 of the corpus's texts, the earliest being the 1905 annual report's plague narrative: a man from the wharf at La Boca "was admitted to Ancon Hospital with symptoms of plague. He died on June 23, the autopsy and inoculation experiments confirming the suspicion."</t>
  </si>
  <si>
    <t>A-2813</t>
  </si>
  <si>
    <t>Canal Record 1907: "The interment of Robert Higginson, who died in Ancon Hospital on November 2, took place at Ancon cemetery on November 10. The Rev. E. O. Eskins, of Panama, conducted the service." A 1909 works notice places a shed "on the opposite side of the Ancon cemetery road from the cow stables."</t>
  </si>
  <si>
    <t>A-2814</t>
  </si>
  <si>
    <t>Chinese cemetery</t>
  </si>
  <si>
    <t>From a five-year resident's memoir: "The ceremonies attending the opening of cemeteries on the Isthmus are somewhat peculiar. Two I recall perfectly. When the Chinese cemetery was opened the leading Chinamen invited a lot of the government officials and citizens. I was honored with [an invitation]."</t>
  </si>
  <si>
    <t>A-2815</t>
  </si>
  <si>
    <t>new Empire</t>
  </si>
  <si>
    <t>Canal Record 1911, on a newly finished Roman Catholic church: "The parish is a large one, extending through old and new Empire, Golden Green, and the neighboring native villages." Old and new Empire are two places in the parish priest's own geography.</t>
  </si>
  <si>
    <t>A-2816</t>
  </si>
  <si>
    <t>The Canal Record's 1913 list of rural districts: "Pedro Miguel rural districts, east and west of the Canal, Cerro Salado, Cartagenita, Japanese Village, Hongkong, Cerro Gordo, Buena Vista, Caballo Viejo, Virgin, rural district between Ancon-Empire line and Empire-Chorrera road." Four of those names - Cerro Salado, Japanese Village, Hongkong and Virgin - are not in the model.</t>
  </si>
  <si>
    <t>A-2817</t>
  </si>
  <si>
    <t>The name is on the water before it is on a town, exactly as the 1909 map has it: Canal Record 1911, "The area is crossed by a branch of the Curundu River and a number of tributary drains"; the 1913 index carries "Curundu River culvert, 129, 269, 325."</t>
  </si>
  <si>
    <t>A-2818</t>
  </si>
  <si>
    <t>The published 1950 census volume for the Canal Zone tabulates "Coco Solito town" beside Camp Bierd town, Cristobal town, Cocoli, Margarita and Silver City, with their populations - the printed counterpart of the enumeration district map read in this same pass. A military area list also carries "Camp Coiner - Coco Solito Area".</t>
  </si>
  <si>
    <t>A-2819</t>
  </si>
  <si>
    <t>The 1922 water accounts distribute supply to "Colon, New Cristobal, Canal Zone other than U.S. Army"; the 1934 report describes planting "in the rear of the new residence quarters, on Colon Beach, in New Cristobal". A named residential town, not just the new docks.</t>
  </si>
  <si>
    <t>A-2820</t>
  </si>
  <si>
    <t>A 1964 defence-technical report lists the Pacific-sector housing areas: "Ancon, Balboa, Balboa Heights, Curundu Heights, Diablo Heights, Gamboa, La Boca, Lacona, Los Rios, Paraiso, and Pedro Miguel. These areas are used mostly by Panama Canal Company employees." Lacona is still a named place in 1964. (Curundu Heights and Los Rios are new-place candidates.)</t>
  </si>
  <si>
    <t>A-2821</t>
  </si>
  <si>
    <t>The 1905 annual report on Gorgona's water supply: the distributing reservoir "supplies Gorgona, Jamaica Town, and Matachin. The sewer system at Gorgona is now nearing completion." The quarter the 1909 and 1911 maps draw and refuse to letter is named in the Commission's own report, as a place with piped water.</t>
  </si>
  <si>
    <t>A-2822</t>
  </si>
  <si>
    <t>Canal Record 1909: the Commission fowl yard "covers an area of over an acre, is located near Bishop's Hollow, between the Ancon Hospital road, and the lower road which winds around the hill." In 1911 the Shakespeare study met "at the home of Mrs. Wanson, Bishop's Hollow".</t>
  </si>
  <si>
    <t>A-2823</t>
  </si>
  <si>
    <t>A rainfall station in the Commission's own network, listed year after year between Camacho and La Boca in the monthly precipitation tables.</t>
  </si>
  <si>
    <t>A-2824</t>
  </si>
  <si>
    <t>An annual report on prison crowding: prisoners "have in consequence been taken care of at the Culebra police station adjoining the penitentiary. This crowded condition will be relieved, however, upon the completion of the Chor[rera road work]." The station's position is given by the building it adjoins.</t>
  </si>
  <si>
    <t>A-2825</t>
  </si>
  <si>
    <t>Canal Record 1907: "Long term sentences are for hard labor and confinement at the Culebra penitentiary, and there are on an average one hundred prisoners serving such sentences. Fifty of these are engaged on road [work]." In 1909 the women's club philanthropy department was "instructed to collect literature for the Culebra penitentiary."</t>
  </si>
  <si>
    <t>A-2826</t>
  </si>
  <si>
    <t>The 1940 report lists the new construction at Diablo Heights - office building, 200-man mess hall and kitchen, commissary, 37 buildings of family quarters; the 1941 report calls it "the Third Locks headquarters town of Diablo Heights", built alongside Margarita and Cocoli.</t>
  </si>
  <si>
    <t>A-2827</t>
  </si>
  <si>
    <t>The Canal Record's 1913 condemnation awards: "In the matter of the claim of Jose H. Stilson to the property designated as Barro Colorado Abajo - An award is hereby made against the United States of America for the estate of Barro Colorado Abajo, said award to include all right, title, and interest of any persons to the entire estate."</t>
  </si>
  <si>
    <t>A-2828</t>
  </si>
  <si>
    <t>An early levelling narrative across the isthmus: "we descended below the level of high-water-mark of the Pacific, until we arrived at a place called Palo Matias, distant from [Cruces] 2682 chains (33 miles)." A place fixed by chainage on the route survey.</t>
  </si>
  <si>
    <t>A-2829</t>
  </si>
  <si>
    <t>The Canal Record's land-claim dockets: property taken "in February, 1912, by the Isthmian Canal Commission for improvements at Palo Horqueta y Matias" - the two neighbouring places named as one estate in the taking.</t>
  </si>
  <si>
    <t>A-2830</t>
  </si>
  <si>
    <t>The Canal Record: "The Subsistence Department has taken charge of the estate known as Palenquillo and Frijol Grande, which comprises lands formerly owned by Martin Linczer, Margaret Rose Smith, and Mrs. Ge[orge ...]" - a Frijoles tract turned over to supply the commissaries.</t>
  </si>
  <si>
    <t>A-2831</t>
  </si>
  <si>
    <t>A 1908 Panama city directory lists a resident at "1 Maranon" under the business name "The Seashore", among Fourth of July Street and Central Avenue addresses. Note that most other hits for this word in the corpus are the cashew tree, Anacardium rhinocarpus, in the Commission's plant lists.</t>
  </si>
  <si>
    <t>A-2832</t>
  </si>
  <si>
    <t>The 1907 annual report on the Panama water system names it with Calidonia and Guachapali as the outlying districts given new 4-inch mains; the Canal Record the same year has an excursion passing "the Hospital grounds to Cocoa Grove and Palm Beach. Here a shady place had been selected for the day's outing."</t>
  </si>
  <si>
    <t>A-2833</t>
  </si>
  <si>
    <t>Canal Record 1913: "On Good Friday, April 10, the foundation stone of a new Baptist church building in the district of Chorrillo, Panama, will be laid, the Hon. William Jennings Price, the American minister to Panama, performing the official [ceremony]." The 1914 report refers to "improvements in the Chorrillo district of the city of Panama".</t>
  </si>
  <si>
    <t>A-2834</t>
  </si>
  <si>
    <t>foreign cemetery</t>
  </si>
  <si>
    <t>A resident's memoir of Panama burials: "the great bulk go into the Colombian or Roman Catholic cemeteries. The foreign cemetery receives both Protestant and Roman Catholic. The Jews have a walled-in inclosure of their own." The cemetery row of the La Boca road, described by who was buried where.</t>
  </si>
  <si>
    <t>A-2835</t>
  </si>
  <si>
    <t>Named throughout the illustrated guidebooks as the city's second centre - "Santa Ana Plaza, Panama" and "Santa Ana Church, 1764" among the plates, beside the Bull Ring and the National Institute.</t>
  </si>
  <si>
    <t>A-2836</t>
  </si>
  <si>
    <t>Malambo ward</t>
  </si>
  <si>
    <t>The 1905-06 annual report: "On January 12, 1906, a fire broke out in the city of Panama, in the district known as the Malambo ward, which resulted in the destruction of about thirty dwelling houses occupied by the poorer classes." The quarter is named by the United States only when it burns.</t>
  </si>
  <si>
    <t>A-2837</t>
  </si>
  <si>
    <t>El Tivoli</t>
  </si>
  <si>
    <t>The 1905 annual report: a commission was appointed "to proceed with the appraisal of El Tivoli, El Hatillo de Echeves, and a piece of land in the Canal Zone, the property of the city of Panama, known as La Huerta del Peinetero. The value of these properties was assessed at $9,000 gold." The hotel's ground, valued before the hotel.</t>
  </si>
  <si>
    <t>A-2838</t>
  </si>
  <si>
    <t>The 1907 annual report: "There was installed for the high service of Culebra during the year a station pumping to the Mount Zion reservoir, the elevation of which is 545 feet, which has a capacity of 535,000 gallons." In 1911: "The Mount Zion reservoir is at an elevation of 550 feet above sea level, and supplies water for the villages of Enterprise and Culebra." Two published elevations that bracket the +550 the National Archives photograph gives.</t>
  </si>
  <si>
    <t>A-2839</t>
  </si>
  <si>
    <t>Canal Record 1909: "West Culebra Improvements. A gang of long-term prisoners was set at work on Friday, November 26 ditching for the installation [of water mains]." In 1911 the Camacho water system "extends from Bas Obispo to West Culebra, inclusive, and includes besides 3 villages, the Marine camp, the camp of the 10th Infantry, a part of Culebra." West Culebra is a served, ditched, inhabited place - not only the landslide the National Archives photographs name.</t>
  </si>
  <si>
    <t>A-2840</t>
  </si>
  <si>
    <t>Canal Record 1907: "on July 18, 1907, two more were authorized, one at Gatun for European laborers, and one at Camp Bierd, Cristobal, for negro laborers. Each of these houses is 30 feet long by 20 feet wide." The 1907 annual report records that "Sewers were constructed in Camp Bierd and to the machine shops and Cristobal market." The camp is built, sewered and racially assigned in its first year.</t>
  </si>
  <si>
    <t>A-2841</t>
  </si>
  <si>
    <t>Mount Hope or Monkey Hill cemetery</t>
  </si>
  <si>
    <t>The 1905 annual report, on taking over burial grounds: "Especially is this change of advantage in respect to Mount Hope or Monkey Hill cemetery, near Colon, where persons who die in the city of Colon are buried." Both names in one sentence, the older first.</t>
  </si>
  <si>
    <t>A-2842</t>
  </si>
  <si>
    <t>Canal Record 1911, the naming order: "The reservations at the Atlantic terminus will be named Fort Sherman, Fort Randolph, and Fort DeLesseps" - and under FORT DE LESSEPS MILITARY RESERVATION, "Battery Morgan, in honor of Brig. Gen. Charles H. Morgan."</t>
  </si>
  <si>
    <t>A-2843</t>
  </si>
  <si>
    <t>Sworn testimony to the 1906 Senate investigation, from a woman who worked in it: "Marie Robin, first being duly sworn, on oath says: I am from Martinique. I am single, and came here because Mr. Lavenel in Martinique told me I can get plenty of work here. I am living at Paraiso, and am employed as a laundress in the hotel here. I have been here about two and one half months and am well pleased." The Paraiso hotel dated a year earlier than the letters place it, by one of its own workers.</t>
  </si>
  <si>
    <t>A-2844</t>
  </si>
  <si>
    <t>Pedro Miguel rural districts</t>
  </si>
  <si>
    <t>The camp is not named. What the corpus carries is its ending: the Canal Record's 1913 depopulation canvass "showed the complete depopulation of Culebra Island labor camps, Pedro Miguel rural districts, east and west of the Canal, Cerro Salado, Cartagenita, Japanese Village, Hongkong, Cerro Gordo, Buena Vista, Caballo Viejo, Virgin" - a total decrease of 7,590 people in under five months. Recorded at Low confidence because the district, not the camp, is what is named.</t>
  </si>
  <si>
    <t>A-2845</t>
  </si>
  <si>
    <t>shops near Pedro Miguel</t>
  </si>
  <si>
    <t>The 1905 annual report: "Plans have also been made for the enlargement of the shops at Cristobal and for the construction of additional shops in the vicinity of Pedro Miguel. Fifty-eight engines have been taken from where they were left by the first French company in the jungle." A plan rather than a standing building, so the date is the intention's.</t>
  </si>
  <si>
    <t>A-2846</t>
  </si>
  <si>
    <t>Two undated mentions, and they may be two different buildings. A Canal Zone painting of 1857 "shows a party of Forty-niners, traveling by mules and silleros, as they stop for refreshments at the Half Way House on their trip across the Isthmus"; a Canal Zone glossary defines Halfway House as a "building on left side of Pan-American Highway approx halfway from CZ-Panama boundary to Pacific Ocean". Both are halfway houses on a crossing; neither is securely this place.</t>
  </si>
  <si>
    <t>A-2847</t>
  </si>
  <si>
    <t>Paraiso is named across the corpus and its police station in none of it. The nearest the texts come is a 1906 repairs return - "Minor repairs have been made to houses at Paraiso, Empire, Bas Obispo, Matachin, Gorgona, Mamei, Gatun, and Monkey Hill" - which names the town and no building in it.</t>
  </si>
  <si>
    <t>A-2848</t>
  </si>
  <si>
    <t>Every one of the corpus's Buena Vista mentions belongs to the Atlantic namesake already in the model (CZ-031): the French excavation "between Gatun and Buena Vista" in 1885, the dam-site borings "at Gatun, Buena Vista, and San Pablo", and the 1904-05 return of Canal Zone municipalities - Ancon, Emperador, Gorgona, Buena Vista, Cristobal. The Pacific camp of the same name is not in this corpus.</t>
  </si>
  <si>
    <t>A-2849</t>
  </si>
  <si>
    <t>Zero texts carry either name, although the Camacho water system itself is described repeatedly. The quarters took the system's name and left no separate trace.</t>
  </si>
  <si>
    <t>A-2850</t>
  </si>
  <si>
    <t>Zero texts in the corpus.</t>
  </si>
  <si>
    <t>A-2851</t>
  </si>
  <si>
    <t>Zero texts for the phrase. Culebra's high-level pumping is described repeatedly, but always as the Mount Zion station, never as a Culebra pumping station.</t>
  </si>
  <si>
    <t>A-2852</t>
  </si>
  <si>
    <t>A-2853</t>
  </si>
  <si>
    <t>A-2854</t>
  </si>
  <si>
    <t>The only matches are the Latin species epithet mariposa in an ornithological index. The Chagres-valley place is absent.</t>
  </si>
  <si>
    <t>A-2855</t>
  </si>
  <si>
    <t>A-2856</t>
  </si>
  <si>
    <t>Every match is the West Indian island - in a French Pacific voyage narrative, and in bird distributions "south to West Indies (Bahamas, Cuba, Isle of Pines, Jamaica, Dominica, Guadeloupe)". The Chagres village of the name is absent, exactly as it is absent from Record Group 185, where the word means only an applicant's birthplace.</t>
  </si>
  <si>
    <t>A-2857</t>
  </si>
  <si>
    <t>Every match is a person: Dr. Adan Cardenas, the Nicaraguan government's commissioner in the 1890s canal correspondence. The village is absent, as it is at the National Archives, where the name belongs to a tug.</t>
  </si>
  <si>
    <t>A-2858</t>
  </si>
  <si>
    <t>The matches are Colombian localities in bird distributions - "northern Colombia (Cartagena; Cienega)" and "Cienega, Santa Marta, Colombia". Panama City's quarter is not among them.</t>
  </si>
  <si>
    <t>A-2859</t>
  </si>
  <si>
    <t>The Panama Canal's own magazine ran a feature on it: "SALSIPUEDES, OR, GET OUT IF YOU CAN. Not an order but the name of one of the oldest and most lege[ndary]" streets of the city, and in the Spanish edition "SALSIPUEDES, O SAL SI PUEDES, es el nombre intrigante y sugestivo que tiene una de las calle[s]". Undated here because the volume's year metadata is unreliable; the Review ran from 1950 into the 1970s.</t>
  </si>
  <si>
    <t>A-2860</t>
  </si>
  <si>
    <t>All ten matches are William Gerig, Division Engineer at Cristobal - in the 1907 Canal Record's roster of division engineers and in a 1915 construction history's index. The corpus confirms what the two newspaper corpora already showed: in the published record Gerig is a man, not a camp.</t>
  </si>
  <si>
    <t>A-2861</t>
  </si>
  <si>
    <t>The corpus's four Jamaica Town mentions are all the Gorgona quarter, named for the reservoir that "supplies Gorgona, Jamaica Town, and Matachin". Nothing ties any of them to Gatun.</t>
  </si>
  <si>
    <t>A-2862</t>
  </si>
  <si>
    <t>A-2863</t>
  </si>
  <si>
    <t>Zero texts in the corpus under this spelling.</t>
  </si>
  <si>
    <t>A-2864</t>
  </si>
  <si>
    <t>Quebrada Agua Bendita</t>
  </si>
  <si>
    <t>The 1906 Board of Consulting Engineers report lists the Chagres tributaries, and Agua Bendita is among them: "Valley of the Chagres, left bank: Rio Gigante, Rio Cano, Quebrada Agua Bendita, Quebrada Caimito, Mulato, Rio Baila Monos." The hamlet the audit has recorded as absent from sheet after sheet is named as a stream on the left bank, between Cano and Caimito - a locational datum for a place whose stored position is Low certainty, read off the 1886 French profile.</t>
  </si>
  <si>
    <t>A-2865</t>
  </si>
  <si>
    <t>Same four mentions as CZ-215, and all of them are Gorgona's quarter. None of the three Jamaica Towns beyond Gorgona's is in this corpus.</t>
  </si>
  <si>
    <t>A-2866</t>
  </si>
  <si>
    <t>The name is in the corpus but the corpus has two places of it. A 1909 Baptist mission location list runs "Ancon, Balboa, Pedro Miguel, Paraiso, Cartagenita, Cucaracha, Culebra, Cunette, Empire", and the Canal Record calls Cartagenita "a labor camp near Paraiso" - which is the Culebra-district namesake (CZ-062), not the La Boca quarter this row records. A commissary return listing "Cartagenita, No. 78" among Pedro Miguel 64, Corozal 65, Ancon 66, La Boca 67 and Miraflores 74 could be either. Left as an undated lead rather than attributed.</t>
  </si>
  <si>
    <t>A-2867</t>
  </si>
  <si>
    <t>retro absence audit (crop read) - map_verdicts_tail16.txt</t>
  </si>
  <si>
    <t>The c.1904 occupation baseline letters CULEBRA across the town, with Emperador to the north and rows of house dots strung along the east side of the cut, but singles out no building. The emergency hospital that the 1905 annual report says opened at Culebra on 22 October 1904 is not marked on this compilation of the same year.</t>
  </si>
  <si>
    <t>A-2868</t>
  </si>
  <si>
    <t>Map No.2 of the 1905-06 surveys gives the fullest drawing of Gorgona in the whole corpus - two distinct built blocks, a gridded one north of the railroad and a looser cluster south of it on which this place's point falls, with GORGONA SHOPS lettered to the east and the Carabali Reservoir below. The sheet letters GORGONA and GORGONA SHOPS and nothing else. The quarter is drawn in detail and left unnamed, for the third sheet running.</t>
  </si>
  <si>
    <t>A-2869</t>
  </si>
  <si>
    <t>Culebra white school</t>
  </si>
  <si>
    <t>rulings sitting 2026-09-16 (retro audit registrations)</t>
  </si>
  <si>
    <t>Isthmian Historical Society letter v00037, in a West Indian writer's own words: he went 'to Culebra section and work under John F. Stevens ... as water boy for the carpenters that was building the Administration Building, next employed as janitor at the Culebra white school, then janitor in labor quarters in same section.' He names the white school he swept and no colored school anywhere in the town.</t>
  </si>
  <si>
    <t>A-2870</t>
  </si>
  <si>
    <t>The 1914 annual report's enrolment table: 'White schools: Ancon high 66, Empire high 28, Gatun high 36. Grades - Ancon 896, Corozal 189, Pedro Miguel 132, Paraiso 46, Culebra 61, Empire 267, Las Cascadas 86, Gatun 150, Cristobal 816.' Sixty-one white pupils at Culebra.</t>
  </si>
  <si>
    <t>A-2871</t>
  </si>
  <si>
    <t>ball park in Culebra</t>
  </si>
  <si>
    <t>Isthmian Historical Society letter v00044: 'I knew the ball park in Culebra in front of the Railroad Station. I also remember seeing the cart taking water from the pumping station to the houses.' The ground is placed by the building opposite it. | RETRACTED 2026-09-16: place declined as single-source by user ruling, see the place note.</t>
  </si>
  <si>
    <t>A-2872</t>
  </si>
  <si>
    <t>GORGONA SHOPS</t>
  </si>
  <si>
    <t>Lettered GORGONA SHOPS on Map No.2 of the 1905-06 surveys, over a complex of black shop buildings with a fan of sidings running off the Panama Railroad, about 700 m south-east of the town's southern building block. Point is the centroid of the drawn complex; the works run roughly 400 m along the track, so the footprint is larger than the uncertainty.</t>
  </si>
  <si>
    <t>A-2873</t>
  </si>
  <si>
    <t>Gorgona shops</t>
  </si>
  <si>
    <t>Canal Record 1907: 'The large mechanical shops on the Isthmus are located at Empire, Gorgona, and Cristobal.' The mechanical department's fiscal-year table counts locomotives repaired in the shops at Gorgona, Empire, Paraiso and Cristobal.</t>
  </si>
  <si>
    <t>A-2874</t>
  </si>
  <si>
    <t>the shop at Gorgona</t>
  </si>
  <si>
    <t>Isthmian Historical Society letter v00068: 'my next abode was the Section of Gorgona where I was employed as air brake man on the cylinders of all the railroad cars that came in the shop to be repaired until I was transferred to section of Pedro Miguel.'</t>
  </si>
  <si>
    <t>A-2875</t>
  </si>
  <si>
    <t>The Canal Record's 1913 depopulation canvass: it 'showed the complete depopulation of Culebra Island labor camps, Pedro Miguel rural districts, east and west of the Canal, Cerro Salado, Cartagenita, Japanese Village, Hongkong, Cerro Gordo, Buena Vista, Caballo Viejo, Virgin, rural district between Ancon-Empire line and Empire-Chorrera road.' The total decrease was 7,590 people in under five months. | RETRACTED 2026-09-16: place declined as single-source by user ruling, see the place note.</t>
  </si>
  <si>
    <t>A-2876</t>
  </si>
  <si>
    <t>Emptied in the 1913 canvass, which reports the depopulation as complete. | RETRACTED 2026-09-16: place declined as single-source by user ruling, see the place note.</t>
  </si>
  <si>
    <t>A-2877</t>
  </si>
  <si>
    <t>Named in the Canal Record's 1913 depopulation canvass, between Cartagenita and Hongkong in the list of places found completely depopulated. | RETRACTED 2026-09-16: place declined as single-source by user ruling, see the place note.</t>
  </si>
  <si>
    <t>A-2878</t>
  </si>
  <si>
    <t>A-2879</t>
  </si>
  <si>
    <t>Named in the Canal Record's 1913 depopulation canvass, immediately after Japanese Village. | RETRACTED 2026-09-16: place declined as single-source by user ruling, see the place note.</t>
  </si>
  <si>
    <t>A-2880</t>
  </si>
  <si>
    <t>A-2881</t>
  </si>
  <si>
    <t>Named in the Canal Record's 1913 depopulation canvass, after Caballo Viejo in the list. | RETRACTED 2026-09-16: place declined as single-source by user ruling, see the place note.</t>
  </si>
  <si>
    <t>A-2882</t>
  </si>
  <si>
    <t>A-2883</t>
  </si>
  <si>
    <t>The 1919 annual report of the Governor, on a Joint Land Commission case: evidence 'bearing on a map of the adjacent estate of Santa Cruz, Cansaloma and Waterloo. A map was prepared showing the boundary lines and area of this estate.'</t>
  </si>
  <si>
    <t>A-2884</t>
  </si>
  <si>
    <t>CERRO PELADO AMMUNITION DEPOT</t>
  </si>
  <si>
    <t>Enumeration district 1-32, Balboa District, on the 1950 census enumeration district map (National Archives naId 75639631), listed as a military reservation. | RETRACTED 2026-09-16: place declined by user ruling, see the place note.</t>
  </si>
  <si>
    <t>A-2885</t>
  </si>
  <si>
    <t>CERRO TIGRE ORDNANCE DEPOT</t>
  </si>
  <si>
    <t>Enumeration district 1-20, Balboa District, on the 1950 census enumeration district map, listed as a military reservation. | RETRACTED 2026-09-16: place declined by user ruling, see the place note.</t>
  </si>
  <si>
    <t>A-2886</t>
  </si>
  <si>
    <t>ESCONDIDO RURAL</t>
  </si>
  <si>
    <t>Enumeration district 2-3, Cristobal District, on the 1950 census enumeration district map, listed as ESCONDIDO RURAL. | RETRACTED 2026-09-16: place declined as single-source by user ruling, see the place note. | REINSTATED 2026-09-16 by user ruling (this conversation: "record la chinima, escondido, coco solito" - ED modifiers kept as mention-info only). Name field also corrected: it had read ESCOBAL RURAL, a slip for ESCONDIDO RURAL as the note itself says.</t>
  </si>
  <si>
    <t>A-2887</t>
  </si>
  <si>
    <t>LA CHININA RURAL</t>
  </si>
  <si>
    <t>Enumeration district 2-30, Cristobal District, on the 1950 census enumeration district map. | RETRACTED 2026-09-16: place declined as single-source by user ruling, see the place note. | REINSTATED 2026-09-16 by user ruling (this conversation: "record la chinima, escondido, coco solito" - ED modifiers kept as mention-info only).</t>
  </si>
  <si>
    <t>A-2888</t>
  </si>
  <si>
    <t>TRINIDAD RURAL</t>
  </si>
  <si>
    <t>Enumeration district 2-34, Cristobal District, on the 1950 census enumeration district map - the last entry of the list.</t>
  </si>
  <si>
    <t>A-2889</t>
  </si>
  <si>
    <t>ESCOBAL RURAL</t>
  </si>
  <si>
    <t>Enumeration district 2-1, Cristobal District, on the 1950 census enumeration district map - the first of its rural districts.</t>
  </si>
  <si>
    <t>A-2890</t>
  </si>
  <si>
    <t>MADDEN DAM TOWN</t>
  </si>
  <si>
    <t>Enumeration district 1-43, Balboa District, on the 1950 census enumeration district map. | RETRACTED 2026-09-16: place declined by user ruling, see the place note.</t>
  </si>
  <si>
    <t>A-2891</t>
  </si>
  <si>
    <t>MADDEN DAM RURAL</t>
  </si>
  <si>
    <t>Enumeration district 1-42, Balboa District, on the 1950 census enumeration district map. | RETRACTED 2026-09-16: place declined by user ruling, see the place note.</t>
  </si>
  <si>
    <t>A-2892</t>
  </si>
  <si>
    <t>NORTH GAMBOA TOWN</t>
  </si>
  <si>
    <t>Enumeration districts 1-33 to 1-35, Balboa District, on the 1950 census enumeration district map. Gamboa Prison is enumerated separately as district 1-22, 'GAMBOA PRISON (IN GAMBOA TOWN)'. | RETRACTED 2026-09-16: place declined by user ruling, see the place note.</t>
  </si>
  <si>
    <t>A-2893</t>
  </si>
  <si>
    <t>SOUTH GAMBOA TOWN</t>
  </si>
  <si>
    <t>Enumeration district 1-21, Balboa District, on the 1950 census enumeration district map. | RETRACTED 2026-09-16: place declined by user ruling, see the place note.</t>
  </si>
  <si>
    <t>A-2894</t>
  </si>
  <si>
    <t>GUARAPO ISLANDS MILITARY RESERVATION</t>
  </si>
  <si>
    <t>Enumeration district 2-2, Cristobal District, on the 1950 census enumeration district map. | RETRACTED 2026-09-16: place declined by user ruling, see the place note.</t>
  </si>
  <si>
    <t>A-2895</t>
  </si>
  <si>
    <t>FRANCE AIR FORCE BASE</t>
  </si>
  <si>
    <t>Enumeration district 2-13, Cristobal District, on the 1950 census enumeration district map. | RETRACTED 2026-09-16: place declined by user ruling, see the place note.</t>
  </si>
  <si>
    <t>A-2896</t>
  </si>
  <si>
    <t>A 1964 defence-technical report listing the Pacific-sector housing areas: 'Ancon, Balboa, Balboa Heights, Curundu Heights, Diablo Heights, Gamboa, La Boca, Lacona, Los Rios, Paraiso, and Pedro Miguel. These areas are used mostly by Panama Canal Company employees.' | RETRACTED 2026-09-16: place declined by user ruling, see the place note.</t>
  </si>
  <si>
    <t>A-2897</t>
  </si>
  <si>
    <t>Named in the same 1964 roster of Pacific-sector housing areas as Curundu Heights and Lacona. | RETRACTED 2026-09-16: place declined by user ruling, see the place note.</t>
  </si>
  <si>
    <t>A-2898</t>
  </si>
  <si>
    <t>A Canal Zone guidebook advertisement: 'PENNSYLVANIA HOTEL, EMPIRE, CANAL ZONE. A. ROME, Proprietor. ONLY hotel in Empire where TRAVELERS CAN OBTAIN STRICTLY FIRST-CLASS accommodation.' Undated within the guidebook. Registered as a separate place from the I.C.C. hotel by the user's ruling of 2026-09-16. | RETRACTED 2026-09-16: place declined as single-source by user ruling, see the place note.</t>
  </si>
  <si>
    <t>A-2899</t>
  </si>
  <si>
    <t>Palenquilla Point</t>
  </si>
  <si>
    <t>A United States Geological Survey type locality in the Internet Archive corpus: '41b (USGS 18839, East side of Palenquilla Point, cove north of triangulation station and southwest of Corozo Island, Canal Zone), marine rocks of late [Tertiary]'. A coastal feature carrying the name, recorded here as naming evidence only. By the user's ruling of 2026-09-16 it is NOT adopted as a position for this hamlet, whose two candidate points - the 1857 Totten read near Palo Matias and the 1886 kilometrage point near Frijoles, about 11 km apart - both stand with no primary.</t>
  </si>
  <si>
    <t>A-2900</t>
  </si>
  <si>
    <t>Zero pages in the digitised United States newspapers, 1880-1920, for the quoted phrase. The freight house the Canal Record specified to the foot - "a new freight house at Empire 30 by 70 feet" - is not news outside the Zone.</t>
  </si>
  <si>
    <t>A-2901</t>
  </si>
  <si>
    <t>Zero pages for the quoted phrase. Empire's municipal building reaches the United States press not at all, though the Army and Navy Union met in it.</t>
  </si>
  <si>
    <t>A-2902</t>
  </si>
  <si>
    <t>Zero pages for the quoted phrase, though the Canal Record reported the station's completion in 1907 along with Gorgona's, Culebra's and Ancon's.</t>
  </si>
  <si>
    <t>A-2903</t>
  </si>
  <si>
    <t>Zero pages for the quoted phrase. In the same pass the control phrase "Culebra penitentiary" returned 8 pages, so the corpus does carry Culebra's institutions when they are newsworthy; its fire station is not among them.</t>
  </si>
  <si>
    <t>A-2904</t>
  </si>
  <si>
    <t xml:space="preserve"> High</t>
  </si>
  <si>
    <t>The Canal Record's own staffing return: "There are at present employed in the white schools 17 American teachers and 1 teacher of Spanish. The Spanish teacher gives instructions at the Culebra white school in the forenoon, and at the Go[rgona school in the afternoon]." The school is named, staffed and timetabled in the employer's weekly.</t>
  </si>
  <si>
    <t>A-2905</t>
  </si>
  <si>
    <t>A-2906</t>
  </si>
  <si>
    <t>0 records in the Smithsonian Open Access bulk corpus, which indexes catalogue titles and descriptions rather than page text.</t>
  </si>
  <si>
    <t>A-2907</t>
  </si>
  <si>
    <t>Culebra ball park</t>
  </si>
  <si>
    <t>Zero pages in all 28 Canal Record volumes for "Culebra ball park" or "ball park at Culebra", though the Empire ball park is reported by name. The ground a West Indian writer remembered is not in the official weekly. | RETRACTED 2026-09-16: place declined as single-source by user ruling, see the place note.</t>
  </si>
  <si>
    <t>A-2908</t>
  </si>
  <si>
    <t>0 dLOC items co-mention the phrase with panama. | RETRACTED 2026-09-16: place declined as single-source by user ruling, see the place note.</t>
  </si>
  <si>
    <t>A-2909</t>
  </si>
  <si>
    <t>0 records in the Smithsonian bulk corpus. | RETRACTED 2026-09-16: place declined as single-source by user ruling, see the place note.</t>
  </si>
  <si>
    <t>A-2910</t>
  </si>
  <si>
    <t>110 pages across the Canal Record, including the shops' own obituary: "From that time until 1912, when it was decided that the shops should be moved to Balboa in 1913, the history of Gorgona shops was a record of the concentration of [work]." Elsewhere the weekly counts pneumatic hoists "in different departments of the shops at Gorgona and Empire in handling heavy ma[chinery]". The works were not closed with the town - they were moved to Balboa.</t>
  </si>
  <si>
    <t>A-2911</t>
  </si>
  <si>
    <t>A-2912</t>
  </si>
  <si>
    <t>0 records in the Smithsonian bulk corpus.</t>
  </si>
  <si>
    <t>A-2913</t>
  </si>
  <si>
    <t>The Canal Record's 1913 depopulation canvass, in its own pages: the count covered "Culebra Island labor camps, Pedro Miguel rural districts, east and west of the Canal, Cerro Salado, Cartagenita, Japanese [Village ...]", alongside the tally of enumerated American men, women and children. | RETRACTED 2026-09-16: place declined as single-source by user ruling, see the place note.</t>
  </si>
  <si>
    <t>A-2914</t>
  </si>
  <si>
    <t>0 dLOC items co-mention the name with panama. | RETRACTED 2026-09-16: place declined as single-source by user ruling, see the place note.</t>
  </si>
  <si>
    <t>A-2915</t>
  </si>
  <si>
    <t>Absent from all 114 Isthmian Historical Society letters. | RETRACTED 2026-09-16: place declined as single-source by user ruling, see the place note.</t>
  </si>
  <si>
    <t>A-2916</t>
  </si>
  <si>
    <t>A-2917</t>
  </si>
  <si>
    <t>Zero pages in all 28 Canal Record volumes for the phrase, even though the same weekly's 1913 depopulation canvass names it. The settlement is named once, at its ending, and never otherwise. | RETRACTED 2026-09-16: place declined as single-source by user ruling, see the place note.</t>
  </si>
  <si>
    <t>A-2918</t>
  </si>
  <si>
    <t>A-2919</t>
  </si>
  <si>
    <t>Absent from all 114 letters. | RETRACTED 2026-09-16: place declined as single-source by user ruling, see the place note.</t>
  </si>
  <si>
    <t>A-2920</t>
  </si>
  <si>
    <t>A-2921</t>
  </si>
  <si>
    <t>126 pages carry the word and every one read is the port: steamship schedules running "Cristobal, Yokohama, Kobe, Shanghai, Hongkong, Manila, Iloilo, Singapore". The Canal Zone settlement of the name is not among them, though the same weekly's 1913 canvass lists it. | RETRACTED 2026-09-16: place declined as single-source by user ruling, see the place note.</t>
  </si>
  <si>
    <t>A-2922</t>
  </si>
  <si>
    <t>10 dLOC items carry the word and all are the port, not the Zone settlement. | RETRACTED 2026-09-16: place declined as single-source by user ruling, see the place note.</t>
  </si>
  <si>
    <t>A-2923</t>
  </si>
  <si>
    <t>A-2924</t>
  </si>
  <si>
    <t>A-2925</t>
  </si>
  <si>
    <t>30 pages carry the word and the readable ones are the Virgin Islands - "Postal Rates between the Canal Zone and the Virgin Islands". The place named in the 1913 canvass is not separately reported. | RETRACTED 2026-09-16: place declined as single-source by user ruling, see the place note.</t>
  </si>
  <si>
    <t>A-2926</t>
  </si>
  <si>
    <t>A-2927</t>
  </si>
  <si>
    <t>A-2928</t>
  </si>
  <si>
    <t>46 records carry the string and all are botanical - Sporobolus virginicus and the like. Not the place. | RETRACTED 2026-09-16: place declined as single-source by user ruling, see the place note.</t>
  </si>
  <si>
    <t>A-2929</t>
  </si>
  <si>
    <t>Cansa-Loma y Waterloo</t>
  </si>
  <si>
    <t>A Canal Record land-tract table settles it: the estates are listed with their acreages - "Palenquilla, Culo, Tabernilla y Cano quebrado, Frijol Grande, Buenavista y Agua Salud, Cansa-Loma y Waterloo, Barro Colorado Arriba". Waterloo is paired with Cansaloma as one holding, exactly as the 1919 Joint Land Commission case has it, and the table places both among the Chagres estates taken for the canal.</t>
  </si>
  <si>
    <t>A-2930</t>
  </si>
  <si>
    <t>0 dLOC items co-mention the name with panama.</t>
  </si>
  <si>
    <t>A-2931</t>
  </si>
  <si>
    <t>A-2932</t>
  </si>
  <si>
    <t>A-2933</t>
  </si>
  <si>
    <t>16 pages carry the word and the readable ones are a different place - a land case over "the lands of Puerto Escondido, situated on both banks of the river". The 1950 rural district is not identifiable in the Canal Record under this name. | RETRACTED 2026-09-16: place declined as single-source by user ruling, see the place note.</t>
  </si>
  <si>
    <t>A-2934</t>
  </si>
  <si>
    <t>A-2935</t>
  </si>
  <si>
    <t>A-2936</t>
  </si>
  <si>
    <t>A-2937</t>
  </si>
  <si>
    <t>Zero pages in all 28 Canal Record volumes for "La Chinina" or "Chinina". | RETRACTED 2026-09-16: place declined as single-source by user ruling, see the place note. | REINSTATED 2026-09-16 by user ruling (this conversation: "record la chinima, escondido, coco solito" - ED modifiers kept as mention-info only).</t>
  </si>
  <si>
    <t>A-2938</t>
  </si>
  <si>
    <t>0 dLOC items co-mention the name with panama. | RETRACTED 2026-09-16: place declined as single-source by user ruling, see the place note. | REINSTATED 2026-09-16 by user ruling (this conversation: "record la chinima, escondido, coco solito" - ED modifiers kept as mention-info only).</t>
  </si>
  <si>
    <t>A-2939</t>
  </si>
  <si>
    <t>Absent from all 114 letters. | RETRACTED 2026-09-16: place declined as single-source by user ruling, see the place note. | REINSTATED 2026-09-16 by user ruling (this conversation: "record la chinima, escondido, coco solito" - ED modifiers kept as mention-info only).</t>
  </si>
  <si>
    <t>A-2940</t>
  </si>
  <si>
    <t>10 records carry the string and all are a fly genus in the Tachinidae. Not the place. | RETRACTED 2026-09-16: place declined as single-source by user ruling, see the place note. | REINSTATED 2026-09-16 by user ruling (this conversation: "record la chinima, escondido, coco solito" - ED modifiers kept as mention-info only).</t>
  </si>
  <si>
    <t>A-2941</t>
  </si>
  <si>
    <t>358 pages carry the word and the readable ones are the island on the steamship routes - "Barbados, Puerto Cabello, Curacao, Puerto Colombia, Cartagena, Trinidad, La Guaira". The Zone's Trinidad district cannot be separated from the island in this corpus.</t>
  </si>
  <si>
    <t>A-2942</t>
  </si>
  <si>
    <t>143 dLOC items, and the Caribbean corpus means the island by the name. Not separable.</t>
  </si>
  <si>
    <t>A-2943</t>
  </si>
  <si>
    <t>4 letters use the word, and all four are the island - a circular "sent to a total of 15 newspapers in Jamaica, Barbados, British Honduras, Trinidad, Antigua, St. Vincent, St. Lucia, and Gre[nada]".</t>
  </si>
  <si>
    <t>A-2944</t>
  </si>
  <si>
    <t>Trinidad River</t>
  </si>
  <si>
    <t xml:space="preserve"> Medium</t>
  </si>
  <si>
    <t>132 Smithsonian records carry the word, and among them are collecting localities inside the Zone: "Trinidad River, Agua Clara, Canal Zone, Canal Zone, Panama, North America". The district is named for that river, and the river is in the natural-history record even where the district is not.</t>
  </si>
  <si>
    <t>A-2945</t>
  </si>
  <si>
    <t>4 pages, and the readable one is a company rather than the village - "the Escobal Agricultural Company and the San Blas Deve[lopment Company]".</t>
  </si>
  <si>
    <t>A-2946</t>
  </si>
  <si>
    <t>A-2947</t>
  </si>
  <si>
    <t>A letter written FROM the place: "Rodrigues, Nicolas; Escobal, R.P." opens his account in Spanish - "Quiero informarle algo sobre de que me solicitan en su notita que recibi". A retired canal worker living at Escobal in 1963, writing to the competition from there.</t>
  </si>
  <si>
    <t>A-2948</t>
  </si>
  <si>
    <t>12 Smithsonian records give it as a collecting locality inside the Zone: "Canal Zone, road S-10, N of Escobal, Canal Zone, Colon, Panama, Central America - Neotropics".</t>
  </si>
  <si>
    <t>A-2949</t>
  </si>
  <si>
    <t>Pennsylvania Hotel</t>
  </si>
  <si>
    <t>Zero pages in all 28 Canal Record volumes. The Commission's weekly does not carry the private hotel that advertised itself as the only one in Empire. | RETRACTED 2026-09-16: place declined as single-source by user ruling, see the place note.</t>
  </si>
  <si>
    <t>A-2950</t>
  </si>
  <si>
    <t>A-2951</t>
  </si>
  <si>
    <t>Absent from all 114 letters, which remember an I.C.C. hotel at Empire instead. | RETRACTED 2026-09-16: place declined as single-source by user ruling, see the place note.</t>
  </si>
  <si>
    <t>A-2952</t>
  </si>
  <si>
    <t>A-2953</t>
  </si>
  <si>
    <t>New Frijoles (EDs 28/29, site plan)</t>
  </si>
  <si>
    <t>1940 census ED maps retro-audit 2026-09-16 (naIds 5838611/5838623)</t>
  </si>
  <si>
    <t>MISSED ITEM CAUGHT by the 2026-09-16 retro-audit (naId 5838611 was never treated; the closing sweep's 'every item accounted' claim was overstated). The relocated-line Frijoles drawn as a building-level site plan: numbered quarters rows S of the multi-track main line, wye/siding, Water Tank (30,000 gal), dock causeway to the lake - with 'GATUN LAKE' lettered on BOTH sides of the town: the census town drawn inside the water that drowned its predecessor (CZ-023, ended 1911-14). No warp: anchors are the lake shore + RR only and the stored anchor is itself +-250 m; coordinate carried from the ICC1911-derived stored point.</t>
  </si>
  <si>
    <t>A-2954</t>
  </si>
  <si>
    <t>FORT DAVIS (reservation sheet)</t>
  </si>
  <si>
    <t>naId 5838623, also untreated until the 2026-09-16 retro-audit. The reservation drawn War-Department-style: terrain, roads, a small post building cluster center-east, ED numeral. Unlike Fort Clayton's pages the post cluster IS drawn here. Read-only (thin content, weak anchors); coordinate carried from the stored point, unc 400.</t>
  </si>
  <si>
    <t>A-2955</t>
  </si>
  <si>
    <t>No records in Record Group 185 for the phrase. The segregated pair is symmetrical in this archive: neither the white school nor the colored school at Culebra has a catalogued record.</t>
  </si>
  <si>
    <t>A-2956</t>
  </si>
  <si>
    <t>No records in Record Group 185 for the phrase. | RETRACTED 2026-09-16: place declined as single-source by user ruling, see the place note.</t>
  </si>
  <si>
    <t>A-2957</t>
  </si>
  <si>
    <t>71 records, and among them the works photographed by name: "Looking East, Gorgona Shops" and "General View of Gorgona Shops". The shop complex registered today from a survey sheet's lettering turns out to be one of the better-photographed places in the record group.</t>
  </si>
  <si>
    <t>A-2958</t>
  </si>
  <si>
    <t>No records in Record Group 185 for the name. The place enters the record once, in the Canal Record's account of emptying it. | RETRACTED 2026-09-16: place declined as single-source by user ruling, see the place note.</t>
  </si>
  <si>
    <t>A-2959</t>
  </si>
  <si>
    <t>No records in Record Group 185 for the name. | RETRACTED 2026-09-16: place declined as single-source by user ruling, see the place note.</t>
  </si>
  <si>
    <t>A-2960</t>
  </si>
  <si>
    <t>Six matches, all Central Files index volumes with subject ranges such as "Marine Boiler Compound(s) THRU Medical Treatment". No described record. | RETRACTED 2026-09-16: place declined as single-source by user ruling, see the place note.</t>
  </si>
  <si>
    <t>A-2961</t>
  </si>
  <si>
    <t>66 records carry the word and the visible ones are employment applications recording a birthplace - "POB: Virgin Islands", "POB: St. Thomas Amer. Virgin Islands". As with Dominica, the word names where workers came from, not the Zone place. | RETRACTED 2026-09-16: place declined as single-source by user ruling, see the place note.</t>
  </si>
  <si>
    <t>A-2962</t>
  </si>
  <si>
    <t>17 records, and every visible one is an applicant's birthplace: "POB: Waterloo, Iowa" and "POB: Waterloo, St. Catherine, Jamaica, B.W.I." The Chagres estate is not described.</t>
  </si>
  <si>
    <t>A-2963</t>
  </si>
  <si>
    <t>49 records carry the word and the top ones are a dredge, "Photograph of Dredge Mandinga". The rural district cannot be picked out of them. | RETRACTED 2026-09-16: place declined as single-source by user ruling, see the place note.</t>
  </si>
  <si>
    <t>A-2964</t>
  </si>
  <si>
    <t>No records in Record Group 185 for the name. | RETRACTED 2026-09-16: place declined as single-source by user ruling, see the place note. | REINSTATED 2026-09-16 by user ruling (this conversation: "record la chinima, escondido, coco solito" - ED modifiers kept as mention-info only).</t>
  </si>
  <si>
    <t>A-2965</t>
  </si>
  <si>
    <t>26 matches for the river's full name and the visible ones are Central Files index volumes. No described record names the river or the district.</t>
  </si>
  <si>
    <t>A-2966</t>
  </si>
  <si>
    <t>43 records carry the word; the visible ones are a house photograph and employment applications with unrelated birthplaces. The village is not described, though a retired worker wrote to the Isthmian Historical Society from it in 1963.</t>
  </si>
  <si>
    <t>A-2967</t>
  </si>
  <si>
    <t>Six matches, all Central Files index volumes with personal-name ranges. No described record names the hotel. | RETRACTED 2026-09-16: place declined as single-source by user ruling, see the place note.</t>
  </si>
  <si>
    <t>A-2968</t>
  </si>
  <si>
    <t>927 pages carry the phrase and the corpus sorts them from 1817 - the Alexandria Gazette of 6 November 1817 and the Constitutional Whig of 12 June 1829 - decades before the Canal Zone existed. The phrase belongs to banks at the several American towns called Empire, not to the Isthmus.</t>
  </si>
  <si>
    <t>A-2969</t>
  </si>
  <si>
    <t>Zero pages in the digitised United States newspapers, 1880-1920.</t>
  </si>
  <si>
    <t>A-2970</t>
  </si>
  <si>
    <t>Zero pages, though the same corpus carries the Culebra penitentiary eight times. What reached the American press from Culebra was its prison, not its hospital.</t>
  </si>
  <si>
    <t>A-2971</t>
  </si>
  <si>
    <t>Zero pages.</t>
  </si>
  <si>
    <t>A-2972</t>
  </si>
  <si>
    <t>A-2973</t>
  </si>
  <si>
    <t>Zero pages, though the Commission's own 1907 report puts the yard under the Empire storekeeper's jurisdiction and a worker checked lumber in it from 1905.</t>
  </si>
  <si>
    <t>A-2974</t>
  </si>
  <si>
    <t>A-2975</t>
  </si>
  <si>
    <t>A-2976</t>
  </si>
  <si>
    <t>A-2977</t>
  </si>
  <si>
    <t>11 pages carry the phrase, the earliest in the Brownsville Daily Herald of 2 May 1906 - the same year a Martinican laundress told the Senate investigation she was "employed as a laundress in the hotel here" at Paraiso. The hotel reached the American press in the year its workers described it.</t>
  </si>
  <si>
    <t>A-2978</t>
  </si>
  <si>
    <t>A-2979</t>
  </si>
  <si>
    <t>Zero pages in the digitised United States newspapers, 1880-1920. Neither Culebra school reaches the American press: the colored school is absent from this corpus too, and neither has a record at the National Archives. The segregation is documented only by the Canal's own administration and by one worker's letter.</t>
  </si>
  <si>
    <t>A-2980</t>
  </si>
  <si>
    <t>26 pages carry the phrase, the earliest two on the same day - the Salt Lake Tribune and the News-Democrat of Providence, 30 November 1908 - and the White Pine News of Ely, Nevada, on 16 April 1909. The works registered today off a survey sheet's lettering were syndicated news in Utah, Rhode Island and Nevada.</t>
  </si>
  <si>
    <t>A-2981</t>
  </si>
  <si>
    <t>394,904 pages carry the word and the corpus sorts them from 1779, a generation before the battle and a century before the canal. The Chagres estate cannot be separated from the name it shares with half the English-speaking world - which is the point: Waterloo came to Panama from Jamaica, where the National Archives records men born at "Waterloo, St. Catherine, Jamaica, B.W.I."</t>
  </si>
  <si>
    <t>A-2982</t>
  </si>
  <si>
    <t>111 pages carry the phrase and the corpus sorts them from 14 February 1840, four decades before this corpus's Panama coverage begins in earnest. The Chagres tributary cannot be separated from the other rivers of the name in the American press.</t>
  </si>
  <si>
    <t>A-2983</t>
  </si>
  <si>
    <t>175 pages carry the name and the earliest are of 1841 and 1853, long before the Zone. The village cannot be separated from the other Escobals in Spanish-speaking America.</t>
  </si>
  <si>
    <t>A-2984</t>
  </si>
  <si>
    <t>CAMP BIERD TOWN (ED 2-4)</t>
  </si>
  <si>
    <t>CENSUS1950 office map roster (naId 75639631), georef 2026-09-16</t>
  </si>
  <si>
    <t>The 1950 OFFICE MAP roster lists 'CAMP BIERD TOWN' as its own enumeration district - the silver labor camp has GRADUATED TO TOWN status in the census's own taxonomy, a decade before the ground itself was rebuilt. Completes the arc: absent 1920 (being graded), camp 1940 (drawn in full), town 1950.</t>
  </si>
  <si>
    <t>A-2985</t>
  </si>
  <si>
    <t>MONTE LIRIO RURAL (ED 2-32)</t>
  </si>
  <si>
    <t>'MONTE LIRIO RURAL' - the town demoted to a rural district in the 1950 roster. Extends the thinning arc: commissary+police+station in 1940 (A-2440), a rural ED name by 1950; the census taxonomy performs the decline.</t>
  </si>
  <si>
    <t>A-2986</t>
  </si>
  <si>
    <t>SILVER CITY TOWN (EDs 2-21 to 2-27)</t>
  </si>
  <si>
    <t>SEVEN enumeration districts (2-21 to 2-27) - the largest ED block of any Atlantic town in the 1950 roster: Silver City at full strength on the eve of the Rainbow City renaming.</t>
  </si>
  <si>
    <t>A-2987</t>
  </si>
  <si>
    <t>FRIJOLES TOWN (2-33) + FRIJOLES RURAL (1-31)</t>
  </si>
  <si>
    <t>New Frijoles carries both a TOWN district (Cristobal side) and a RURAL district (Balboa side) in 1950 - the relocated-line settlement fully in the census fabric.</t>
  </si>
  <si>
    <t>A-2988</t>
  </si>
  <si>
    <t>SUMMIT TOWN (1-23) + SUMMIT NAVAL RADIO STATION (1-24)</t>
  </si>
  <si>
    <t>Summit as town ED plus its own naval radio station ED in 1950 - the gardens settlement institutionalized.</t>
  </si>
  <si>
    <t>A-2989</t>
  </si>
  <si>
    <t>PALO SECO LEPER COLONY (ED 1-11)</t>
  </si>
  <si>
    <t>The colony as its own enumeration district in 1950 - the census counts the leprosarium's residents even as the maps draw only its boundary.</t>
  </si>
  <si>
    <t>A-2990</t>
  </si>
  <si>
    <t>PARAISO TOWN (ED 1-47)</t>
  </si>
  <si>
    <t>Roster entry, 1950.</t>
  </si>
  <si>
    <t>A-2991</t>
  </si>
  <si>
    <t>PEDRO MIGUEL TOWN (1-48) + RURAL (1-49)</t>
  </si>
  <si>
    <t>Town + rural districts, 1950 roster. | 2026-09-16 consolidation: district numbers carried over from the duplicate row retracted in its favour - PEDRO MIGUEL TOWN is enumeration district 1-48 and PEDRO MIGUEL RURAL is 1-49, the as-built town enumerated three decades after the village it replaced was cleared.</t>
  </si>
  <si>
    <t>A-2992</t>
  </si>
  <si>
    <t>RED TANK TOWN (EDs 1-51 and 1-52)</t>
  </si>
  <si>
    <t>Two districts - Red Tank at strength in 1950 (razed later that decade).</t>
  </si>
  <si>
    <t>A-2993</t>
  </si>
  <si>
    <t>LAS CASCADAS RURAL (ED 1-41)</t>
  </si>
  <si>
    <t>The drowned town's name survives as a RURAL DISTRICT name in the 1950 census - toponym afterlife in the state's own taxonomy, 36 years after the water rose. [Name evidence, not settlement existence: the ED is the west-bank rural tract carrying the ghost name.]</t>
  </si>
  <si>
    <t>A-2994</t>
  </si>
  <si>
    <t>Gamboa split: NORTH GAMBOA TOWN (1-34/35) + SOUTH GAMBOA TOWN (1-21) + GAMBOA PRISON (1-22)</t>
  </si>
  <si>
    <t>Gamboa appears only as its parts in 1950: two town districts and the prison enumerated separately inside it.</t>
  </si>
  <si>
    <t>A-2995</t>
  </si>
  <si>
    <t>MOUNT HOPE TOWN (ED 2-20)</t>
  </si>
  <si>
    <t>A-2996</t>
  </si>
  <si>
    <t>MARGARITA TOWN (ED 2-19)</t>
  </si>
  <si>
    <t>A-2997</t>
  </si>
  <si>
    <t>Fort de Lesseps (roster search)</t>
  </si>
  <si>
    <t>The 1950 roster names every military reservation on both districts (Amador, Clayton, Grant, Gulick, Randolph, Sherman, Davis, Corozal...) - FORT DE LESSEPS IS NOT AMONG THEM, though 'FT. DELESSEPS' is still printed on the map base at the Colon point. The fort has stopped being a census unit: no garrison to count. Weak negative (roster lists enumeration units, not installations per se) - but the asymmetry against eight named forts is real.</t>
  </si>
  <si>
    <t>A-2998</t>
  </si>
  <si>
    <t>Vigia Is. (Madden Lake)</t>
  </si>
  <si>
    <t>CENSUS1950 office map + Madden watershed inset, georef 2026-09-16</t>
  </si>
  <si>
    <t>TOPONYM AFTERLIFE: the Madden Lake Watershed inset names 'VIGIA IS.' - El Vigia's hilltops surviving as ISLAND NAMES in the lake that drowned the village (1935). The map that shows no village keeps the name on the water. [UNDATED: name persistence on a 1950 sheet, not existence evidence.]</t>
  </si>
  <si>
    <t>A-2999</t>
  </si>
  <si>
    <t>Campana I. (Madden Lake)</t>
  </si>
  <si>
    <t>TOPONYM AFTERLIFE: 'CAMPANA I.' in Madden Lake on the watershed inset - Campanas' ground surviving as an island name, like Vigia Is. beside it. [UNDATED: name persistence.]</t>
  </si>
  <si>
    <t>A-3000</t>
  </si>
  <si>
    <t>New San Juan (Transisthmian Highway)</t>
  </si>
  <si>
    <t>'NEW SAN JUAN' labeled on the Boyd-Roosevelt corridor W of Madden Dam - the successor town carrying the drowned village's name (the CZ-114 registration had flagged modern Nuevo San Juan as its possible successor; the 1950 official map makes the succession explicit in the name). [UNDATED: successor-name evidence.]</t>
  </si>
  <si>
    <t>A-3001</t>
  </si>
  <si>
    <t>Juan Mina labeled (with plantation note) on the 1950 office map below Madden Dam - the upper-Chagres survivor present in the post-depopulation landscape.</t>
  </si>
  <si>
    <t>A-3002</t>
  </si>
  <si>
    <t>GATUN TOWN (EDs 2-14 to 2-16)</t>
  </si>
  <si>
    <t>CENSUS1950 office map closing sweep, georef 2026-09-16</t>
  </si>
  <si>
    <t>Town drawn + three-ED roster block; silver quarters grid visible on the face.</t>
  </si>
  <si>
    <t>A-3003</t>
  </si>
  <si>
    <t>CRISTOBAL TOWN (ED 2-8)</t>
  </si>
  <si>
    <t>City + piers drawn; roster row.</t>
  </si>
  <si>
    <t>A-3004</t>
  </si>
  <si>
    <t>ANCON TOWN (EDs 1-2 and 1-3)</t>
  </si>
  <si>
    <t>Face label + roster.</t>
  </si>
  <si>
    <t>A-3005</t>
  </si>
  <si>
    <t>LA BOCA TOWN (EDs 1-33 to 1-40)</t>
  </si>
  <si>
    <t>EIGHT enumeration districts - La Boca the largest ED block in the Zone in 1950 (like Silver City on the Atlantic).</t>
  </si>
  <si>
    <t>A-3006</t>
  </si>
  <si>
    <t>Corozal (Hospital 1-25 + Military Reservation 1-26)</t>
  </si>
  <si>
    <t>The town now enumerated as institutions: hospital-for-the-insane complex + military reservation.</t>
  </si>
  <si>
    <t>A-3007</t>
  </si>
  <si>
    <t>Mindi (Dyke + Dairy Farm)</t>
  </si>
  <si>
    <t>MINDI DYKE and MINDI DAIRY FARM labeled on the face - infrastructure names, no town district.</t>
  </si>
  <si>
    <t>A-3008</t>
  </si>
  <si>
    <t>TORO POINT (Naval Radio Direction Finder Station, ED 2-29)</t>
  </si>
  <si>
    <t>Roster row.</t>
  </si>
  <si>
    <t>A-3009</t>
  </si>
  <si>
    <t>BALBOA TOWN (EDs 1-12 to 1-16)</t>
  </si>
  <si>
    <t>Five-ED block + face.</t>
  </si>
  <si>
    <t>A-3010</t>
  </si>
  <si>
    <t>BALBOA HEIGHTS TOWN (ED 1-17)</t>
  </si>
  <si>
    <t>Face + roster.</t>
  </si>
  <si>
    <t>A-3011</t>
  </si>
  <si>
    <t>Naos Island (in Fort Grant MR, ED 1-30)</t>
  </si>
  <si>
    <t>The island group enumerated under Fort Grant.</t>
  </si>
  <si>
    <t>A-3012</t>
  </si>
  <si>
    <t>COCOLI TOWN (1-7) + Cocoli Magazine Area (1-8)</t>
  </si>
  <si>
    <t>Town + magazine districts.</t>
  </si>
  <si>
    <t>A-3013</t>
  </si>
  <si>
    <t>Coco Solo (Naval Reservation 2-6, Hospital 2-5, Ammunition Depot 2-11)</t>
  </si>
  <si>
    <t>Three naval districts.</t>
  </si>
  <si>
    <t>A-3014</t>
  </si>
  <si>
    <t>FORT CLAYTON MILITARY RESERVATION (ED 1-29)</t>
  </si>
  <si>
    <t>Counted in 1950 - the census counts the garrison its 1940 base map declined to draw.</t>
  </si>
  <si>
    <t>A-3015</t>
  </si>
  <si>
    <t>FORT WILLIAM D. DAVIS MILITARY RESERVATION (ED 2-12)</t>
  </si>
  <si>
    <t>A-3016</t>
  </si>
  <si>
    <t>FORT SHERMAN MILITARY RESERVATION (ED 2-28)</t>
  </si>
  <si>
    <t>A-3017</t>
  </si>
  <si>
    <t>FORT AMADOR MILITARY RESERVATION (ED 1-28)</t>
  </si>
  <si>
    <t>A-3018</t>
  </si>
  <si>
    <t>ALBROOK AIR FORCE BASE (ED 1-1)</t>
  </si>
  <si>
    <t>Roster row; the 1940 named void now a named base district.</t>
  </si>
  <si>
    <t>A-3019</t>
  </si>
  <si>
    <t>QUARRY HEIGHTS MILITARY RESERVATION (ED 1-50)</t>
  </si>
  <si>
    <t>A-3020</t>
  </si>
  <si>
    <t>Barro Colorado Island Reserve</t>
  </si>
  <si>
    <t>Labeled with the Institute for Research in Tropical America note on the face.</t>
  </si>
  <si>
    <t>A-3021</t>
  </si>
  <si>
    <t>The dam, lake and watershed all carry MADDEN; Alhajuela - the hamlet the ground belonged to - appears nowhere on face or inset. The name would only return with Panamanian renaming (Lago Alajuela, 1979+).</t>
  </si>
  <si>
    <t>A-3022</t>
  </si>
  <si>
    <t>CAMACHO RESERVOIR is named on the face - the waterworks keeps the name, the village does not appear. Infrastructure afterlife without the settlement.</t>
  </si>
  <si>
    <t>A-3023</t>
  </si>
  <si>
    <t>Darien (relocated-line station)</t>
  </si>
  <si>
    <t>No Darien label found along the relocated line (Frijoles-Monte Lirio-Gatun reaches searched); a flag-stop below this scale - weak negative.</t>
  </si>
  <si>
    <t>A-3024</t>
  </si>
  <si>
    <t>The Bohio reach is open lake with island names only. [Registry oddity noted: CZ-016 lifespan end is blank though the town drowned c.1913 - flagged, not changed.] [UNDATED 2026-09-16: with the end date now c.1913, a 1950-dated negative would be a lifespan inconsistency; the search stays recorded, genre-expected for a drowned town.]</t>
  </si>
  <si>
    <t>A-3025</t>
  </si>
  <si>
    <t>No label at the Bas Obispo reach (dense-label area; weak negative). [Same lifespan-end oddity as Bohio - flagged.] [UNDATED 2026-09-16: with the end date now c.1913, a 1950-dated negative would be a lifespan inconsistency; the search stays recorded, genre-expected for a drowned town.]</t>
  </si>
  <si>
    <t>A-3026</t>
  </si>
  <si>
    <t>West-bank reach searched; no label.</t>
  </si>
  <si>
    <t>A-3027</t>
  </si>
  <si>
    <t>A-3028</t>
  </si>
  <si>
    <t>A-3029</t>
  </si>
  <si>
    <t>Atlantic-side crops searched; no label (weak - small locality).</t>
  </si>
  <si>
    <t>A-3030</t>
  </si>
  <si>
    <t>Casa Larga (1950 sheet searched)</t>
  </si>
  <si>
    <t>Watershed inset searched: the Casa Larga reach shows contours and gauging stations only. [UNDATED: the place ended c.1935; the search is on the 1950 sheet - absence is genre-expected for a dead town, but the hilltop-island contrast makes it meaningful.]</t>
  </si>
  <si>
    <t>A-3031</t>
  </si>
  <si>
    <t>Tranquilla (1950 sheet searched)</t>
  </si>
  <si>
    <t>Watershed inset searched: no Tranquilla - the Pequeni-Chagres confluence country carries hydrographic stations (Candelaria, Salamanca) where the villages were. [UNDATED: the place ended c.1935; the search is on the 1950 sheet - absence is genre-expected for a dead town, but the hilltop-island contrast makes it meaningful.]</t>
  </si>
  <si>
    <t>A-3032</t>
  </si>
  <si>
    <t>Dos Bocas (1950 sheet searched)</t>
  </si>
  <si>
    <t>Watershed inset searched: no Dos Bocas; the confluence itself is unnamed. [UNDATED: the place ended c.1935; the search is on the 1950 sheet - absence is genre-expected for a dead town, but the hilltop-island contrast makes it meaningful.]</t>
  </si>
  <si>
    <t>A-3033</t>
  </si>
  <si>
    <t>El Vigia (1950 sheet searched)</t>
  </si>
  <si>
    <t>No village or site label; the name survives ONLY as VIGIA IS. over the drowned ground (see the companion Name row). [UNDATED: the place ended c.1935; the search is on the 1950 sheet - absence is genre-expected for a dead town, but the hilltop-island contrast makes it meaningful.]</t>
  </si>
  <si>
    <t>A-3034</t>
  </si>
  <si>
    <t>Campanas (1950 sheet searched)</t>
  </si>
  <si>
    <t>No village or site label; the name survives ONLY as CAMPANA I. (see the companion Name row). [UNDATED: the place ended c.1935; the search is on the 1950 sheet - absence is genre-expected for a dead town, but the hilltop-island contrast makes it meaningful.]</t>
  </si>
  <si>
    <t>A-3035</t>
  </si>
  <si>
    <t>San Juan (1950 sheet searched)</t>
  </si>
  <si>
    <t>No San Juan at the drowned site; the name survives only in NEW SAN JUAN on the highway (see the companion Name row). [UNDATED: the place ended c.1935; the search is on the 1950 sheet - absence is genre-expected for a dead town, but the hilltop-island contrast makes it meaningful.]</t>
  </si>
  <si>
    <t>Coverage = erasure type x archival visibility (visibility = surviving-archive traces, NOT importance).</t>
  </si>
  <si>
    <t>Erasure type \ visibility</t>
  </si>
  <si>
    <t>TOTAL</t>
  </si>
  <si>
    <t>Renamed</t>
  </si>
  <si>
    <t>CAUTION: a "None"/"Low" cell is not a low-importance place - it is a place the surviving archive barely records. Those are often the most analytically important (erased people leave thin archives). Chase empty cells, but read this axis as power/visibility.</t>
  </si>
  <si>
    <t>App views and how each is driven by the data model</t>
  </si>
  <si>
    <t>View / mode</t>
  </si>
  <si>
    <t>What it shows</t>
  </si>
  <si>
    <t>Driven by fields</t>
  </si>
  <si>
    <t>Notes</t>
  </si>
  <si>
    <t>1. Reconstruction (time)</t>
  </si>
  <si>
    <t>Known places over time</t>
  </si>
  <si>
    <t>start_date, end_date, best_lat/lng, geometry_type</t>
  </si>
  <si>
    <t>Time slider filters by date range; date_certainty styles edges.</t>
  </si>
  <si>
    <t>2. Uncertainty</t>
  </si>
  <si>
    <t>Confidence of each place</t>
  </si>
  <si>
    <t>spatial_certainty -&gt; render_as</t>
  </si>
  <si>
    <t>Uses the crosswalk below. Crisp vs fuzzy vs translucent.</t>
  </si>
  <si>
    <t>3. Archival density</t>
  </si>
  <si>
    <t>How many traces attach to a place</t>
  </si>
  <si>
    <t>archival_traces, n_map, n_image, n_textual</t>
  </si>
  <si>
    <t>Choropleth/graduated symbol. Label clearly as VISIBILITY not importance.</t>
  </si>
  <si>
    <t>4. Displacement / disappearance</t>
  </si>
  <si>
    <t>Towns removed, flooded, renamed, absorbed</t>
  </si>
  <si>
    <t>erasure_type, erasure_mechanism, end_date</t>
  </si>
  <si>
    <t>Color by erasure_type; animate by end_date.</t>
  </si>
  <si>
    <t>5. Source comparison</t>
  </si>
  <si>
    <t>US vs Panamanian vs photo vs secondary placements</t>
  </si>
  <si>
    <t>attestations.att_lat/lng + sources.source_origin</t>
  </si>
  <si>
    <t>Plots each source"s own coordinate per place; shows disagreement.</t>
  </si>
  <si>
    <t>6. Unmapped but known</t>
  </si>
  <si>
    <t>Places known but not locatable</t>
  </si>
  <si>
    <t>spatial_certainty = Unknown (render_as = Unplotted)</t>
  </si>
  <si>
    <t>A visible LIST/panel. Prevents silent deletion of unplaceable places.</t>
  </si>
  <si>
    <t>Confidence -&gt; map representation (your crosswalk, wired into render_as):</t>
  </si>
  <si>
    <t>Confidence</t>
  </si>
  <si>
    <t>Meaning</t>
  </si>
  <si>
    <t>Map representation</t>
  </si>
  <si>
    <t>Location confirmed by multiple maps/sources</t>
  </si>
  <si>
    <t>Solid point</t>
  </si>
  <si>
    <t>Location known approximately</t>
  </si>
  <si>
    <t>Larger point or buffer</t>
  </si>
  <si>
    <t>Known textually, not precisely locatable</t>
  </si>
  <si>
    <t>Translucent area</t>
  </si>
  <si>
    <t>Sources disagree</t>
  </si>
  <si>
    <t>Multiple candidate points (one per geometry attestation)</t>
  </si>
  <si>
    <t>Cannot yet be mapped</t>
  </si>
  <si>
    <t>Listed in "unlocated places" panel, not plotted</t>
  </si>
  <si>
    <t>Per-place uncertainty typology + archival-visibility condition. All auto-derived from the evidence.</t>
  </si>
  <si>
    <t>spatial (where)</t>
  </si>
  <si>
    <t>temporal (when)</t>
  </si>
  <si>
    <t>attribute: type-claims</t>
  </si>
  <si>
    <t>name-claims</t>
  </si>
  <si>
    <t>source / archival condition</t>
  </si>
  <si>
    <t>n official</t>
  </si>
  <si>
    <t>n local</t>
  </si>
  <si>
    <t>n implied</t>
  </si>
  <si>
    <t>traces</t>
  </si>
  <si>
    <t>type-claims or name-claims &gt; 1 flags possible attribute / name uncertainty (sources differ). "Source uncertainty" = a Disputed spatial_certainty or disagreeing origins above.</t>
  </si>
  <si>
    <t>Uncertainty typology + archival-condition coding scheme</t>
  </si>
  <si>
    <t>A. Five types of uncertainty</t>
  </si>
  <si>
    <t>Uncertainty type</t>
  </si>
  <si>
    <t>Example in this project</t>
  </si>
  <si>
    <t>Where it lives in the model</t>
  </si>
  <si>
    <t>App representation</t>
  </si>
  <si>
    <t>Spatial (where)</t>
  </si>
  <si>
    <t>Exact location of a disappeared town is unclear</t>
  </si>
  <si>
    <t>places.spatial_certainty; geometry attestations</t>
  </si>
  <si>
    <t>render_as: solid point - buffer - translucent area</t>
  </si>
  <si>
    <t>Temporal (when)</t>
  </si>
  <si>
    <t>Settlement existed "around 1910"; exact dates unknown</t>
  </si>
  <si>
    <t>places.date_certainty; attestation when_start/when_end</t>
  </si>
  <si>
    <t>Fuzzy time-slider extent; styled edges</t>
  </si>
  <si>
    <t>Attribute (what)</t>
  </si>
  <si>
    <t>Village vs camp vs station depending on source</t>
  </si>
  <si>
    <t>Type attestations (count in Uncertainty Profile)</t>
  </si>
  <si>
    <t>Multiple type tags; flagged when sources differ</t>
  </si>
  <si>
    <t>Source</t>
  </si>
  <si>
    <t>U.S. map says one thing; a memoir/Panamanian source another</t>
  </si>
  <si>
    <t>attestations across sources; source_origin</t>
  </si>
  <si>
    <t>Source-comparison view; Disputed -&gt; candidate points</t>
  </si>
  <si>
    <t>Same place under Spanish / English / Canal Zone names</t>
  </si>
  <si>
    <t>Name attestations (name_as_recorded, lang, when)</t>
  </si>
  <si>
    <t>Name-history timeline per place</t>
  </si>
  <si>
    <t>B. Archival conditions -&gt; how to map</t>
  </si>
  <si>
    <t>Archival condition</t>
  </si>
  <si>
    <t>How to map it</t>
  </si>
  <si>
    <t>Model derivation</t>
  </si>
  <si>
    <t>In U.S. maps but not Panamanian memory</t>
  </si>
  <si>
    <t>Mark "administratively visible"</t>
  </si>
  <si>
    <t>Profile: n official &gt; 0, n local = 0</t>
  </si>
  <si>
    <t>In oral/local memory but not official maps</t>
  </si>
  <si>
    <t>Mark "locally remembered / archivally thin"</t>
  </si>
  <si>
    <t>Profile: n local &gt; 0, n official = 0</t>
  </si>
  <si>
    <t>Appears only before displacement</t>
  </si>
  <si>
    <t>Temporal layer ending at removal/flooding</t>
  </si>
  <si>
    <t>places.end_date + Erasure-event attestation</t>
  </si>
  <si>
    <t>Renamed by Canal Zone administration</t>
  </si>
  <si>
    <t>Linked name-history record</t>
  </si>
  <si>
    <t>Multiple Name attestations, temporally scoped</t>
  </si>
  <si>
    <t>Described but not locatable</t>
  </si>
  <si>
    <t>Map as uncertain area or "unplaced record"</t>
  </si>
  <si>
    <t>spatial_certainty = Low/Unknown -&gt; render_as</t>
  </si>
  <si>
    <t>Absent but implied by labor/school/church/cemetery/census</t>
  </si>
  <si>
    <t>Relational mapping</t>
  </si>
  <si>
    <t>Implied / inferred attestation (n implied)</t>
  </si>
  <si>
    <t>Note: "archivally thin" marks low VISIBILITY in surviving archives, never low importance. Erased and Afro-Caribbean communities are precisely those the official archive under-records.</t>
  </si>
  <si>
    <t>Defined corpus: the archives actually being searched. Bounds what "absence" is measured against.</t>
  </si>
  <si>
    <t>in_scope</t>
  </si>
  <si>
    <t>period_covered</t>
  </si>
  <si>
    <t>formats</t>
  </si>
  <si>
    <t>access</t>
  </si>
  <si>
    <t>digitization</t>
  </si>
  <si>
    <t>affiliation</t>
  </si>
  <si>
    <t>holdings_display</t>
  </si>
  <si>
    <t>institution</t>
  </si>
  <si>
    <t>United States National Archives, College Park, Maryland</t>
  </si>
  <si>
    <t>In scope - core</t>
  </si>
  <si>
    <t>Maps, administrative, labor series</t>
  </si>
  <si>
    <t>Onsite + partial online</t>
  </si>
  <si>
    <t>Partial</t>
  </si>
  <si>
    <t>US official; the dominant archive. PI-91 (1956) inventories the CARTOGRAPHIC series only: ~9,240 items / 125 cu. ft. as of 1955, on paper at College Park - searched 2026-09 via catalog metadata ONLY, never full text. Series: Cie Universelle general maps 1881-1900 (154 items) and detailed maps/plans incl. town-site plans 1881-97 (6,620 items); Cie Nouvelle cross sections/area/sectional maps 1889-99 (~730 items incl. Lago de Bohio and Alhajuela series); Nicaragua CC 1895-99 (447); ICC 1899-1913 (~1,000 incl. lock and dam plans, 1913 route plates); The Panama Canal post-1914 (6 items only - the working cartography stayed in Panama). Appendix II place-name index mined 2026-09 for variants (Bas Matachin, De Lesseps City=Gatun, Alto Emperador, Monkey Hill=Mt Hope, Balboa=La Boca) and settlements (Whitehouse, Vamos Vamos, Pena Blanca, Cartagenita, Palo Grande, Cocoli). Textual records separately inventoried (Giroux, unpublished). Digitized online: 185-G construction photos 1887-1940 (partial), 185-CZ operations c.1938-60, 185-CC color 1979-84, aerial (partial); plus digitized index-card and land/claims series (Indexes to Central Files, Land Transactions, Land Claims/Awards/Deeds, Marriage Licenses). Catalog harvest 2026-09: data/nara/ (10,456 records, 59 names).</t>
  </si>
  <si>
    <t>United States federal</t>
  </si>
  <si>
    <t>~9,240 cartographic items / 125 cubic feet on paper at College Park; Compagnie Universelle general and town-site maps 1881–97; Isthmian Canal Commission lock and dam plans, 1913 route plates; textual labor and administrative series; digitized: construction photographs (series 185-G), land and claims index cards</t>
  </si>
  <si>
    <t>United States National Archives</t>
  </si>
  <si>
    <t>Canal Zone maps including the 1911 Property Map</t>
  </si>
  <si>
    <t>Library of Congress, Geography and Map Division</t>
  </si>
  <si>
    <t>1904-1914</t>
  </si>
  <si>
    <t>Maps</t>
  </si>
  <si>
    <t>Digitized (selected)</t>
  </si>
  <si>
    <t>Official cartographic record.</t>
  </si>
  <si>
    <t>Canal Zone sheets in the Geography and Map Division, including the 1911 Property Map; Culebra town masters 1905–10; 1908–09 canal surveys; 64 catalog records, all relevant sheets fetched</t>
  </si>
  <si>
    <t>The Canal Record, digitized run</t>
  </si>
  <si>
    <t>University of Florida Smathers Libraries / Internet Archive</t>
  </si>
  <si>
    <t>Serial / text</t>
  </si>
  <si>
    <t>Fully digitized</t>
  </si>
  <si>
    <t>Full</t>
  </si>
  <si>
    <t>Text-searchable; relocation notices. Digitized at UFDC bibid UF00097368 (28 volumes) - page-level harvest 2026-09 in data/ufdc/.</t>
  </si>
  <si>
    <t>United States official record (digitized at the University of Florida)</t>
  </si>
  <si>
    <t>The Canal Record, official weekly of the Isthmian Canal Commission; 28 volumes 1907–41, full text online</t>
  </si>
  <si>
    <t>University of Florida</t>
  </si>
  <si>
    <t>Museo del Canal Interoceanico holdings</t>
  </si>
  <si>
    <t>Museo del Canal Interoceanico, Panama City</t>
  </si>
  <si>
    <t>In scope - counter-archive</t>
  </si>
  <si>
    <t>Books, oral history, cartography, photographs, postcards, memorabilia</t>
  </si>
  <si>
    <t>Onsite; catalog metadata online (Koha)</t>
  </si>
  <si>
    <t>None (catalog only)</t>
  </si>
  <si>
    <t>Panamanian-side counter-archive. Swept 2026-09-13 via typismuci.museodelcanal.com (Koha OPAC). ASYMMETRY FINDING: unlike LOC/UFDC/IA, the Museo serves NO digital objects remotely — only catalog metadata of physical holdings (the sole images are the site logo + Amazon cover thumbnails). Keyword counts (Zona del Canal 54, mapa 47, fotografía 115) are matches on book description fields, not standalone photo/map records; the reserve's own 4% cartography / 3% photos / 5% postcards are not cataloged online. Town-name recall depends on cataloguers' notes, not full text: Gatun 10, Culebra 7, Chagres 7, Gamboa 7, Paraíso 8, Bohío 4, Emperador 4, Gorgona 1, Matachín 1, Tabernilla 0. Oral History Archive exists but is onsite-only. Concrete yield: 1 record (Chen 2014, biblio 6326) documenting the Chinese-community dimension of Emperador, Gorgona, Matachín, Paraíso incl. a 1908 Chinese-population-by-town census. Also held (physical, undigitized): Tejeira, *Pueblos perdidos* (1962, novel); Araúz Torres, *Los mapas antiguos de Panamá y Darién 1503-1879* (2014). Next step to deepen: email scan request (remote) or on-site visit.</t>
  </si>
  <si>
    <t>Books; cartography (4% of the reserve); photographs (3%); postcards and memorabilia; Archivo de Historia Oral (onsite only); catalog metadata online, no digital objects served</t>
  </si>
  <si>
    <t>Silver Men consortium (UNESCO Memory of the World)</t>
  </si>
  <si>
    <t>Jamaica, Barbados, Saint Lucia, the United Kingdom (Kew), the University of Florida</t>
  </si>
  <si>
    <t>Admin / community</t>
  </si>
  <si>
    <t>Remote: catalogues only; components not full-text online</t>
  </si>
  <si>
    <t>Minimal</t>
  </si>
  <si>
    <t>Swept remotely 2026-09-13 (data/silvermen/): UNESCO nomination inventoried - Barbados Dept. of Archives (District A Emigrants Registers x3, Savings Bank Registers 1853-1918 x20, Official Gazettes 1891/1904/1906), Barbados Museum (Hutchinson postcards/stamps, Lady Carter Visitor Book), Jamaica Archives (Colonial Secretary + Central Govt re Panama, Jamaica Gazette 1905-15), St Lucia NA, UK NA + Mallet private, NARA II, UF. None of the registers are remotely searchable - the archival asymmetry extends to the counter-archive itself (finding, mirrors ARC-04). Digitized Caribbean voice lives in ARC-09/S-035. Onsite/reproduction routes documented in REPORT_SILVERMEN.md. | 2026-09-13: the consortium-adjacent WORKER VOICE (IHS 1963 letters) IS digitized on dLOC (S-036) - the institutional registers remain reading-room only; both facts now in evidence.</t>
  </si>
  <si>
    <t>West Indian / Caribbean (part held at the United Kingdom's colonial archive at Kew)</t>
  </si>
  <si>
    <t>Barbados: District A Emigrants Registers ×3, Savings Bank Registers 1853–1918 ×20, Official Gazettes; Jamaica: Colonial Secretary records on Panama, Jamaica Gazette 1905–15; Saint Lucia National Archives; Barbados Museum: Hutchinson postcards, Lady Carter Visitor Book; United Kingdom National Archives at Kew, Mallet family papers; none remotely searchable</t>
  </si>
  <si>
    <t>Silver Men consortium</t>
  </si>
  <si>
    <t>czbrats community compilation</t>
  </si>
  <si>
    <t>Reference only (not authority)</t>
  </si>
  <si>
    <t>Digitized</t>
  </si>
  <si>
    <t>Lead-generator; corroborate elsewhere.</t>
  </si>
  <si>
    <t>Zonian settler community</t>
  </si>
  <si>
    <t>Web compilation of Zonian memory: village pages, photographs, town lists; lead-generator, corroborate elsewhere</t>
  </si>
  <si>
    <t>czbrats.com (website of former Canal Zone residents)</t>
  </si>
  <si>
    <t>ARC-07</t>
  </si>
  <si>
    <t>Compagnie Universelle du Canal Interoceanique de Panama records (fonds 7 AQ)</t>
  </si>
  <si>
    <t>Archives nationales du monde du travail, Roubaix, France</t>
  </si>
  <si>
    <t>Registry only - not yet searched</t>
  </si>
  <si>
    <t>1879-1904</t>
  </si>
  <si>
    <t>Company administrative, technical, financial, liquidation records</t>
  </si>
  <si>
    <t>Onsite (microfilm); online finding aid only</t>
  </si>
  <si>
    <t>None online (cotes 7 AQ 1-13 microfilmed, onsite)</t>
  </si>
  <si>
    <t>CORRECTED 2026-09-14: previously mis-registered as ANOM (Aix). ANOM holds French COLONIAL administration records; Panama was never a French colony, and the Compagnie was a private company. Its archive is fonds 7 AQ at ANMT Roubaix (6 linear m; deposited by Lemarquis, vice-president of the Societe generale, 3 Oct 1930; cotes 7 AQ 1-13 microfilmed). ANMT research guide 'Le canal de Panama, Isthme americain' online (recherche-anmt.culture.gouv.fr). Catalog = metadata only; documents onsite/microfilm - same asymmetry as ARC-04 Museo. Not yet searched.</t>
  </si>
  <si>
    <t>French (private concession, Compagnie Universelle)</t>
  </si>
  <si>
    <t>Fonds 7 AQ, ~6 linear metres; technical studies, administrative and financial records, liquidation papers; cotes 7 AQ 1-13 microfilmed; ANMT online finding aid (metadata); documents consultable onsite only</t>
  </si>
  <si>
    <t>Archives nationales du monde du travail (France)</t>
  </si>
  <si>
    <t>Smithsonian collections</t>
  </si>
  <si>
    <t>Smithsonian Institution, Washington and Panama</t>
  </si>
  <si>
    <t>In scope - supporting</t>
  </si>
  <si>
    <t>Specimens, photographs, archives, maps</t>
  </si>
  <si>
    <t>Searchable in full text; partly online</t>
  </si>
  <si>
    <t>Three layers (2026-09 survey, data/smithsonian/): (1) Open Access API - 45k 'Canal Zone' records, NMNH specimen localities = independent scientific attestation corpus; drowned hamlets (Barbacoas, Bailamonos, Ahorca Lagarto, Cruz de Juan Gallego) score ZERO - absence extends to natural history. (2) NMAH Archives Center: Fishbaugh album (AC.1021, 27/100 views digitized, read); PCC photonegatives (AC.1116, 719 items, captions NOT transcribed digitally - EAD lists accession numbers only); related albums AC.0708/1015/1039/1040. (3) STRI Library map collection: 1,000+ maps, onsite-only, inventory (Jan 2018) covers cabinets 1-11 only; mostly mid-century AMS topographic sheets incl. 1:25k sheets named Gatun, Frijoles, Las Cruces, Barro Colorado. Sitewide search UIs are bot-walled; API + sirismm EADs are the machine route.</t>
  </si>
  <si>
    <t>United States institution</t>
  </si>
  <si>
    <t>45,000 'Canal Zone' records, searchable in full text (National Museum of Natural History specimen localities); Fishbaugh photograph album (27 of 100 views digitized); 719 Panama Canal Company photonegatives, captions untranscribed; Smithsonian Tropical Research Institute map library, 1,000+ sheets, onsite only</t>
  </si>
  <si>
    <t>Caribbean Newspaper Digital Library</t>
  </si>
  <si>
    <t>Digital Library of the Caribbean (University of Florida / Florida International University); Bridgetown, Nassau, Hamilton, Kingston presses</t>
  </si>
  <si>
    <t>Newspapers, serials, books</t>
  </si>
  <si>
    <t>Digitized (open, remote, searchable in full text)</t>
  </si>
  <si>
    <t>Full (for what is digitized)</t>
  </si>
  <si>
    <t>Added 2026-09-13 from the Silver Men sweep: the digitized Caribbean-press voice. Probe boundary: item-level, name+panama co-occurrence; KWIC pass pending. See S-035 + data/silvermen/. | Silver People letters probe 2026-09-13: the letters (AA00016037/S-036) sit in this corpus - 62/122 place names present; imports logged on S-036.</t>
  </si>
  <si>
    <t>Caribbean press (digitized at the University of Florida)</t>
  </si>
  <si>
    <t>Caribbean presses 1880–1950 — Bridgetown, Kingston, Nassau, Hamilton; newspapers, serials, books; Isthmian Historical Society 'Silver People' competition letters, 1963; open and searchable in full text</t>
  </si>
  <si>
    <t>Chronicling America digitized newspapers</t>
  </si>
  <si>
    <t>Library of Congress, Serial and Government Publications Division</t>
  </si>
  <si>
    <t>1777-1963 (searched 1880-1920)</t>
  </si>
  <si>
    <t>Newspapers</t>
  </si>
  <si>
    <t>Fully digitized (open in a browser; bulk downloads blocked)</t>
  </si>
  <si>
    <t>US press corpus behind S-009. Roster probe 2026-09-13 (data/chronicling-america/chronam_probe_20260913.csv): 64 never-queried places, page-level counts for "PLACE"+"Panama", 1880-1920. | 2026-09-13 (later): name/repository spelled out for the web archives section; sources S-009..S-013 linked via archive_id.</t>
  </si>
  <si>
    <t>United States federal (digitized United States press)</t>
  </si>
  <si>
    <t>Digitized United States and territorial newspapers; canal-era syndications including the Canal Record 'vanishing villages' notices; Saint Croix Avis French-era canal reports 1882–87; full text searchable; the searched window 1880–1920 spans the French era through construction</t>
  </si>
  <si>
    <t>Internet Archive canal-era texts</t>
  </si>
  <si>
    <t>Internet Archive, San Francisco</t>
  </si>
  <si>
    <t>1850-1979</t>
  </si>
  <si>
    <t>Books, reports, serials, map scans</t>
  </si>
  <si>
    <t>Fully digitized (open)</t>
  </si>
  <si>
    <t>Registered 2026-09-13 when sources gained archive links. 1,315 optical-character-read texts harvested (S-021); ~72 map scans also used for georeferencing (data/georef/ia_maps/).</t>
  </si>
  <si>
    <t>United States canal-era texts (nonprofit aggregator)</t>
  </si>
  <si>
    <t>1,315 digitized canal-era volumes; annual reports, memoirs, guidebooks; ~72 map scans copied from other repositories</t>
  </si>
  <si>
    <t>East Carolina University digital collections</t>
  </si>
  <si>
    <t>Joyner Library, East Carolina University, Greenville, North Carolina</t>
  </si>
  <si>
    <t>1880-1979</t>
  </si>
  <si>
    <t>Newspapers, oral histories, maps</t>
  </si>
  <si>
    <t>Swept 2026-09-07 (data/ecu/, SOURCES_SWEPT); row registered 2026-09-13 when sources gained archive links. One relevant map sheet; Greenville press corpus mostly outside the 1880-1920 window.</t>
  </si>
  <si>
    <t>United States press (university-held)</t>
  </si>
  <si>
    <t>Eastern Reflector and Daily Reflector newspaper runs; Navy oral histories; one 1927 Canal Zone map sheet (Robert Morgan Papers)</t>
  </si>
  <si>
    <t>East Carolina University</t>
  </si>
  <si>
    <t>Perry-Castañeda Library map collection</t>
  </si>
  <si>
    <t>University of Texas at Austin</t>
  </si>
  <si>
    <t>1911-1953</t>
  </si>
  <si>
    <t>Registered 2026-09-13 when sources gained archive links. 17 Canal Zone sheets fetched; Shepherd 1911 plate = S-018 (A-0376..A-0400).</t>
  </si>
  <si>
    <t>United States academic map collection</t>
  </si>
  <si>
    <t>17 Canal Zone map sheets; Shepherd's Historical Atlas 1911 Panama Canal plate</t>
  </si>
  <si>
    <t>Census enumeration-district maps (Record Group 29)</t>
  </si>
  <si>
    <t>1940-1950</t>
  </si>
  <si>
    <t>Digitized (catalog)</t>
  </si>
  <si>
    <t>Recognised 2026-09-13 as maps (data/census/, S-033/S-034); georeferencing candidates. Registered when sources gained archive links.</t>
  </si>
  <si>
    <t>1940 census enumeration-district maps of the Canal Zone (series A3378); 1950 counterpart; late street-level views of the towns</t>
  </si>
  <si>
    <t>ARC-15</t>
  </si>
  <si>
    <t>David Rumsey map collection</t>
  </si>
  <si>
    <t>David Rumsey Map Center, Stanford University</t>
  </si>
  <si>
    <t>c.1850-1953</t>
  </si>
  <si>
    <t>Registered 2026-09-13. 7 Canal Zone sheets fetched full-resolution via LUNA (data/georef/, SOURCES_SWEPT); a 1912 Panama plate was deleted as an Internet Archive duplicate. Georeferencing collection only - no source rows yet.</t>
  </si>
  <si>
    <t>United States private map collection (Stanford University)</t>
  </si>
  <si>
    <t>7 Canal Zone map sheets, fetched at full resolution; used as georeferencing and tracing bases, not yet as attestation sources</t>
  </si>
  <si>
    <t>Stanford University</t>
  </si>
  <si>
    <t>Wikimedia Commons Canal Zone maps</t>
  </si>
  <si>
    <t>Wikimedia Commons (volunteer-curated aggregator)</t>
  </si>
  <si>
    <t>1830-present (mirrored copies)</t>
  </si>
  <si>
    <t>Registered 2026-09-13. 87 files, sweep COMPLETE 2026-09-07 (data/georef/commons_maps/, SOURCES_SWEPT); all verified against declared sizes. Georeferencing collection only - no source rows yet.</t>
  </si>
  <si>
    <t>mirrored United States and European cartography (volunteer aggregator)</t>
  </si>
  <si>
    <t>87 Canal Zone map files; Lloyd 1830 charts; malaria and sanitation maps; a judicial-districts map mirrored from the United States National Archives; used as georeferencing and tracing bases, not yet as attestation sources</t>
  </si>
  <si>
    <t>Wikimedia Commons</t>
  </si>
  <si>
    <t>Gallica digital library (French canal-era material)</t>
  </si>
  <si>
    <t>Bibliotheque nationale de France, Paris</t>
  </si>
  <si>
    <t>In scope - core (French period)</t>
  </si>
  <si>
    <t>1843-1914</t>
  </si>
  <si>
    <t>Monographs, reports, periodicals, maps</t>
  </si>
  <si>
    <t>Fully digitized (open, remote, searchable in full text)</t>
  </si>
  <si>
    <t>French colonial-canal record; fills the Compagnie Universelle period (1879-1904) that the US archive predates. Swept 2026-09-14 via Gallica SRU + ContentSearch + IIIF (curl-open, User-Agent required). Anchor sources: Boutan 1880 geological survey (names the whole village chain as canal-line stations), Verbrugghe 1879 Wyse-Reclus route narrative, Charles-Roux 1886 progress report (Buhio-Soldado 'un beau campement'; Gorgona/Matachin/Mamei as km-marked route stations). ASYMMETRY: the French colonial-power archive is MORE openly accessible remotely than the Panamanian counter-archive (ARC-04 Museo = onsite/metadata-only). Harvest: data/gallica/. Still open: ANOM (Aix) Compagnie internal records; Gallica canal-era maps (23 cartes found, IIIF-downloadable) not yet pulled.</t>
  </si>
  <si>
    <t>French (Compagnie Universelle du Canal Interoceanique)</t>
  </si>
  <si>
    <t>Boutan 1880: geological survey naming the whole village chain as canal-line stations; Verbrugghe 1879: narrative of the Wyse-Reclus route reconnaissance; Charles-Roux 1886: official French canal-progress report (Buhio-Soldado "un beau campement"); 23 canal-era maps (cartes), downloadable in full resolution, not yet consulted; searchable in full text remotely</t>
  </si>
  <si>
    <t>Bibliothèque nationale de France</t>
  </si>
  <si>
    <t>La Estrella de Panamá, digitized newspaper run</t>
  </si>
  <si>
    <t>1849-current</t>
  </si>
  <si>
    <t>Newspaper (Spanish)</t>
  </si>
  <si>
    <t>Digitized (remote, full-text)</t>
  </si>
  <si>
    <t>Full (for the LOC run)</t>
  </si>
  <si>
    <t>Added 2026-09-14 (Matachin-hunt bycatch): the Panamanian press voice. Probe boundary: phrase search vs Spanish OCR, item=page; ambiguous generic-Spanish names excluded from claims. Renumbered ARC-10-&gt;ARC-15 2026-09-14 (id space taken by the archives-section batch). See S-044 + data/estrella/.</t>
  </si>
  <si>
    <t>Panamanian press (digitized at the Library of Congress)</t>
  </si>
  <si>
    <t>La Estrella de Panama, the Panamanian newspaper of record; digitized run 1849-current at the Library of Congress; searchable in full text; Spanish spellings need care, and names shared with other places more so</t>
  </si>
  <si>
    <t>University of Florida digital map collections (including the Panama Canal Museum Collection)</t>
  </si>
  <si>
    <t>George A. Smathers Libraries, University of Florida, Gainesville</t>
  </si>
  <si>
    <t>1844-1947</t>
  </si>
  <si>
    <t>Registered 2026-09-15 when the archives section was regrouped by institution: sources S-045 (1947 Cristobal-Colon-Mount Hope sheet, AA00038126), S-046 (Hammond atlas page, AA00038443) and S-048 (Garella 1845 map, UF00100942) had no archive link.</t>
  </si>
  <si>
    <t>United States university collection</t>
  </si>
  <si>
    <t>Maps from the former Panama Canal Museum, transferred to the University of Florida; 1845 Garella topographic map of the isthmus; 1947 Cristóbal–Colón–Mount Hope city sheet</t>
  </si>
  <si>
    <t>Published scholarship consulted for attestations</t>
  </si>
  <si>
    <t>Harvard University Press (print and electronic edition)</t>
  </si>
  <si>
    <t>Searched in full - read cover to cover for place attestations</t>
  </si>
  <si>
    <t>2019 (covering 1904-1921)</t>
  </si>
  <si>
    <t>Monograph</t>
  </si>
  <si>
    <t>Published book (print and electronic)</t>
  </si>
  <si>
    <t>Full (published monograph)</t>
  </si>
  <si>
    <t>Registered 2026-09-16 so the sources panel carries the model's one secondary-literature source (S-002). The corpus is otherwise archives; later scholarship is tagged separately in the panel.</t>
  </si>
  <si>
    <t>Secondary - later scholarship</t>
  </si>
  <si>
    <t>Erased: The Untold Story of the Panama Canal (Marixa Lasso, 2019) - the depopulation of the Zone towns 1912-1916 told from Panamanian records</t>
  </si>
  <si>
    <t>Published scholarship</t>
  </si>
  <si>
    <t>Search coverage by site category x archive. Turns "absent" into a defensible claim: expected + searched + not found = meaningful silence; expected + NOT searched = a gap in your own coverage.</t>
  </si>
  <si>
    <t>site_category</t>
  </si>
  <si>
    <t>expected_here</t>
  </si>
  <si>
    <t>searched</t>
  </si>
  <si>
    <t>result</t>
  </si>
  <si>
    <t>period_searched</t>
  </si>
  <si>
    <t>Silver Roll quarters / labour housing</t>
  </si>
  <si>
    <t>Absent</t>
  </si>
  <si>
    <t>Rarely named on official cartography -&gt; cartographic silence.</t>
  </si>
  <si>
    <t>1905-1916</t>
  </si>
  <si>
    <t>Present in labour rolls, not as mapped places.</t>
  </si>
  <si>
    <t>Community memory; ongoing.</t>
  </si>
  <si>
    <t>Panamanian villages (Chagres)</t>
  </si>
  <si>
    <t>1904-1912</t>
  </si>
  <si>
    <t>Some named, many omitted before flooding.</t>
  </si>
  <si>
    <t>Not searched</t>
  </si>
  <si>
    <t>Panamanian holdings not yet searched -&gt; a GAP, not a silence.</t>
  </si>
  <si>
    <t>Maybe</t>
  </si>
  <si>
    <t>Expected uncertain; absent from official sheets.</t>
  </si>
  <si>
    <t>Construction-era towns (Gold+Silver)</t>
  </si>
  <si>
    <t>Found</t>
  </si>
  <si>
    <t>Well mapped (administratively central).</t>
  </si>
  <si>
    <t>Empire: Hospital</t>
  </si>
  <si>
    <t>On ICC town plan.</t>
  </si>
  <si>
    <t>Empire: Commissary</t>
  </si>
  <si>
    <t>1907-1916</t>
  </si>
  <si>
    <t>In Canal Record.</t>
  </si>
  <si>
    <t>Empire: Gold quarters</t>
  </si>
  <si>
    <t>Mapped.</t>
  </si>
  <si>
    <t>Empire: Silver quarters</t>
  </si>
  <si>
    <t>Not on official cartography -&gt; silence.</t>
  </si>
  <si>
    <t>Present in community record.</t>
  </si>
  <si>
    <t>Empire: Cemetery</t>
  </si>
  <si>
    <t>Burial ground unmapped officially.</t>
  </si>
  <si>
    <t>Empire: Church/chapel</t>
  </si>
  <si>
    <t>Community record only.</t>
  </si>
  <si>
    <t>Reading: "Absent" where expected + searched = a MEANINGFUL SILENCE (analysable). "Not searched" = a GAP in your coverage (close it, do not interpret it).</t>
  </si>
  <si>
    <t>Upper-Chagres hamlets</t>
  </si>
  <si>
    <t>ICC1909 audit: San Juan, Tranquilla, Dos Bocas, Campanas, El Vigia, Palo Grande named; Alhajuela, Juan Mina, Gatuncillo, Vamos Vamos absent.</t>
  </si>
  <si>
    <t>Audit-born places (camps + Chagres hamlets)</t>
  </si>
  <si>
    <t>2026-09-13 probe: Juan Mina 152pp, El Vigia 70pp, Golden Green 15pp, Cunette 13pp vs ZERO pages for Casa Larga/Tranquilla/Campanas/Corosita/Alto Emperador/Chagresito/Las Penitas/Palo Matias.</t>
  </si>
  <si>
    <t>Sub-town features (CZ-118+) and post-harvest places</t>
  </si>
  <si>
    <t>CLOSED for the Canal Record 2026-09-13 (probe 2, A-0957..A-1016): 39 mentioned vs 21 phrase-absent - incl. Colored School 0pp vs clubhouse 14pp at Culebra; Empire cemetery/plaza/quarters 0pp. CLOSED for ARC-01 digitized layer + ARC-08 bulk corpus 2026-09-13 (A-1017..A-1134): NARA 63 places (35 with hits incl. Golden Green laborer-house photo, Cunette school 1905, Empire Police Station 1904), SI 55 places (14 with hits incl. Casa Larga/Tranquilla botany localities; Cerro Campana etc. false positives excluded). OPEN: CHRONAM (ARC-03 newspapers) pending Cloudflare clearance.</t>
  </si>
  <si>
    <t>Never-queried roster (audit-born, forts, sub-town)</t>
  </si>
  <si>
    <t>1904-1979 (digitized layer)</t>
  </si>
  <si>
    <t>2026-09-13 probe (A-1017..): 45 of 63 in the digitized catalog - Golden Green laborer-house photo (naId 100997762), Cunette school 1905, Palo Matias property file; 18 zero. Zeros bound the DIGITIZED layer only (paper holdings not excluded).</t>
  </si>
  <si>
    <t>2026-09-13 scan of 45,040 records (A-1017..): 11 of 55 present - Casa Larga + Tranquilla botany localities corroborate ICC1909; 44 zero. Isla Vista zero here too.</t>
  </si>
  <si>
    <t>2026-09-13 probe (A-1191..A-1254): 42 of 64 with page hits - Carabali 1906, Haut Obispo 1883 (French era), Fort Clayton 1919; 22 zero incl. Culebra Colored School / Post Office / Church / Commissary and Pedro Miguel camps. Ambiguous-name positives undated pending KWIC.</t>
  </si>
  <si>
    <t>relation_id</t>
  </si>
  <si>
    <t>relation_type</t>
  </si>
  <si>
    <t>related_id (FK)</t>
  </si>
  <si>
    <t>note</t>
  </si>
  <si>
    <t>R-01</t>
  </si>
  <si>
    <t>part_of</t>
  </si>
  <si>
    <t>Hospital within Empire.</t>
  </si>
  <si>
    <t>R-02</t>
  </si>
  <si>
    <t>Commissary within Empire.</t>
  </si>
  <si>
    <t>R-03</t>
  </si>
  <si>
    <t>Clubhouse/YMCA within Empire. [repointed CZ-103 -&gt; CZ-125 2026-09-14, merge]</t>
  </si>
  <si>
    <t>R-04</t>
  </si>
  <si>
    <t>Silver quarters within Empire.</t>
  </si>
  <si>
    <t>R-05</t>
  </si>
  <si>
    <t>Gold quarters within Empire.</t>
  </si>
  <si>
    <t>R-06</t>
  </si>
  <si>
    <t>Plaza within Empire.</t>
  </si>
  <si>
    <t>replaced_by</t>
  </si>
  <si>
    <t>1955</t>
  </si>
  <si>
    <t>[R-07 RETRACTED 2026-09-14: target CZ-201/202 erased] Former Empire ground now present-day Emperador.</t>
  </si>
  <si>
    <t>[R-08 RETRACTED 2026-09-14: target CZ-201/202 erased] Commissary site now under a modern road (illustrative).</t>
  </si>
  <si>
    <t>near</t>
  </si>
  <si>
    <t xml:space="preserve"> </t>
  </si>
  <si>
    <t>[R-09 RETRACTED 2026-09-14: target CZ-201/202 erased] Adjacent present-day features.</t>
  </si>
  <si>
    <t>R-10</t>
  </si>
  <si>
    <t>La Boca renamed/absorbed into Balboa as Pacific terminal town.</t>
  </si>
  <si>
    <t>R-11</t>
  </si>
  <si>
    <t>Station relocated to the new PRR line above lake level; the old-line village drowned by Gatun Lake.</t>
  </si>
  <si>
    <t>R-12</t>
  </si>
  <si>
    <t>McDonald letter: colored section by the Gorgona Shops.</t>
  </si>
  <si>
    <t>R-13</t>
  </si>
  <si>
    <t>Commissary delivery district of Empire; Camacho kitchen 1907.</t>
  </si>
  <si>
    <t>R-14</t>
  </si>
  <si>
    <t>US citizens' quarter of early Ancon, toward Gorgas.</t>
  </si>
  <si>
    <t>R-15</t>
  </si>
  <si>
    <t>Lodging locality within Matachin (White, 1911).</t>
  </si>
  <si>
    <t>R-16</t>
  </si>
  <si>
    <t>Culebra's Rio Grande camp and works.</t>
  </si>
  <si>
    <t>R-17</t>
  </si>
  <si>
    <t>Old Diablo village erased by canal works c.1913; the US townsite Diablo Heights rises on the heights by 1939-40.</t>
  </si>
  <si>
    <t>R-18</t>
  </si>
  <si>
    <t>The village drowned under Gatun Lake; its hill persists as Barro Colorado Island (the island inherits the name).</t>
  </si>
  <si>
    <t>R-19</t>
  </si>
  <si>
    <t>The Cementerio Chino is one enclosure in the Camino de La Boca cemetery row.</t>
  </si>
  <si>
    <t>R-20</t>
  </si>
  <si>
    <t>The Gerig shore camp is buried under the Balboa fill; the townsite that rises on the made ground takes the new name.</t>
  </si>
  <si>
    <t>R-21</t>
  </si>
  <si>
    <t>West Indian quarter of Gatún; submerged with the town under the lake.</t>
  </si>
  <si>
    <t>City</t>
  </si>
  <si>
    <t>Region</t>
  </si>
  <si>
    <t>contains</t>
  </si>
  <si>
    <t>succeeds</t>
  </si>
  <si>
    <t>renamed_from</t>
  </si>
  <si>
    <t>adjacent_to</t>
  </si>
  <si>
    <t>Lock</t>
  </si>
  <si>
    <t>Dock/Pier</t>
  </si>
  <si>
    <t>Monument</t>
  </si>
  <si>
    <t>District</t>
  </si>
  <si>
    <t>REUSABLE checklist of features to look for in ANY town - town-agnostic, lives once. Do NOT clone this per town.</t>
  </si>
  <si>
    <t>To work up a town: add a row in PLACES for each category present (parent_id = the town), log evidence in ATTESTATIONS and search coverage in COVERAGE. Then filter the ABSENCE PROFILE by that town to see it worked through. Empire (CZ-101..109) is the worked example.</t>
  </si>
  <si>
    <t>feature_category</t>
  </si>
  <si>
    <t>usual_scale</t>
  </si>
  <si>
    <t>typically_expected_in</t>
  </si>
  <si>
    <t>silence_risk</t>
  </si>
  <si>
    <t>what to look for / notes</t>
  </si>
  <si>
    <t>Hospital / dispensary</t>
  </si>
  <si>
    <t>ICC maps (ARC-02); Canal Record (ARC-03)</t>
  </si>
  <si>
    <t>Administratively central; usually well documented.</t>
  </si>
  <si>
    <t>Commissary / store</t>
  </si>
  <si>
    <t>Canal Record (ARC-03); ICC maps (ARC-02)</t>
  </si>
  <si>
    <t>Supply point; documented.</t>
  </si>
  <si>
    <t>Clubhouse / cinema</t>
  </si>
  <si>
    <t>Canal Record (ARC-03)</t>
  </si>
  <si>
    <t>Gold-roll amenity; documented.</t>
  </si>
  <si>
    <t>Gold-roll quarters</t>
  </si>
  <si>
    <t>ICC property maps (ARC-02)</t>
  </si>
  <si>
    <t>Mapped (administratively visible).</t>
  </si>
  <si>
    <t>Silver-roll quarters / labour housing</t>
  </si>
  <si>
    <t>Labour rolls (ARC-01); community / Silver Men (ARC-05)</t>
  </si>
  <si>
    <t>HIGH</t>
  </si>
  <si>
    <t>Often absent from official cartography though present in rolls/memory.</t>
  </si>
  <si>
    <t>Plaza / park / open space</t>
  </si>
  <si>
    <t>ICC town plans (ARC-02)</t>
  </si>
  <si>
    <t>Sometimes mapped, often unnamed.</t>
  </si>
  <si>
    <t>Church / chapel</t>
  </si>
  <si>
    <t>Community / mission records (ARC-05); Museo (ARC-04)</t>
  </si>
  <si>
    <t>West Indian chapels under-documented officially.</t>
  </si>
  <si>
    <t>ICC maps (ARC-02, expected); community (ARC-05)</t>
  </si>
  <si>
    <t>Afro-Caribbean burial grounds rarely on official maps.</t>
  </si>
  <si>
    <t>Canal Record (ARC-03); ICC (ARC-02)</t>
  </si>
  <si>
    <t>Documented, esp. gold-roll schools.</t>
  </si>
  <si>
    <t>Police / jail</t>
  </si>
  <si>
    <t>Variable; check both.</t>
  </si>
  <si>
    <t>Administrative / ICC office</t>
  </si>
  <si>
    <t>ICC maps + records (ARC-02 / ARC-01)</t>
  </si>
  <si>
    <t>Well documented.</t>
  </si>
  <si>
    <t>Railway station</t>
  </si>
  <si>
    <t>ICC maps (ARC-02); Panama RR records</t>
  </si>
  <si>
    <t>Usually mapped (infrastructure).</t>
  </si>
  <si>
    <t>Dock / pier / landing</t>
  </si>
  <si>
    <t>ICC maps (ARC-02)</t>
  </si>
  <si>
    <t>Mapped where it served the works.</t>
  </si>
  <si>
    <t>Canal Record (ARC-03); community (ARC-05)</t>
  </si>
  <si>
    <t>Informal markets under-documented.</t>
  </si>
  <si>
    <t>Water / utility works</t>
  </si>
  <si>
    <t>ICC engineering records (ARC-01 / ARC-02)</t>
  </si>
  <si>
    <t>Engineering-documented.</t>
  </si>
  <si>
    <t>Street grid / road</t>
  </si>
  <si>
    <t>Per-place absence status (auto). Present-day/extant features are flagged separately - not archival silences.</t>
  </si>
  <si>
    <t>positive_traces</t>
  </si>
  <si>
    <t>negative (searched-absent)</t>
  </si>
  <si>
    <t>absence_status</t>
  </si>
  <si>
    <t>Extant = a present-day feature (erasure_type Persists); it is not an archival silence. All other statuses are evidence-derived.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</si>
</sst>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4"/>
      <color rgb="FF1F3864"/>
      <name val="Arial"/>
      <family val="2"/>
    </font>
    <font>
      <sz val="10"/>
      <color rgb="FF000000"/>
      <name val="Arial"/>
      <family val="2"/>
    </font>
    <font>
      <b/>
      <sz val="10"/>
      <name val="Arial"/>
      <family val="2"/>
    </font>
    <font>
      <sz val="10"/>
      <name val="Arial"/>
      <family val="2"/>
    </font>
    <font>
      <b/>
      <sz val="11"/>
      <color rgb="FF000000"/>
      <name val="Arial"/>
      <family val="2"/>
    </font>
    <font>
      <b/>
      <sz val="10"/>
      <color rgb="FFFFFFFF"/>
      <name val="Arial"/>
      <family val="2"/>
    </font>
    <font>
      <i/>
      <sz val="9"/>
      <color rgb="FF548235"/>
      <name val="Arial"/>
      <family val="2"/>
    </font>
    <font>
      <b/>
      <sz val="11"/>
      <name val="Arial"/>
      <family val="2"/>
    </font>
    <font>
      <i/>
      <sz val="9"/>
      <color rgb="FF806000"/>
      <name val="Arial"/>
      <family val="2"/>
    </font>
    <font>
      <b/>
      <sz val="12"/>
      <name val="Arial"/>
      <family val="2"/>
    </font>
    <font>
      <i/>
      <sz val="9"/>
      <color rgb="FF595959"/>
      <name val="Arial"/>
      <family val="2"/>
    </font>
    <font>
      <sz val="11"/>
      <color theme="1"/>
      <name val="Calibri"/>
      <family val="2"/>
    </font>
  </fonts>
  <fills count="10">
    <fill>
      <patternFill patternType="none"/>
    </fill>
    <fill>
      <patternFill patternType="gray125"/>
    </fill>
    <fill>
      <patternFill patternType="solid">
        <fgColor rgb="FF1F3864"/>
        <bgColor rgb="FF333333"/>
      </patternFill>
    </fill>
    <fill>
      <patternFill patternType="solid">
        <fgColor rgb="FFE2EFDA"/>
        <bgColor rgb="FFD9E1F2"/>
      </patternFill>
    </fill>
    <fill>
      <patternFill patternType="solid">
        <fgColor rgb="FFFFF2CC"/>
        <bgColor rgb="FFFCE4D6"/>
      </patternFill>
    </fill>
    <fill>
      <patternFill patternType="solid">
        <fgColor rgb="FFD9E1F2"/>
        <bgColor rgb="FFE2EFDA"/>
      </patternFill>
    </fill>
    <fill>
      <patternFill patternType="solid">
        <fgColor rgb="FFFCE4D6"/>
        <bgColor rgb="FFFFF2CC"/>
      </patternFill>
    </fill>
    <fill>
      <patternFill patternType="solid">
        <fgColor rgb="FFFFE7A9"/>
        <bgColor indexed="64"/>
      </patternFill>
    </fill>
    <fill>
      <patternFill patternType="solid">
        <fgColor rgb="FFFFE7A9"/>
        <bgColor rgb="FFFCE4D6"/>
      </patternFill>
    </fill>
    <fill>
      <patternFill patternType="solid">
        <fgColor rgb="FF002060"/>
        <bgColor rgb="FF333333"/>
      </patternFill>
    </fill>
  </fills>
  <borders count="1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45">
    <xf numFmtId="0" fontId="0" fillId="0" borderId="0" xfId="0"/>
    <xf numFmtId="0" fontId="3" fillId="0" borderId="0" xfId="0" applyFont="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1" xfId="0" applyFont="1" applyFill="1" applyBorder="1"/>
    <xf numFmtId="0" fontId="4" fillId="0" borderId="1" xfId="0" applyFont="1" applyBorder="1" applyAlignment="1">
      <alignment vertical="top" wrapText="1"/>
    </xf>
    <xf numFmtId="0" fontId="8" fillId="5" borderId="1" xfId="0" applyFont="1" applyFill="1" applyBorder="1" applyAlignment="1">
      <alignment horizontal="center" vertical="center" wrapText="1"/>
    </xf>
    <xf numFmtId="0" fontId="3" fillId="5" borderId="1" xfId="0" applyFont="1" applyFill="1" applyBorder="1" applyAlignment="1">
      <alignment vertical="top" wrapText="1"/>
    </xf>
    <xf numFmtId="0" fontId="4"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5" borderId="1" xfId="0" applyFont="1" applyFill="1" applyBorder="1" applyAlignment="1">
      <alignment vertical="top" wrapText="1"/>
    </xf>
    <xf numFmtId="0" fontId="7" fillId="3" borderId="1" xfId="0" applyFont="1" applyFill="1" applyBorder="1" applyAlignment="1">
      <alignment vertical="top" wrapText="1"/>
    </xf>
    <xf numFmtId="0" fontId="4" fillId="6" borderId="1" xfId="0" applyFont="1" applyFill="1" applyBorder="1" applyAlignment="1">
      <alignment vertical="top" wrapText="1"/>
    </xf>
    <xf numFmtId="0" fontId="7" fillId="3" borderId="12" xfId="0" applyFont="1" applyFill="1" applyBorder="1" applyAlignment="1">
      <alignment horizontal="center" vertical="center" wrapText="1"/>
    </xf>
    <xf numFmtId="0" fontId="12" fillId="7" borderId="11" xfId="0" applyFont="1" applyFill="1" applyBorder="1"/>
    <xf numFmtId="0" fontId="4" fillId="8" borderId="11" xfId="0" applyFont="1" applyFill="1" applyBorder="1" applyAlignment="1">
      <alignment horizontal="center" vertical="center" wrapText="1"/>
    </xf>
    <xf numFmtId="0" fontId="0" fillId="7" borderId="11" xfId="0" applyFill="1" applyBorder="1"/>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2" xfId="0" applyFont="1" applyFill="1" applyBorder="1" applyAlignment="1">
      <alignment horizontal="center" vertical="center" wrapText="1"/>
    </xf>
    <xf numFmtId="17" fontId="0" fillId="0" borderId="0" xfId="0" applyNumberFormat="1"/>
    <xf numFmtId="0" fontId="0" fillId="0" borderId="8" xfId="0" applyBorder="1"/>
    <xf numFmtId="0" fontId="0" fillId="0" borderId="9" xfId="0" applyBorder="1"/>
    <xf numFmtId="0" fontId="0" fillId="0" borderId="10" xfId="0" applyBorder="1"/>
    <xf numFmtId="0" fontId="3" fillId="0" borderId="13" xfId="0" applyFont="1" applyBorder="1" applyAlignment="1">
      <alignment vertical="top" wrapText="1"/>
    </xf>
    <xf numFmtId="0" fontId="0" fillId="0" borderId="14" xfId="0" applyBorder="1"/>
    <xf numFmtId="0" fontId="0" fillId="0" borderId="13" xfId="0" applyBorder="1"/>
    <xf numFmtId="0" fontId="9" fillId="4" borderId="1" xfId="0" applyFont="1" applyFill="1" applyBorder="1" applyAlignment="1">
      <alignment vertical="top" wrapText="1"/>
    </xf>
    <xf numFmtId="0" fontId="0" fillId="0" borderId="2" xfId="0" applyBorder="1"/>
    <xf numFmtId="0" fontId="0" fillId="0" borderId="3" xfId="0" applyBorder="1"/>
    <xf numFmtId="0" fontId="0" fillId="0" borderId="6" xfId="0" applyBorder="1"/>
    <xf numFmtId="0" fontId="0" fillId="0" borderId="0" xfId="0"/>
    <xf numFmtId="0" fontId="0" fillId="0" borderId="7" xfId="0" applyBorder="1"/>
    <xf numFmtId="0" fontId="0" fillId="0" borderId="8" xfId="0" applyBorder="1"/>
    <xf numFmtId="0" fontId="0" fillId="0" borderId="9" xfId="0" applyBorder="1"/>
    <xf numFmtId="0" fontId="0" fillId="0" borderId="10" xfId="0" applyBorder="1"/>
    <xf numFmtId="0" fontId="8" fillId="0" borderId="1" xfId="0" applyFont="1" applyBorder="1" applyAlignment="1">
      <alignment vertical="top" wrapText="1"/>
    </xf>
    <xf numFmtId="0" fontId="0" fillId="0" borderId="4" xfId="0" applyBorder="1"/>
    <xf numFmtId="0" fontId="0" fillId="0" borderId="5" xfId="0" applyBorder="1"/>
    <xf numFmtId="0" fontId="10" fillId="0" borderId="1" xfId="0" applyFont="1" applyBorder="1" applyAlignment="1">
      <alignment vertical="top" wrapText="1"/>
    </xf>
    <xf numFmtId="0" fontId="11"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6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ED7D31"/>
      <rgbColor rgb="FF595959"/>
      <rgbColor rgb="FF969696"/>
      <rgbColor rgb="FF1F3864"/>
      <rgbColor rgb="FF548235"/>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zoomScaleNormal="100" workbookViewId="0"/>
  </sheetViews>
  <sheetFormatPr baseColWidth="10" defaultColWidth="8.6640625" defaultRowHeight="15" x14ac:dyDescent="0.2"/>
  <cols>
    <col min="1" max="1" width="114" customWidth="1"/>
  </cols>
  <sheetData>
    <row r="1" spans="1:1" ht="32.25" customHeight="1" x14ac:dyDescent="0.2">
      <c r="A1" s="2" t="s">
        <v>0</v>
      </c>
    </row>
    <row r="2" spans="1:1" ht="15" customHeight="1" x14ac:dyDescent="0.2">
      <c r="A2" s="3"/>
    </row>
    <row r="3" spans="1:1" ht="15" customHeight="1" x14ac:dyDescent="0.2">
      <c r="A3" s="1" t="s">
        <v>1</v>
      </c>
    </row>
    <row r="4" spans="1:1" ht="15" customHeight="1" x14ac:dyDescent="0.2">
      <c r="A4" s="4" t="s">
        <v>2</v>
      </c>
    </row>
    <row r="5" spans="1:1" ht="15" customHeight="1" x14ac:dyDescent="0.2">
      <c r="A5" s="4" t="s">
        <v>3</v>
      </c>
    </row>
    <row r="6" spans="1:1" ht="15" customHeight="1" x14ac:dyDescent="0.2">
      <c r="A6" s="4" t="s">
        <v>4</v>
      </c>
    </row>
    <row r="7" spans="1:1" ht="15" customHeight="1" x14ac:dyDescent="0.2">
      <c r="A7" s="3" t="s">
        <v>5</v>
      </c>
    </row>
    <row r="8" spans="1:1" ht="15" customHeight="1" x14ac:dyDescent="0.2">
      <c r="A8" s="3"/>
    </row>
    <row r="9" spans="1:1" ht="15" customHeight="1" x14ac:dyDescent="0.2">
      <c r="A9" s="5" t="s">
        <v>6</v>
      </c>
    </row>
    <row r="10" spans="1:1" ht="15" customHeight="1" x14ac:dyDescent="0.2">
      <c r="A10" s="3" t="s">
        <v>7</v>
      </c>
    </row>
    <row r="11" spans="1:1" ht="15" customHeight="1" x14ac:dyDescent="0.2">
      <c r="A11" s="3" t="s">
        <v>8</v>
      </c>
    </row>
    <row r="12" spans="1:1" ht="15" customHeight="1" x14ac:dyDescent="0.2">
      <c r="A12" s="3" t="s">
        <v>9</v>
      </c>
    </row>
    <row r="13" spans="1:1" ht="15" customHeight="1" x14ac:dyDescent="0.2">
      <c r="A13" s="3"/>
    </row>
    <row r="14" spans="1:1" ht="15" customHeight="1" x14ac:dyDescent="0.2">
      <c r="A14" s="5" t="s">
        <v>10</v>
      </c>
    </row>
    <row r="15" spans="1:1" ht="15" customHeight="1" x14ac:dyDescent="0.2">
      <c r="A15" s="3" t="s">
        <v>11</v>
      </c>
    </row>
    <row r="16" spans="1:1" ht="15" customHeight="1" x14ac:dyDescent="0.2">
      <c r="A16" s="3" t="s">
        <v>12</v>
      </c>
    </row>
    <row r="17" spans="1:1" ht="15" customHeight="1" x14ac:dyDescent="0.2">
      <c r="A17" s="3"/>
    </row>
    <row r="18" spans="1:1" ht="15" customHeight="1" x14ac:dyDescent="0.2">
      <c r="A18" s="5" t="s">
        <v>13</v>
      </c>
    </row>
    <row r="19" spans="1:1" ht="15" customHeight="1" x14ac:dyDescent="0.2">
      <c r="A19" s="3" t="s">
        <v>14</v>
      </c>
    </row>
    <row r="20" spans="1:1" ht="15" customHeight="1" x14ac:dyDescent="0.2">
      <c r="A20" s="3" t="s">
        <v>15</v>
      </c>
    </row>
    <row r="21" spans="1:1" ht="15" customHeight="1" x14ac:dyDescent="0.2">
      <c r="A21" s="3"/>
    </row>
    <row r="22" spans="1:1" ht="15" customHeight="1" x14ac:dyDescent="0.2">
      <c r="A22" s="3"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G222"/>
  <sheetViews>
    <sheetView zoomScaleNormal="100" workbookViewId="0">
      <pane xSplit="3" ySplit="2" topLeftCell="D3" activePane="bottomRight" state="frozen"/>
      <selection pane="topRight" activeCell="D1" sqref="D1"/>
      <selection pane="bottomLeft" activeCell="A3" sqref="A3"/>
      <selection pane="bottomRight" activeCell="E12" sqref="E12"/>
    </sheetView>
  </sheetViews>
  <sheetFormatPr baseColWidth="10" defaultColWidth="8.6640625" defaultRowHeight="15" x14ac:dyDescent="0.2"/>
  <cols>
    <col min="1" max="1" width="12" customWidth="1"/>
    <col min="2" max="2" width="22" customWidth="1"/>
    <col min="3" max="3" width="16" customWidth="1"/>
    <col min="4" max="5" width="11" style="20" customWidth="1"/>
    <col min="6" max="6" width="22" style="20" customWidth="1"/>
    <col min="7" max="7" width="13" style="20" customWidth="1"/>
  </cols>
  <sheetData>
    <row r="1" spans="1:7" ht="27.75" customHeight="1" x14ac:dyDescent="0.2">
      <c r="A1" s="28" t="s">
        <v>17</v>
      </c>
      <c r="B1" s="29"/>
      <c r="C1" s="29"/>
      <c r="D1" s="29"/>
      <c r="E1" s="29"/>
      <c r="F1" s="29"/>
      <c r="G1" s="30"/>
    </row>
    <row r="2" spans="1:7" ht="15" customHeight="1" x14ac:dyDescent="0.2">
      <c r="A2" s="22" t="s">
        <v>18</v>
      </c>
      <c r="B2" s="22" t="s">
        <v>19</v>
      </c>
      <c r="C2" s="23" t="s">
        <v>20</v>
      </c>
      <c r="D2" s="21" t="s">
        <v>21</v>
      </c>
      <c r="E2" s="21" t="s">
        <v>22</v>
      </c>
      <c r="F2" s="21" t="s">
        <v>23</v>
      </c>
      <c r="G2" s="21" t="s">
        <v>24</v>
      </c>
    </row>
    <row r="3" spans="1:7" ht="15" customHeight="1" x14ac:dyDescent="0.2">
      <c r="A3" s="7" t="str">
        <f>IF(places!$A2="","",places!$A2)</f>
        <v>CZ-001</v>
      </c>
      <c r="B3" s="8" t="str">
        <f>IF(places!$A2="","",places!$B2)</f>
        <v>Matachin</v>
      </c>
      <c r="C3" s="17" t="str">
        <f>IF(places!$A2="","",places!$Y2)</f>
        <v>Town</v>
      </c>
      <c r="D3" s="18">
        <v>9.10975</v>
      </c>
      <c r="E3" s="18">
        <v>-79.706990000000005</v>
      </c>
      <c r="F3" s="18" t="s">
        <v>25</v>
      </c>
      <c r="G3" s="18" t="s">
        <v>26</v>
      </c>
    </row>
    <row r="4" spans="1:7" ht="15" customHeight="1" x14ac:dyDescent="0.2">
      <c r="A4" s="7" t="str">
        <f>IF(places!$A3="","",places!$A3)</f>
        <v>CZ-002</v>
      </c>
      <c r="B4" s="8" t="str">
        <f>IF(places!$A3="","",places!$B3)</f>
        <v>Barbacoas</v>
      </c>
      <c r="C4" s="17" t="str">
        <f>IF(places!$A3="","",places!$Y3)</f>
        <v>Town</v>
      </c>
      <c r="D4" s="18">
        <v>9.1093799999999998</v>
      </c>
      <c r="E4" s="18">
        <v>-79.767650000000003</v>
      </c>
      <c r="F4" s="18" t="s">
        <v>27</v>
      </c>
      <c r="G4" s="18" t="s">
        <v>28</v>
      </c>
    </row>
    <row r="5" spans="1:7" ht="15" customHeight="1" x14ac:dyDescent="0.2">
      <c r="A5" s="7" t="str">
        <f>IF(places!$A4="","",places!$A4)</f>
        <v>CZ-003</v>
      </c>
      <c r="B5" s="8" t="str">
        <f>IF(places!$A4="","",places!$B4)</f>
        <v>Cruces</v>
      </c>
      <c r="C5" s="17" t="str">
        <f>IF(places!$A4="","",places!$Y4)</f>
        <v>Town</v>
      </c>
      <c r="D5" s="18">
        <v>9.1240000000000006</v>
      </c>
      <c r="E5" s="18">
        <v>-79.687650000000005</v>
      </c>
      <c r="F5" s="18" t="s">
        <v>27</v>
      </c>
      <c r="G5" s="18" t="s">
        <v>29</v>
      </c>
    </row>
    <row r="6" spans="1:7" ht="15" customHeight="1" x14ac:dyDescent="0.2">
      <c r="A6" s="7" t="str">
        <f>IF(places!$A5="","",places!$A5)</f>
        <v>CZ-004</v>
      </c>
      <c r="B6" s="8" t="str">
        <f>IF(places!$A5="","",places!$B5)</f>
        <v>Ahorca Lagarto</v>
      </c>
      <c r="C6" s="17" t="str">
        <f>IF(places!$A5="","",places!$Y5)</f>
        <v>Town</v>
      </c>
      <c r="D6" s="18">
        <v>9.2129100000000008</v>
      </c>
      <c r="E6" s="18">
        <v>-79.876000000000005</v>
      </c>
      <c r="F6" s="18" t="s">
        <v>30</v>
      </c>
      <c r="G6" s="18" t="s">
        <v>29</v>
      </c>
    </row>
    <row r="7" spans="1:7" ht="15" customHeight="1" x14ac:dyDescent="0.2">
      <c r="A7" s="7" t="str">
        <f>IF(places!$A6="","",places!$A6)</f>
        <v>CZ-005</v>
      </c>
      <c r="B7" s="8" t="str">
        <f>IF(places!$A6="","",places!$B6)</f>
        <v>Caimito</v>
      </c>
      <c r="C7" s="17" t="str">
        <f>IF(places!$A6="","",places!$Y6)</f>
        <v>Town</v>
      </c>
      <c r="D7" s="18">
        <v>9.1306700000000003</v>
      </c>
      <c r="E7" s="18">
        <v>-79.779839999999993</v>
      </c>
      <c r="F7" s="18" t="s">
        <v>25</v>
      </c>
      <c r="G7" s="18" t="s">
        <v>31</v>
      </c>
    </row>
    <row r="8" spans="1:7" ht="15" customHeight="1" x14ac:dyDescent="0.2">
      <c r="A8" s="7" t="str">
        <f>IF(places!$A7="","",places!$A7)</f>
        <v>CZ-006</v>
      </c>
      <c r="B8" s="8" t="str">
        <f>IF(places!$A7="","",places!$B7)</f>
        <v>Santa Cruz</v>
      </c>
      <c r="C8" s="17" t="str">
        <f>IF(places!$A7="","",places!$Y7)</f>
        <v>Town</v>
      </c>
      <c r="D8" s="18">
        <v>9.1168700000000005</v>
      </c>
      <c r="E8" s="18">
        <v>-79.697699999999998</v>
      </c>
      <c r="F8" s="18" t="s">
        <v>25</v>
      </c>
      <c r="G8" s="18" t="s">
        <v>32</v>
      </c>
    </row>
    <row r="9" spans="1:7" ht="15" customHeight="1" x14ac:dyDescent="0.2">
      <c r="A9" s="7" t="str">
        <f>IF(places!$A8="","",places!$A8)</f>
        <v>CZ-007</v>
      </c>
      <c r="B9" s="8" t="str">
        <f>IF(places!$A8="","",places!$B8)</f>
        <v>Bailamonos</v>
      </c>
      <c r="C9" s="17" t="str">
        <f>IF(places!$A8="","",places!$Y8)</f>
        <v>Town</v>
      </c>
      <c r="D9" s="18">
        <v>9.11008</v>
      </c>
      <c r="E9" s="18">
        <v>-79.764859999999999</v>
      </c>
      <c r="F9" s="18" t="s">
        <v>33</v>
      </c>
      <c r="G9" s="18" t="s">
        <v>34</v>
      </c>
    </row>
    <row r="10" spans="1:7" ht="15" customHeight="1" x14ac:dyDescent="0.2">
      <c r="A10" s="7" t="str">
        <f>IF(places!$A9="","",places!$A9)</f>
        <v>CZ-008</v>
      </c>
      <c r="B10" s="8" t="str">
        <f>IF(places!$A9="","",places!$B9)</f>
        <v>Cruz de Juan Gallego</v>
      </c>
      <c r="C10" s="17" t="str">
        <f>IF(places!$A9="","",places!$Y9)</f>
        <v>Town</v>
      </c>
      <c r="D10" s="18">
        <v>9.20472</v>
      </c>
      <c r="E10" s="18">
        <v>-79.867459999999994</v>
      </c>
      <c r="F10" s="18" t="s">
        <v>33</v>
      </c>
      <c r="G10" s="18" t="s">
        <v>35</v>
      </c>
    </row>
    <row r="11" spans="1:7" ht="15" customHeight="1" x14ac:dyDescent="0.2">
      <c r="A11" s="7" t="str">
        <f>IF(places!$A10="","",places!$A10)</f>
        <v>CZ-009</v>
      </c>
      <c r="B11" s="8" t="str">
        <f>IF(places!$A10="","",places!$B10)</f>
        <v>Old Gatun</v>
      </c>
      <c r="C11" s="17" t="str">
        <f>IF(places!$A10="","",places!$Y10)</f>
        <v>Town</v>
      </c>
      <c r="D11" s="18">
        <v>9.2687100000000004</v>
      </c>
      <c r="E11" s="18">
        <v>-79.929060000000007</v>
      </c>
      <c r="F11" s="18" t="s">
        <v>30</v>
      </c>
      <c r="G11" s="18" t="s">
        <v>36</v>
      </c>
    </row>
    <row r="12" spans="1:7" ht="15" customHeight="1" x14ac:dyDescent="0.2">
      <c r="A12" s="7" t="str">
        <f>IF(places!$A11="","",places!$A11)</f>
        <v>CZ-010</v>
      </c>
      <c r="B12" s="8" t="str">
        <f>IF(places!$A11="","",places!$B11)</f>
        <v>New Gatun</v>
      </c>
      <c r="C12" s="17" t="str">
        <f>IF(places!$A11="","",places!$Y11)</f>
        <v>Town</v>
      </c>
      <c r="D12" s="18">
        <v>9.2747100000000007</v>
      </c>
      <c r="E12" s="18">
        <v>-79.916210000000007</v>
      </c>
      <c r="F12" s="18" t="s">
        <v>25</v>
      </c>
      <c r="G12" s="18" t="s">
        <v>37</v>
      </c>
    </row>
    <row r="13" spans="1:7" ht="15" customHeight="1" x14ac:dyDescent="0.2">
      <c r="A13" s="7" t="str">
        <f>IF(places!$A12="","",places!$A12)</f>
        <v>CZ-011</v>
      </c>
      <c r="B13" s="8" t="str">
        <f>IF(places!$A12="","",places!$B12)</f>
        <v>Empire</v>
      </c>
      <c r="C13" s="17" t="str">
        <f>IF(places!$A12="","",places!$Y12)</f>
        <v>Town</v>
      </c>
      <c r="D13" s="18">
        <v>9.0618250000000007</v>
      </c>
      <c r="E13" s="18">
        <v>-79.671171000000001</v>
      </c>
      <c r="F13" s="18" t="s">
        <v>38</v>
      </c>
      <c r="G13" s="18" t="s">
        <v>39</v>
      </c>
    </row>
    <row r="14" spans="1:7" ht="15" customHeight="1" x14ac:dyDescent="0.2">
      <c r="A14" s="7" t="str">
        <f>IF(places!$A13="","",places!$A13)</f>
        <v>CZ-012</v>
      </c>
      <c r="B14" s="8" t="str">
        <f>IF(places!$A13="","",places!$B13)</f>
        <v>Gorgona</v>
      </c>
      <c r="C14" s="17" t="str">
        <f>IF(places!$A13="","",places!$Y13)</f>
        <v>Town</v>
      </c>
      <c r="D14" s="18">
        <v>9.1140100000000004</v>
      </c>
      <c r="E14" s="18">
        <v>-79.724149999999995</v>
      </c>
      <c r="F14" s="18" t="s">
        <v>40</v>
      </c>
      <c r="G14" s="18" t="s">
        <v>41</v>
      </c>
    </row>
    <row r="15" spans="1:7" ht="15" customHeight="1" x14ac:dyDescent="0.2">
      <c r="A15" s="7" t="str">
        <f>IF(places!$A14="","",places!$A14)</f>
        <v>CZ-013</v>
      </c>
      <c r="B15" s="8" t="str">
        <f>IF(places!$A14="","",places!$B14)</f>
        <v>Culebra</v>
      </c>
      <c r="C15" s="17" t="str">
        <f>IF(places!$A14="","",places!$Y14)</f>
        <v>Town</v>
      </c>
      <c r="D15" s="18">
        <v>9.0408399999999993</v>
      </c>
      <c r="E15" s="18">
        <v>-79.648539999999997</v>
      </c>
      <c r="F15" s="18" t="s">
        <v>42</v>
      </c>
      <c r="G15" s="18" t="s">
        <v>43</v>
      </c>
    </row>
    <row r="16" spans="1:7" ht="15" customHeight="1" x14ac:dyDescent="0.2">
      <c r="A16" s="7" t="str">
        <f>IF(places!$A15="","",places!$A15)</f>
        <v>CZ-014</v>
      </c>
      <c r="B16" s="8" t="str">
        <f>IF(places!$A15="","",places!$B15)</f>
        <v>Bas Obispo</v>
      </c>
      <c r="C16" s="17" t="str">
        <f>IF(places!$A15="","",places!$Y15)</f>
        <v>Town</v>
      </c>
      <c r="D16" s="18">
        <v>9.1052099999999996</v>
      </c>
      <c r="E16" s="18">
        <v>-79.688490000000002</v>
      </c>
      <c r="F16" s="18" t="s">
        <v>25</v>
      </c>
      <c r="G16" s="18" t="s">
        <v>44</v>
      </c>
    </row>
    <row r="17" spans="1:7" ht="15" customHeight="1" x14ac:dyDescent="0.2">
      <c r="A17" s="7" t="str">
        <f>IF(places!$A16="","",places!$A16)</f>
        <v>CZ-015</v>
      </c>
      <c r="B17" s="8" t="str">
        <f>IF(places!$A16="","",places!$B16)</f>
        <v>Las Cascadas</v>
      </c>
      <c r="C17" s="17" t="str">
        <f>IF(places!$A16="","",places!$Y16)</f>
        <v>Town</v>
      </c>
      <c r="D17" s="18">
        <v>9.0868699999999993</v>
      </c>
      <c r="E17" s="18">
        <v>-79.684650000000005</v>
      </c>
      <c r="F17" s="18" t="s">
        <v>25</v>
      </c>
      <c r="G17" s="18" t="s">
        <v>26</v>
      </c>
    </row>
    <row r="18" spans="1:7" ht="15" customHeight="1" x14ac:dyDescent="0.2">
      <c r="A18" s="7" t="str">
        <f>IF(places!$A17="","",places!$A17)</f>
        <v>CZ-016</v>
      </c>
      <c r="B18" s="8" t="str">
        <f>IF(places!$A17="","",places!$B17)</f>
        <v>Bohio</v>
      </c>
      <c r="C18" s="17" t="str">
        <f>IF(places!$A17="","",places!$Y17)</f>
        <v>Town</v>
      </c>
      <c r="D18" s="18">
        <v>9.1898</v>
      </c>
      <c r="E18" s="18">
        <v>-79.855980000000002</v>
      </c>
      <c r="F18" s="18" t="s">
        <v>30</v>
      </c>
      <c r="G18" s="18" t="s">
        <v>36</v>
      </c>
    </row>
    <row r="19" spans="1:7" ht="15" customHeight="1" x14ac:dyDescent="0.2">
      <c r="A19" s="7" t="str">
        <f>IF(places!$A18="","",places!$A18)</f>
        <v>CZ-101</v>
      </c>
      <c r="B19" s="8" t="str">
        <f>IF(places!$A18="","",places!$B18)</f>
        <v>Empire Hospital</v>
      </c>
      <c r="C19" s="17" t="str">
        <f>IF(places!$A18="","",places!$Y18)</f>
        <v>Site/Institution</v>
      </c>
      <c r="D19" s="18">
        <v>9.0715000000000003</v>
      </c>
      <c r="E19" s="18">
        <v>-79.681799999999996</v>
      </c>
      <c r="F19" s="18"/>
      <c r="G19" s="18" t="s">
        <v>45</v>
      </c>
    </row>
    <row r="20" spans="1:7" ht="15" customHeight="1" x14ac:dyDescent="0.2">
      <c r="A20" s="7" t="str">
        <f>IF(places!$A19="","",places!$A19)</f>
        <v>CZ-102</v>
      </c>
      <c r="B20" s="8" t="str">
        <f>IF(places!$A19="","",places!$B19)</f>
        <v>Empire Commissary</v>
      </c>
      <c r="C20" s="17" t="str">
        <f>IF(places!$A19="","",places!$Y19)</f>
        <v>Site/Institution</v>
      </c>
      <c r="D20" s="18">
        <v>9.0625579999999992</v>
      </c>
      <c r="E20" s="18">
        <v>-79.671553000000003</v>
      </c>
      <c r="F20" s="18" t="s">
        <v>46</v>
      </c>
      <c r="G20" s="18" t="s">
        <v>47</v>
      </c>
    </row>
    <row r="21" spans="1:7" ht="15" customHeight="1" x14ac:dyDescent="0.2">
      <c r="A21" s="7" t="str">
        <f>IF(places!$A20="","",places!$A20)</f>
        <v>CZ-103</v>
      </c>
      <c r="B21" s="8" t="str">
        <f>IF(places!$A20="","",places!$B20)</f>
        <v>Empire Clubhouse &amp; Cinema</v>
      </c>
      <c r="C21" s="17" t="str">
        <f>IF(places!$A20="","",places!$Y20)</f>
        <v>Building</v>
      </c>
      <c r="D21" s="18">
        <v>9.0718999999999994</v>
      </c>
      <c r="E21" s="18">
        <v>-79.680899999999994</v>
      </c>
      <c r="F21" s="18"/>
      <c r="G21" s="18" t="s">
        <v>45</v>
      </c>
    </row>
    <row r="22" spans="1:7" ht="15" customHeight="1" x14ac:dyDescent="0.2">
      <c r="A22" s="7" t="str">
        <f>IF(places!$A21="","",places!$A21)</f>
        <v>CZ-104</v>
      </c>
      <c r="B22" s="8" t="str">
        <f>IF(places!$A21="","",places!$B21)</f>
        <v>Empire Silver Quarters</v>
      </c>
      <c r="C22" s="17" t="str">
        <f>IF(places!$A21="","",places!$Y21)</f>
        <v>Neighborhood</v>
      </c>
      <c r="D22" s="18">
        <v>9.0701999999999998</v>
      </c>
      <c r="E22" s="18">
        <v>-79.682199999999995</v>
      </c>
      <c r="F22" s="18"/>
      <c r="G22" s="18" t="s">
        <v>45</v>
      </c>
    </row>
    <row r="23" spans="1:7" ht="15" customHeight="1" x14ac:dyDescent="0.2">
      <c r="A23" s="7" t="str">
        <f>IF(places!$A22="","",places!$A22)</f>
        <v>CZ-105</v>
      </c>
      <c r="B23" s="8" t="str">
        <f>IF(places!$A22="","",places!$B22)</f>
        <v>Empire Gold Quarters</v>
      </c>
      <c r="C23" s="17" t="str">
        <f>IF(places!$A22="","",places!$Y22)</f>
        <v>Neighborhood</v>
      </c>
      <c r="D23" s="18">
        <v>9.0723000000000003</v>
      </c>
      <c r="E23" s="18">
        <v>-79.680000000000007</v>
      </c>
      <c r="F23" s="18"/>
      <c r="G23" s="18" t="s">
        <v>45</v>
      </c>
    </row>
    <row r="24" spans="1:7" ht="15" customHeight="1" x14ac:dyDescent="0.2">
      <c r="A24" s="7" t="str">
        <f>IF(places!$A23="","",places!$A23)</f>
        <v>CZ-106</v>
      </c>
      <c r="B24" s="8" t="str">
        <f>IF(places!$A23="","",places!$B23)</f>
        <v>Empire Plaza</v>
      </c>
      <c r="C24" s="17" t="str">
        <f>IF(places!$A23="","",places!$Y23)</f>
        <v>Site/Institution</v>
      </c>
      <c r="D24" s="18">
        <v>9.0605519999999995</v>
      </c>
      <c r="E24" s="18">
        <v>-79.672321999999994</v>
      </c>
      <c r="F24" s="18" t="s">
        <v>46</v>
      </c>
      <c r="G24" s="18" t="s">
        <v>47</v>
      </c>
    </row>
    <row r="25" spans="1:7" ht="15" customHeight="1" x14ac:dyDescent="0.2">
      <c r="A25" s="7" t="str">
        <f>IF(places!$A24="","",places!$A24)</f>
        <v>CZ-201</v>
      </c>
      <c r="B25" s="8" t="str">
        <f>IF(places!$A24="","",places!$B24)</f>
        <v>Nuevo Emperador (present-day)</v>
      </c>
      <c r="C25" s="17" t="str">
        <f>IF(places!$A24="","",places!$Y24)</f>
        <v>Town</v>
      </c>
      <c r="D25" s="18">
        <v>9.07</v>
      </c>
      <c r="E25" s="18">
        <v>-79.679000000000002</v>
      </c>
      <c r="F25" s="18"/>
      <c r="G25" s="18" t="s">
        <v>45</v>
      </c>
    </row>
    <row r="26" spans="1:7" ht="15" customHeight="1" x14ac:dyDescent="0.2">
      <c r="A26" s="7" t="str">
        <f>IF(places!$A25="","",places!$A25)</f>
        <v>CZ-202</v>
      </c>
      <c r="B26" s="8" t="str">
        <f>IF(places!$A25="","",places!$B25)</f>
        <v>Modern roadway segment</v>
      </c>
      <c r="C26" s="17" t="str">
        <f>IF(places!$A25="","",places!$Y25)</f>
        <v>Infrastructure</v>
      </c>
      <c r="D26" s="18">
        <v>9.0694999999999997</v>
      </c>
      <c r="E26" s="18">
        <v>-79.677000000000007</v>
      </c>
      <c r="F26" s="18"/>
      <c r="G26" s="18" t="s">
        <v>45</v>
      </c>
    </row>
    <row r="27" spans="1:7" ht="15" customHeight="1" x14ac:dyDescent="0.2">
      <c r="A27" s="7" t="str">
        <f>IF(places!$A26="","",places!$A26)</f>
        <v>CZ-107</v>
      </c>
      <c r="B27" s="8" t="str">
        <f>IF(places!$A26="","",places!$B26)</f>
        <v>Empire Church / Chapel</v>
      </c>
      <c r="C27" s="17" t="str">
        <f>IF(places!$A26="","",places!$Y26)</f>
        <v>Site/Institution</v>
      </c>
      <c r="D27" s="18">
        <v>9.0628299999999999</v>
      </c>
      <c r="E27" s="18">
        <v>-79.670233999999994</v>
      </c>
      <c r="F27" s="18" t="s">
        <v>46</v>
      </c>
      <c r="G27" s="18" t="s">
        <v>48</v>
      </c>
    </row>
    <row r="28" spans="1:7" ht="15" customHeight="1" x14ac:dyDescent="0.2">
      <c r="A28" s="7" t="str">
        <f>IF(places!$A27="","",places!$A27)</f>
        <v>CZ-108</v>
      </c>
      <c r="B28" s="8" t="str">
        <f>IF(places!$A27="","",places!$B27)</f>
        <v>Empire Cemetery</v>
      </c>
      <c r="C28" s="17" t="str">
        <f>IF(places!$A27="","",places!$Y27)</f>
        <v>Site/Institution</v>
      </c>
      <c r="D28" s="18">
        <v>9.0698000000000008</v>
      </c>
      <c r="E28" s="18">
        <v>-79.683000000000007</v>
      </c>
      <c r="F28" s="18"/>
      <c r="G28" s="18" t="s">
        <v>45</v>
      </c>
    </row>
    <row r="29" spans="1:7" ht="15" customHeight="1" x14ac:dyDescent="0.2">
      <c r="A29" s="7" t="str">
        <f>IF(places!$A28="","",places!$A28)</f>
        <v>CZ-109</v>
      </c>
      <c r="B29" s="8" t="str">
        <f>IF(places!$A28="","",places!$B28)</f>
        <v>Empire School</v>
      </c>
      <c r="C29" s="17" t="str">
        <f>IF(places!$A28="","",places!$Y28)</f>
        <v>Site/Institution</v>
      </c>
      <c r="D29" s="18">
        <v>9.0632859999999997</v>
      </c>
      <c r="E29" s="18">
        <v>-79.674734000000001</v>
      </c>
      <c r="F29" s="18" t="s">
        <v>46</v>
      </c>
      <c r="G29" s="18" t="s">
        <v>47</v>
      </c>
    </row>
    <row r="30" spans="1:7" ht="15" customHeight="1" x14ac:dyDescent="0.2">
      <c r="A30" s="7" t="str">
        <f>IF(places!$A29="","",places!$A29)</f>
        <v>CZ-017</v>
      </c>
      <c r="B30" s="8" t="str">
        <f>IF(places!$A29="","",places!$B29)</f>
        <v>Cristobal</v>
      </c>
      <c r="C30" s="17" t="str">
        <f>IF(places!$A29="","",places!$Y29)</f>
        <v>Town</v>
      </c>
      <c r="D30" s="18">
        <v>9.3558900000000005</v>
      </c>
      <c r="E30" s="18">
        <v>-79.900599999999997</v>
      </c>
      <c r="F30" s="18" t="s">
        <v>25</v>
      </c>
      <c r="G30" s="18" t="s">
        <v>49</v>
      </c>
    </row>
    <row r="31" spans="1:7" ht="15" customHeight="1" x14ac:dyDescent="0.2">
      <c r="A31" s="7" t="str">
        <f>IF(places!$A30="","",places!$A30)</f>
        <v>CZ-018</v>
      </c>
      <c r="B31" s="8" t="str">
        <f>IF(places!$A30="","",places!$B30)</f>
        <v>Ancon</v>
      </c>
      <c r="C31" s="17" t="str">
        <f>IF(places!$A30="","",places!$Y30)</f>
        <v>Town</v>
      </c>
      <c r="D31" s="18">
        <v>8.9594100000000001</v>
      </c>
      <c r="E31" s="18">
        <v>-79.561989999999994</v>
      </c>
      <c r="F31" s="18" t="s">
        <v>50</v>
      </c>
      <c r="G31" s="18" t="s">
        <v>51</v>
      </c>
    </row>
    <row r="32" spans="1:7" ht="15" customHeight="1" x14ac:dyDescent="0.2">
      <c r="A32" s="7" t="str">
        <f>IF(places!$A31="","",places!$A31)</f>
        <v>CZ-019</v>
      </c>
      <c r="B32" s="8" t="str">
        <f>IF(places!$A31="","",places!$B31)</f>
        <v>Rio Grande</v>
      </c>
      <c r="C32" s="17" t="str">
        <f>IF(places!$A31="","",places!$Y31)</f>
        <v>Town</v>
      </c>
      <c r="D32" s="18">
        <v>9.0322300000000002</v>
      </c>
      <c r="E32" s="18">
        <v>-79.662390000000002</v>
      </c>
      <c r="F32" s="18" t="s">
        <v>50</v>
      </c>
      <c r="G32" s="18" t="s">
        <v>52</v>
      </c>
    </row>
    <row r="33" spans="1:7" ht="15" customHeight="1" x14ac:dyDescent="0.2">
      <c r="A33" s="7" t="str">
        <f>IF(places!$A32="","",places!$A32)</f>
        <v>CZ-020</v>
      </c>
      <c r="B33" s="8" t="str">
        <f>IF(places!$A32="","",places!$B32)</f>
        <v>Pedro Miguel</v>
      </c>
      <c r="C33" s="17" t="str">
        <f>IF(places!$A32="","",places!$Y32)</f>
        <v>Town</v>
      </c>
      <c r="D33" s="18">
        <v>9.0237800000000004</v>
      </c>
      <c r="E33" s="18">
        <v>-79.601070000000007</v>
      </c>
      <c r="F33" s="18" t="s">
        <v>50</v>
      </c>
      <c r="G33" s="18" t="s">
        <v>51</v>
      </c>
    </row>
    <row r="34" spans="1:7" ht="15" customHeight="1" x14ac:dyDescent="0.2">
      <c r="A34" s="7" t="str">
        <f>IF(places!$A33="","",places!$A33)</f>
        <v>CZ-021</v>
      </c>
      <c r="B34" s="8" t="str">
        <f>IF(places!$A33="","",places!$B33)</f>
        <v>La Boca</v>
      </c>
      <c r="C34" s="17" t="str">
        <f>IF(places!$A33="","",places!$Y33)</f>
        <v>Town</v>
      </c>
      <c r="D34" s="18">
        <v>8.9477600000000006</v>
      </c>
      <c r="E34" s="18">
        <v>-79.56447</v>
      </c>
      <c r="F34" s="18" t="s">
        <v>25</v>
      </c>
      <c r="G34" s="18" t="s">
        <v>53</v>
      </c>
    </row>
    <row r="35" spans="1:7" ht="15" customHeight="1" x14ac:dyDescent="0.2">
      <c r="A35" s="7" t="str">
        <f>IF(places!$A34="","",places!$A34)</f>
        <v>CZ-022</v>
      </c>
      <c r="B35" s="8" t="str">
        <f>IF(places!$A34="","",places!$B34)</f>
        <v>Corozal</v>
      </c>
      <c r="C35" s="17" t="str">
        <f>IF(places!$A34="","",places!$Y34)</f>
        <v>Town</v>
      </c>
      <c r="D35" s="18">
        <v>8.9795700000000007</v>
      </c>
      <c r="E35" s="18">
        <v>-79.568240000000003</v>
      </c>
      <c r="F35" s="18" t="s">
        <v>25</v>
      </c>
      <c r="G35" s="18" t="s">
        <v>54</v>
      </c>
    </row>
    <row r="36" spans="1:7" ht="15" customHeight="1" x14ac:dyDescent="0.2">
      <c r="A36" s="7" t="str">
        <f>IF(places!$A35="","",places!$A35)</f>
        <v>CZ-023</v>
      </c>
      <c r="B36" s="8" t="str">
        <f>IF(places!$A35="","",places!$B35)</f>
        <v>Frijoles</v>
      </c>
      <c r="C36" s="17" t="str">
        <f>IF(places!$A35="","",places!$Y35)</f>
        <v>Town</v>
      </c>
      <c r="D36" s="18">
        <v>9.1696399999999993</v>
      </c>
      <c r="E36" s="18">
        <v>-79.803370000000001</v>
      </c>
      <c r="F36" s="18" t="s">
        <v>27</v>
      </c>
      <c r="G36" s="18" t="s">
        <v>55</v>
      </c>
    </row>
    <row r="37" spans="1:7" ht="15" customHeight="1" x14ac:dyDescent="0.2">
      <c r="A37" s="7" t="str">
        <f>IF(places!$A36="","",places!$A36)</f>
        <v>CZ-024</v>
      </c>
      <c r="B37" s="8" t="str">
        <f>IF(places!$A36="","",places!$B36)</f>
        <v>Paraiso</v>
      </c>
      <c r="C37" s="17" t="str">
        <f>IF(places!$A36="","",places!$Y36)</f>
        <v>Town</v>
      </c>
      <c r="D37" s="18">
        <v>9.0269700000000004</v>
      </c>
      <c r="E37" s="18">
        <v>-79.624989999999997</v>
      </c>
      <c r="F37" s="18" t="s">
        <v>50</v>
      </c>
      <c r="G37" s="18" t="s">
        <v>52</v>
      </c>
    </row>
    <row r="38" spans="1:7" ht="15" customHeight="1" x14ac:dyDescent="0.2">
      <c r="A38" s="7" t="str">
        <f>IF(places!$A37="","",places!$A37)</f>
        <v>CZ-025</v>
      </c>
      <c r="B38" s="8" t="str">
        <f>IF(places!$A37="","",places!$B37)</f>
        <v>San Pablo</v>
      </c>
      <c r="C38" s="17" t="str">
        <f>IF(places!$A37="","",places!$Y37)</f>
        <v>Town</v>
      </c>
      <c r="D38" s="18">
        <v>9.1186699999999998</v>
      </c>
      <c r="E38" s="18">
        <v>-79.787009999999995</v>
      </c>
      <c r="F38" s="18" t="s">
        <v>27</v>
      </c>
      <c r="G38" s="18" t="s">
        <v>56</v>
      </c>
    </row>
    <row r="39" spans="1:7" ht="15" customHeight="1" x14ac:dyDescent="0.2">
      <c r="A39" s="7" t="str">
        <f>IF(places!$A38="","",places!$A38)</f>
        <v>CZ-026</v>
      </c>
      <c r="B39" s="8" t="str">
        <f>IF(places!$A38="","",places!$B38)</f>
        <v>Tabernilla</v>
      </c>
      <c r="C39" s="17" t="str">
        <f>IF(places!$A38="","",places!$Y38)</f>
        <v>Town</v>
      </c>
      <c r="D39" s="18">
        <v>9.1335099999999994</v>
      </c>
      <c r="E39" s="18">
        <v>-79.818389999999994</v>
      </c>
      <c r="F39" s="18" t="s">
        <v>25</v>
      </c>
      <c r="G39" s="18" t="s">
        <v>57</v>
      </c>
    </row>
    <row r="40" spans="1:7" ht="15" customHeight="1" x14ac:dyDescent="0.2">
      <c r="A40" s="7" t="str">
        <f>IF(places!$A39="","",places!$A39)</f>
        <v>CZ-027</v>
      </c>
      <c r="B40" s="8" t="str">
        <f>IF(places!$A39="","",places!$B39)</f>
        <v>Gamboa</v>
      </c>
      <c r="C40" s="17" t="str">
        <f>IF(places!$A39="","",places!$Y39)</f>
        <v>Town</v>
      </c>
      <c r="D40" s="18">
        <v>9.11327</v>
      </c>
      <c r="E40" s="18">
        <v>-79.694040000000001</v>
      </c>
      <c r="F40" s="18" t="s">
        <v>27</v>
      </c>
      <c r="G40" s="18" t="s">
        <v>58</v>
      </c>
    </row>
    <row r="41" spans="1:7" ht="15" customHeight="1" x14ac:dyDescent="0.2">
      <c r="A41" s="7" t="str">
        <f>IF(places!$A40="","",places!$A40)</f>
        <v>CZ-028</v>
      </c>
      <c r="B41" s="8" t="str">
        <f>IF(places!$A40="","",places!$B40)</f>
        <v>Miraflores</v>
      </c>
      <c r="C41" s="17" t="str">
        <f>IF(places!$A40="","",places!$Y40)</f>
        <v>Town</v>
      </c>
      <c r="D41" s="18">
        <v>9.0014699999999994</v>
      </c>
      <c r="E41" s="18">
        <v>-79.581879999999998</v>
      </c>
      <c r="F41" s="18" t="s">
        <v>50</v>
      </c>
      <c r="G41" s="18" t="s">
        <v>52</v>
      </c>
    </row>
    <row r="42" spans="1:7" ht="15" customHeight="1" x14ac:dyDescent="0.2">
      <c r="A42" s="7" t="str">
        <f>IF(places!$A41="","",places!$A41)</f>
        <v>CZ-029</v>
      </c>
      <c r="B42" s="8" t="str">
        <f>IF(places!$A41="","",places!$B41)</f>
        <v>Cucaracha</v>
      </c>
      <c r="C42" s="17" t="str">
        <f>IF(places!$A41="","",places!$Y41)</f>
        <v>Town</v>
      </c>
      <c r="D42" s="18">
        <v>9.0312699999999992</v>
      </c>
      <c r="E42" s="18">
        <v>-79.633669999999995</v>
      </c>
      <c r="F42" s="18" t="s">
        <v>50</v>
      </c>
      <c r="G42" s="18" t="s">
        <v>52</v>
      </c>
    </row>
    <row r="43" spans="1:7" ht="15" customHeight="1" x14ac:dyDescent="0.2">
      <c r="A43" s="7" t="str">
        <f>IF(places!$A42="","",places!$A42)</f>
        <v>CZ-030</v>
      </c>
      <c r="B43" s="8" t="str">
        <f>IF(places!$A42="","",places!$B42)</f>
        <v>Mindi</v>
      </c>
      <c r="C43" s="17" t="str">
        <f>IF(places!$A42="","",places!$Y42)</f>
        <v>Town</v>
      </c>
      <c r="D43" s="18">
        <v>9.3156099999999995</v>
      </c>
      <c r="E43" s="18">
        <v>-79.920860000000005</v>
      </c>
      <c r="F43" s="18" t="s">
        <v>30</v>
      </c>
      <c r="G43" s="18" t="s">
        <v>59</v>
      </c>
    </row>
    <row r="44" spans="1:7" ht="15" customHeight="1" x14ac:dyDescent="0.2">
      <c r="A44" s="7" t="str">
        <f>IF(places!$A43="","",places!$A43)</f>
        <v>CZ-031</v>
      </c>
      <c r="B44" s="8" t="str">
        <f>IF(places!$A43="","",places!$B43)</f>
        <v>Buena Vista</v>
      </c>
      <c r="C44" s="17" t="str">
        <f>IF(places!$A43="","",places!$Y43)</f>
        <v>Town</v>
      </c>
      <c r="D44" s="18">
        <v>9.1847899999999996</v>
      </c>
      <c r="E44" s="18">
        <v>-79.828909999999993</v>
      </c>
      <c r="F44" s="18" t="s">
        <v>50</v>
      </c>
      <c r="G44" s="18" t="s">
        <v>52</v>
      </c>
    </row>
    <row r="45" spans="1:7" ht="15" customHeight="1" x14ac:dyDescent="0.2">
      <c r="A45" s="7" t="str">
        <f>IF(places!$A44="","",places!$A44)</f>
        <v>CZ-032</v>
      </c>
      <c r="B45" s="8" t="str">
        <f>IF(places!$A44="","",places!$B44)</f>
        <v>Lion Hill</v>
      </c>
      <c r="C45" s="17" t="str">
        <f>IF(places!$A44="","",places!$Y44)</f>
        <v>Town</v>
      </c>
      <c r="D45" s="18">
        <v>9.2280700000000007</v>
      </c>
      <c r="E45" s="18">
        <v>-79.904769999999999</v>
      </c>
      <c r="F45" s="18" t="s">
        <v>30</v>
      </c>
      <c r="G45" s="18" t="s">
        <v>29</v>
      </c>
    </row>
    <row r="46" spans="1:7" ht="15" customHeight="1" x14ac:dyDescent="0.2">
      <c r="A46" s="7" t="str">
        <f>IF(places!$A45="","",places!$A45)</f>
        <v>CZ-033</v>
      </c>
      <c r="B46" s="8" t="str">
        <f>IF(places!$A45="","",places!$B45)</f>
        <v>Tiger Hill</v>
      </c>
      <c r="C46" s="17" t="str">
        <f>IF(places!$A45="","",places!$Y45)</f>
        <v>Town</v>
      </c>
      <c r="D46" s="18">
        <v>9.2322790000000001</v>
      </c>
      <c r="E46" s="18">
        <v>-79.906205</v>
      </c>
      <c r="F46" s="18" t="s">
        <v>60</v>
      </c>
      <c r="G46" s="18" t="s">
        <v>61</v>
      </c>
    </row>
    <row r="47" spans="1:7" ht="15" customHeight="1" x14ac:dyDescent="0.2">
      <c r="A47" s="7" t="str">
        <f>IF(places!$A46="","",places!$A46)</f>
        <v>CZ-034</v>
      </c>
      <c r="B47" s="8" t="str">
        <f>IF(places!$A46="","",places!$B46)</f>
        <v>Mamei</v>
      </c>
      <c r="C47" s="17" t="str">
        <f>IF(places!$A46="","",places!$Y46)</f>
        <v>Town</v>
      </c>
      <c r="D47" s="18">
        <v>9.1173500000000001</v>
      </c>
      <c r="E47" s="18">
        <v>-79.757339999999999</v>
      </c>
      <c r="F47" s="18" t="s">
        <v>33</v>
      </c>
      <c r="G47" s="18" t="s">
        <v>62</v>
      </c>
    </row>
    <row r="48" spans="1:7" ht="15" customHeight="1" x14ac:dyDescent="0.2">
      <c r="A48" s="7" t="str">
        <f>IF(places!$A47="","",places!$A47)</f>
        <v>CZ-035</v>
      </c>
      <c r="B48" s="8" t="str">
        <f>IF(places!$A47="","",places!$B47)</f>
        <v>Camp Elliott</v>
      </c>
      <c r="C48" s="17" t="str">
        <f>IF(places!$A47="","",places!$Y47)</f>
        <v>Town</v>
      </c>
      <c r="D48" s="18">
        <v>9.0966699999999996</v>
      </c>
      <c r="E48" s="18">
        <v>-79.699809999999999</v>
      </c>
      <c r="F48" s="18" t="s">
        <v>50</v>
      </c>
      <c r="G48" s="18" t="s">
        <v>52</v>
      </c>
    </row>
    <row r="49" spans="1:7" ht="15" customHeight="1" x14ac:dyDescent="0.2">
      <c r="A49" s="7" t="str">
        <f>IF(places!$A48="","",places!$A48)</f>
        <v>CZ-036</v>
      </c>
      <c r="B49" s="8" t="str">
        <f>IF(places!$A48="","",places!$B48)</f>
        <v>Monte Lirio</v>
      </c>
      <c r="C49" s="17" t="str">
        <f>IF(places!$A48="","",places!$Y48)</f>
        <v>Town</v>
      </c>
      <c r="D49" s="18">
        <v>9.2472999999999992</v>
      </c>
      <c r="E49" s="18">
        <v>-79.870459999999994</v>
      </c>
      <c r="F49" s="18" t="s">
        <v>25</v>
      </c>
      <c r="G49" s="18" t="s">
        <v>63</v>
      </c>
    </row>
    <row r="50" spans="1:7" ht="15" customHeight="1" x14ac:dyDescent="0.2">
      <c r="A50" s="7" t="str">
        <f>IF(places!$A49="","",places!$A49)</f>
        <v>CZ-037</v>
      </c>
      <c r="B50" s="8" t="str">
        <f>IF(places!$A49="","",places!$B49)</f>
        <v>Toro Point</v>
      </c>
      <c r="C50" s="17" t="str">
        <f>IF(places!$A49="","",places!$Y49)</f>
        <v>Town</v>
      </c>
      <c r="D50" s="18">
        <v>9.3695500000000003</v>
      </c>
      <c r="E50" s="18">
        <v>-79.947069999999997</v>
      </c>
      <c r="F50" s="18" t="s">
        <v>50</v>
      </c>
      <c r="G50" s="18" t="s">
        <v>52</v>
      </c>
    </row>
    <row r="51" spans="1:7" ht="15" customHeight="1" x14ac:dyDescent="0.2">
      <c r="A51" s="7" t="str">
        <f>IF(places!$A50="","",places!$A50)</f>
        <v>CZ-039</v>
      </c>
      <c r="B51" s="8" t="str">
        <f>IF(places!$A50="","",places!$B50)</f>
        <v>Balboa</v>
      </c>
      <c r="C51" s="17" t="str">
        <f>IF(places!$A50="","",places!$Y50)</f>
        <v>Town</v>
      </c>
      <c r="D51" s="18">
        <v>8.9633000000000003</v>
      </c>
      <c r="E51" s="18">
        <v>-79.572900000000004</v>
      </c>
      <c r="F51" s="18" t="s">
        <v>64</v>
      </c>
      <c r="G51" s="18" t="s">
        <v>65</v>
      </c>
    </row>
    <row r="52" spans="1:7" ht="15" customHeight="1" x14ac:dyDescent="0.2">
      <c r="A52" s="7" t="str">
        <f>IF(places!$A51="","",places!$A51)</f>
        <v>CZ-040</v>
      </c>
      <c r="B52" s="8" t="str">
        <f>IF(places!$A51="","",places!$B51)</f>
        <v>Mount Hope</v>
      </c>
      <c r="C52" s="17" t="str">
        <f>IF(places!$A51="","",places!$Y51)</f>
        <v>Town</v>
      </c>
      <c r="D52" s="18">
        <v>9.33582</v>
      </c>
      <c r="E52" s="18">
        <v>-79.892790000000005</v>
      </c>
      <c r="F52" s="18" t="s">
        <v>25</v>
      </c>
      <c r="G52" s="18" t="s">
        <v>66</v>
      </c>
    </row>
    <row r="53" spans="1:7" ht="15" customHeight="1" x14ac:dyDescent="0.2">
      <c r="A53" s="7" t="str">
        <f>IF(places!$A52="","",places!$A52)</f>
        <v>CZ-041</v>
      </c>
      <c r="B53" s="8" t="str">
        <f>IF(places!$A52="","",places!$B52)</f>
        <v>Taboga</v>
      </c>
      <c r="C53" s="17" t="str">
        <f>IF(places!$A52="","",places!$Y52)</f>
        <v>Town</v>
      </c>
      <c r="D53" s="18">
        <v>8.7942999999999998</v>
      </c>
      <c r="E53" s="18">
        <v>-79.55471</v>
      </c>
      <c r="F53" s="18" t="s">
        <v>50</v>
      </c>
      <c r="G53" s="18" t="s">
        <v>67</v>
      </c>
    </row>
    <row r="54" spans="1:7" ht="15" customHeight="1" x14ac:dyDescent="0.2">
      <c r="A54" s="7" t="str">
        <f>IF(places!$A53="","",places!$A53)</f>
        <v>CZ-042</v>
      </c>
      <c r="B54" s="8" t="str">
        <f>IF(places!$A53="","",places!$B53)</f>
        <v>Porto Bello</v>
      </c>
      <c r="C54" s="17" t="str">
        <f>IF(places!$A53="","",places!$Y53)</f>
        <v>Town</v>
      </c>
      <c r="D54" s="18">
        <v>9.5538100000000004</v>
      </c>
      <c r="E54" s="18">
        <v>-79.654920000000004</v>
      </c>
      <c r="F54" s="18" t="s">
        <v>50</v>
      </c>
      <c r="G54" s="18" t="s">
        <v>67</v>
      </c>
    </row>
    <row r="55" spans="1:7" ht="15" customHeight="1" x14ac:dyDescent="0.2">
      <c r="A55" s="7" t="str">
        <f>IF(places!$A54="","",places!$A54)</f>
        <v>CZ-043</v>
      </c>
      <c r="B55" s="8" t="str">
        <f>IF(places!$A54="","",places!$B54)</f>
        <v>Alhajuela</v>
      </c>
      <c r="C55" s="17" t="str">
        <f>IF(places!$A54="","",places!$Y54)</f>
        <v>Town</v>
      </c>
      <c r="D55" s="18">
        <v>9.2063000000000006</v>
      </c>
      <c r="E55" s="18">
        <v>-79.605099999999993</v>
      </c>
      <c r="F55" s="18" t="s">
        <v>25</v>
      </c>
      <c r="G55" s="18" t="s">
        <v>68</v>
      </c>
    </row>
    <row r="56" spans="1:7" ht="15" customHeight="1" x14ac:dyDescent="0.2">
      <c r="A56" s="7" t="str">
        <f>IF(places!$A55="","",places!$A55)</f>
        <v>CZ-044</v>
      </c>
      <c r="B56" s="8" t="str">
        <f>IF(places!$A55="","",places!$B55)</f>
        <v>Juan Grande</v>
      </c>
      <c r="C56" s="17" t="str">
        <f>IF(places!$A55="","",places!$Y55)</f>
        <v>Town</v>
      </c>
      <c r="D56" s="18">
        <v>9.1177299999999999</v>
      </c>
      <c r="E56" s="18">
        <v>-79.740099999999998</v>
      </c>
      <c r="F56" s="18" t="s">
        <v>27</v>
      </c>
      <c r="G56" s="18" t="s">
        <v>29</v>
      </c>
    </row>
    <row r="57" spans="1:7" ht="15" customHeight="1" x14ac:dyDescent="0.2">
      <c r="A57" s="7" t="str">
        <f>IF(places!$A56="","",places!$A56)</f>
        <v>CZ-045</v>
      </c>
      <c r="B57" s="8" t="str">
        <f>IF(places!$A56="","",places!$B56)</f>
        <v>Gatuncillo</v>
      </c>
      <c r="C57" s="17" t="str">
        <f>IF(places!$A56="","",places!$Y56)</f>
        <v>Town</v>
      </c>
      <c r="D57" s="18"/>
      <c r="E57" s="18"/>
      <c r="F57" s="18"/>
      <c r="G57" s="18"/>
    </row>
    <row r="58" spans="1:7" ht="15" customHeight="1" x14ac:dyDescent="0.2">
      <c r="A58" s="7" t="str">
        <f>IF(places!$A57="","",places!$A57)</f>
        <v>CZ-046</v>
      </c>
      <c r="B58" s="8" t="str">
        <f>IF(places!$A57="","",places!$B57)</f>
        <v>Balboa Heights</v>
      </c>
      <c r="C58" s="17" t="str">
        <f>IF(places!$A57="","",places!$Y57)</f>
        <v>Town</v>
      </c>
      <c r="D58" s="18">
        <v>8.9610859999999999</v>
      </c>
      <c r="E58" s="18">
        <v>-79.557709000000003</v>
      </c>
      <c r="F58" s="18" t="s">
        <v>69</v>
      </c>
      <c r="G58" s="18" t="s">
        <v>70</v>
      </c>
    </row>
    <row r="59" spans="1:7" ht="15" customHeight="1" x14ac:dyDescent="0.2">
      <c r="A59" s="7" t="str">
        <f>IF(places!$A58="","",places!$A58)</f>
        <v>CZ-047</v>
      </c>
      <c r="B59" s="8" t="str">
        <f>IF(places!$A58="","",places!$B58)</f>
        <v>Chagres</v>
      </c>
      <c r="C59" s="17" t="str">
        <f>IF(places!$A58="","",places!$Y58)</f>
        <v>Town</v>
      </c>
      <c r="D59" s="18">
        <v>9.3108299999999993</v>
      </c>
      <c r="E59" s="18">
        <v>-79.997870000000006</v>
      </c>
      <c r="F59" s="18" t="s">
        <v>25</v>
      </c>
      <c r="G59" s="18" t="s">
        <v>71</v>
      </c>
    </row>
    <row r="60" spans="1:7" ht="15" customHeight="1" x14ac:dyDescent="0.2">
      <c r="A60" s="7" t="str">
        <f>IF(places!$A59="","",places!$A59)</f>
        <v>CZ-048</v>
      </c>
      <c r="B60" s="8" t="str">
        <f>IF(places!$A59="","",places!$B59)</f>
        <v>Palo Seco</v>
      </c>
      <c r="C60" s="17" t="str">
        <f>IF(places!$A59="","",places!$Y59)</f>
        <v>Site/Institution</v>
      </c>
      <c r="D60" s="18">
        <v>8.9142919999999997</v>
      </c>
      <c r="E60" s="18">
        <v>-79.570660000000004</v>
      </c>
      <c r="F60" s="18" t="s">
        <v>72</v>
      </c>
      <c r="G60" s="18" t="s">
        <v>73</v>
      </c>
    </row>
    <row r="61" spans="1:7" ht="15" customHeight="1" x14ac:dyDescent="0.2">
      <c r="A61" s="7" t="str">
        <f>IF(places!$A60="","",places!$A60)</f>
        <v>CZ-049</v>
      </c>
      <c r="B61" s="8" t="str">
        <f>IF(places!$A60="","",places!$B60)</f>
        <v>Darien</v>
      </c>
      <c r="C61" s="17" t="str">
        <f>IF(places!$A60="","",places!$Y60)</f>
        <v>Town</v>
      </c>
      <c r="D61" s="18">
        <v>9.1190200000000008</v>
      </c>
      <c r="E61" s="18">
        <v>-79.774445</v>
      </c>
      <c r="F61" s="18" t="s">
        <v>74</v>
      </c>
      <c r="G61" s="18" t="s">
        <v>75</v>
      </c>
    </row>
    <row r="62" spans="1:7" ht="15" customHeight="1" x14ac:dyDescent="0.2">
      <c r="A62" s="7" t="str">
        <f>IF(places!$A61="","",places!$A61)</f>
        <v>CZ-050</v>
      </c>
      <c r="B62" s="8" t="str">
        <f>IF(places!$A61="","",places!$B61)</f>
        <v>Summit</v>
      </c>
      <c r="C62" s="17" t="str">
        <f>IF(places!$A61="","",places!$Y61)</f>
        <v>Town</v>
      </c>
      <c r="D62" s="18">
        <v>9.0635829999999995</v>
      </c>
      <c r="E62" s="18">
        <v>-79.653580000000005</v>
      </c>
      <c r="F62" s="18" t="s">
        <v>76</v>
      </c>
      <c r="G62" s="18" t="s">
        <v>77</v>
      </c>
    </row>
    <row r="63" spans="1:7" ht="15" customHeight="1" x14ac:dyDescent="0.2">
      <c r="A63" s="7" t="str">
        <f>IF(places!$A62="","",places!$A62)</f>
        <v>CZ-051</v>
      </c>
      <c r="B63" s="8" t="str">
        <f>IF(places!$A62="","",places!$B62)</f>
        <v>Red Tank</v>
      </c>
      <c r="C63" s="17" t="str">
        <f>IF(places!$A62="","",places!$Y62)</f>
        <v>Town</v>
      </c>
      <c r="D63" s="18">
        <v>9.0181070000000005</v>
      </c>
      <c r="E63" s="18">
        <v>-79.594194000000002</v>
      </c>
      <c r="F63" s="18" t="s">
        <v>74</v>
      </c>
      <c r="G63" s="18" t="s">
        <v>78</v>
      </c>
    </row>
    <row r="64" spans="1:7" ht="15" customHeight="1" x14ac:dyDescent="0.2">
      <c r="A64" s="7" t="str">
        <f>IF(places!$A63="","",places!$A63)</f>
        <v>CZ-052</v>
      </c>
      <c r="B64" s="8" t="str">
        <f>IF(places!$A63="","",places!$B63)</f>
        <v>Camacho</v>
      </c>
      <c r="C64" s="17" t="str">
        <f>IF(places!$A63="","",places!$Y63)</f>
        <v>Town</v>
      </c>
      <c r="D64" s="18">
        <v>9.05199</v>
      </c>
      <c r="E64" s="18">
        <v>-79.663560000000004</v>
      </c>
      <c r="F64" s="18" t="s">
        <v>25</v>
      </c>
      <c r="G64" s="18" t="s">
        <v>66</v>
      </c>
    </row>
    <row r="65" spans="1:7" ht="15" customHeight="1" x14ac:dyDescent="0.2">
      <c r="A65" s="7" t="str">
        <f>IF(places!$A64="","",places!$A64)</f>
        <v>CZ-053</v>
      </c>
      <c r="B65" s="8" t="str">
        <f>IF(places!$A64="","",places!$B64)</f>
        <v>Naos Island</v>
      </c>
      <c r="C65" s="17" t="str">
        <f>IF(places!$A64="","",places!$Y64)</f>
        <v>Town</v>
      </c>
      <c r="D65" s="18">
        <v>8.9151000000000007</v>
      </c>
      <c r="E65" s="18">
        <v>-79.532480000000007</v>
      </c>
      <c r="F65" s="18" t="s">
        <v>25</v>
      </c>
      <c r="G65" s="18" t="s">
        <v>66</v>
      </c>
    </row>
    <row r="66" spans="1:7" ht="15" customHeight="1" x14ac:dyDescent="0.2">
      <c r="A66" s="7" t="str">
        <f>IF(places!$A65="","",places!$A65)</f>
        <v>CZ-054</v>
      </c>
      <c r="B66" s="8" t="str">
        <f>IF(places!$A65="","",places!$B65)</f>
        <v>El Vigia</v>
      </c>
      <c r="C66" s="17" t="str">
        <f>IF(places!$A65="","",places!$Y65)</f>
        <v>Town</v>
      </c>
      <c r="D66" s="18">
        <v>9.2178000000000004</v>
      </c>
      <c r="E66" s="18">
        <v>-79.592299999999994</v>
      </c>
      <c r="F66" s="18" t="s">
        <v>50</v>
      </c>
      <c r="G66" s="18" t="s">
        <v>79</v>
      </c>
    </row>
    <row r="67" spans="1:7" ht="15" customHeight="1" x14ac:dyDescent="0.2">
      <c r="A67" s="7" t="str">
        <f>IF(places!$A66="","",places!$A66)</f>
        <v>CZ-055</v>
      </c>
      <c r="B67" s="8" t="str">
        <f>IF(places!$A66="","",places!$B66)</f>
        <v>Diablo</v>
      </c>
      <c r="C67" s="17" t="str">
        <f>IF(places!$A66="","",places!$Y66)</f>
        <v>Town</v>
      </c>
      <c r="D67" s="18">
        <v>8.9718280000000004</v>
      </c>
      <c r="E67" s="18">
        <v>-79.580679000000003</v>
      </c>
      <c r="F67" s="18" t="s">
        <v>74</v>
      </c>
      <c r="G67" s="18" t="s">
        <v>78</v>
      </c>
    </row>
    <row r="68" spans="1:7" ht="15" customHeight="1" x14ac:dyDescent="0.2">
      <c r="A68" s="7" t="str">
        <f>IF(places!$A67="","",places!$A67)</f>
        <v>CZ-056</v>
      </c>
      <c r="B68" s="8" t="str">
        <f>IF(places!$A67="","",places!$B67)</f>
        <v>Agua Clara</v>
      </c>
      <c r="C68" s="17" t="str">
        <f>IF(places!$A67="","",places!$Y67)</f>
        <v>Town</v>
      </c>
      <c r="D68" s="18"/>
      <c r="E68" s="18"/>
      <c r="F68" s="18"/>
      <c r="G68" s="18"/>
    </row>
    <row r="69" spans="1:7" ht="15" customHeight="1" x14ac:dyDescent="0.2">
      <c r="A69" s="7" t="str">
        <f>IF(places!$A68="","",places!$A68)</f>
        <v>CZ-057</v>
      </c>
      <c r="B69" s="8" t="str">
        <f>IF(places!$A68="","",places!$B68)</f>
        <v>Juan Mina</v>
      </c>
      <c r="C69" s="17" t="str">
        <f>IF(places!$A68="","",places!$Y68)</f>
        <v>Town</v>
      </c>
      <c r="D69" s="18">
        <v>9.1664999999999992</v>
      </c>
      <c r="E69" s="18">
        <v>-79.6477</v>
      </c>
      <c r="F69" s="18" t="s">
        <v>25</v>
      </c>
      <c r="G69" s="18" t="s">
        <v>80</v>
      </c>
    </row>
    <row r="70" spans="1:7" ht="15" customHeight="1" x14ac:dyDescent="0.2">
      <c r="A70" s="7" t="str">
        <f>IF(places!$A69="","",places!$A69)</f>
        <v>CZ-058</v>
      </c>
      <c r="B70" s="8" t="str">
        <f>IF(places!$A69="","",places!$B69)</f>
        <v>Enterprise</v>
      </c>
      <c r="C70" s="17" t="str">
        <f>IF(places!$A69="","",places!$Y69)</f>
        <v>Town</v>
      </c>
      <c r="D70" s="18">
        <v>9.0376100000000008</v>
      </c>
      <c r="E70" s="18">
        <v>-79.648880000000005</v>
      </c>
      <c r="F70" s="18" t="s">
        <v>25</v>
      </c>
      <c r="G70" s="18" t="s">
        <v>66</v>
      </c>
    </row>
    <row r="71" spans="1:7" ht="15" customHeight="1" x14ac:dyDescent="0.2">
      <c r="A71" s="7" t="str">
        <f>IF(places!$A70="","",places!$A70)</f>
        <v>CZ-059</v>
      </c>
      <c r="B71" s="8" t="str">
        <f>IF(places!$A70="","",places!$B70)</f>
        <v>Whitehouse</v>
      </c>
      <c r="C71" s="17" t="str">
        <f>IF(places!$A70="","",places!$Y70)</f>
        <v>Town</v>
      </c>
      <c r="D71" s="18">
        <v>9.0826890000000002</v>
      </c>
      <c r="E71" s="18">
        <v>-79.679139000000006</v>
      </c>
      <c r="F71" s="18" t="s">
        <v>81</v>
      </c>
      <c r="G71" s="18" t="s">
        <v>82</v>
      </c>
    </row>
    <row r="72" spans="1:7" ht="15" customHeight="1" x14ac:dyDescent="0.2">
      <c r="A72" s="7" t="str">
        <f>IF(places!$A71="","",places!$A71)</f>
        <v>CZ-060</v>
      </c>
      <c r="B72" s="8" t="str">
        <f>IF(places!$A71="","",places!$B71)</f>
        <v>Vamos Vamos</v>
      </c>
      <c r="C72" s="17" t="str">
        <f>IF(places!$A71="","",places!$Y71)</f>
        <v>Town</v>
      </c>
      <c r="D72" s="18">
        <v>9.1903000000000006</v>
      </c>
      <c r="E72" s="18">
        <v>-79.881799999999998</v>
      </c>
      <c r="F72" s="18" t="s">
        <v>83</v>
      </c>
      <c r="G72" s="18" t="s">
        <v>84</v>
      </c>
    </row>
    <row r="73" spans="1:7" ht="15" customHeight="1" x14ac:dyDescent="0.2">
      <c r="A73" s="7" t="str">
        <f>IF(places!$A72="","",places!$A72)</f>
        <v>CZ-061</v>
      </c>
      <c r="B73" s="8" t="str">
        <f>IF(places!$A72="","",places!$B72)</f>
        <v>Pena Blanca</v>
      </c>
      <c r="C73" s="17" t="str">
        <f>IF(places!$A72="","",places!$Y72)</f>
        <v>Town</v>
      </c>
      <c r="D73" s="18">
        <v>9.1789000000000005</v>
      </c>
      <c r="E73" s="18">
        <v>-79.870339999999999</v>
      </c>
      <c r="F73" s="18" t="s">
        <v>50</v>
      </c>
      <c r="G73" s="18" t="s">
        <v>52</v>
      </c>
    </row>
    <row r="74" spans="1:7" ht="15" customHeight="1" x14ac:dyDescent="0.2">
      <c r="A74" s="7" t="str">
        <f>IF(places!$A73="","",places!$A73)</f>
        <v>CZ-062</v>
      </c>
      <c r="B74" s="8" t="str">
        <f>IF(places!$A73="","",places!$B73)</f>
        <v>Cartagenita</v>
      </c>
      <c r="C74" s="17" t="str">
        <f>IF(places!$A73="","",places!$Y73)</f>
        <v>Town</v>
      </c>
      <c r="D74" s="18">
        <v>9.0227380000000004</v>
      </c>
      <c r="E74" s="18">
        <v>-79.627855999999994</v>
      </c>
      <c r="F74" s="18" t="s">
        <v>81</v>
      </c>
      <c r="G74" s="18" t="s">
        <v>85</v>
      </c>
    </row>
    <row r="75" spans="1:7" ht="15" customHeight="1" x14ac:dyDescent="0.2">
      <c r="A75" s="7" t="str">
        <f>IF(places!$A74="","",places!$A74)</f>
        <v>CZ-063</v>
      </c>
      <c r="B75" s="8" t="str">
        <f>IF(places!$A74="","",places!$B74)</f>
        <v>Palo Grande</v>
      </c>
      <c r="C75" s="17" t="str">
        <f>IF(places!$A74="","",places!$Y74)</f>
        <v>Town</v>
      </c>
      <c r="D75" s="18">
        <v>9.1362000000000005</v>
      </c>
      <c r="E75" s="18">
        <v>-79.672700000000006</v>
      </c>
      <c r="F75" s="18" t="s">
        <v>50</v>
      </c>
      <c r="G75" s="18" t="s">
        <v>86</v>
      </c>
    </row>
    <row r="76" spans="1:7" ht="15" customHeight="1" x14ac:dyDescent="0.2">
      <c r="A76" s="7" t="str">
        <f>IF(places!$A75="","",places!$A75)</f>
        <v>CZ-064</v>
      </c>
      <c r="B76" s="8" t="str">
        <f>IF(places!$A75="","",places!$B75)</f>
        <v>Cocoli</v>
      </c>
      <c r="C76" s="17" t="str">
        <f>IF(places!$A75="","",places!$Y75)</f>
        <v>Town</v>
      </c>
      <c r="D76" s="18">
        <v>8.9892500000000002</v>
      </c>
      <c r="E76" s="18">
        <v>-79.589100000000002</v>
      </c>
      <c r="F76" s="18" t="s">
        <v>25</v>
      </c>
      <c r="G76" s="18" t="s">
        <v>66</v>
      </c>
    </row>
    <row r="77" spans="1:7" ht="15" customHeight="1" x14ac:dyDescent="0.2">
      <c r="A77" s="7" t="str">
        <f>IF(places!$A76="","",places!$A76)</f>
        <v>CZ-065</v>
      </c>
      <c r="B77" s="8" t="str">
        <f>IF(places!$A76="","",places!$B76)</f>
        <v>Margarita</v>
      </c>
      <c r="C77" s="17" t="str">
        <f>IF(places!$A76="","",places!$Y76)</f>
        <v>Town</v>
      </c>
      <c r="D77" s="18">
        <v>9.3287910000000007</v>
      </c>
      <c r="E77" s="18">
        <v>-79.892111999999997</v>
      </c>
      <c r="F77" s="18" t="s">
        <v>74</v>
      </c>
      <c r="G77" s="18" t="s">
        <v>78</v>
      </c>
    </row>
    <row r="78" spans="1:7" ht="15" customHeight="1" x14ac:dyDescent="0.2">
      <c r="A78" s="7" t="str">
        <f>IF(places!$A77="","",places!$A77)</f>
        <v>CZ-066</v>
      </c>
      <c r="B78" s="8" t="str">
        <f>IF(places!$A77="","",places!$B77)</f>
        <v>Coco Solo</v>
      </c>
      <c r="C78" s="17" t="str">
        <f>IF(places!$A77="","",places!$Y77)</f>
        <v>Town</v>
      </c>
      <c r="D78" s="18">
        <v>9.3698180000000004</v>
      </c>
      <c r="E78" s="18">
        <v>-79.872309999999999</v>
      </c>
      <c r="F78" s="18" t="s">
        <v>74</v>
      </c>
      <c r="G78" s="18" t="s">
        <v>78</v>
      </c>
    </row>
    <row r="79" spans="1:7" ht="15" customHeight="1" x14ac:dyDescent="0.2">
      <c r="A79" s="7" t="str">
        <f>IF(places!$A78="","",places!$A78)</f>
        <v>CZ-067</v>
      </c>
      <c r="B79" s="8" t="str">
        <f>IF(places!$A78="","",places!$B78)</f>
        <v>Fort Clayton</v>
      </c>
      <c r="C79" s="17" t="str">
        <f>IF(places!$A78="","",places!$Y78)</f>
        <v>Town</v>
      </c>
      <c r="D79" s="18">
        <v>9.0034340000000004</v>
      </c>
      <c r="E79" s="18">
        <v>-79.588109000000003</v>
      </c>
      <c r="F79" s="18" t="s">
        <v>74</v>
      </c>
      <c r="G79" s="18" t="s">
        <v>78</v>
      </c>
    </row>
    <row r="80" spans="1:7" ht="15" customHeight="1" x14ac:dyDescent="0.2">
      <c r="A80" s="7" t="str">
        <f>IF(places!$A79="","",places!$A79)</f>
        <v>CZ-068</v>
      </c>
      <c r="B80" s="8" t="str">
        <f>IF(places!$A79="","",places!$B79)</f>
        <v>Fort Davis</v>
      </c>
      <c r="C80" s="17" t="str">
        <f>IF(places!$A79="","",places!$Y79)</f>
        <v>Town</v>
      </c>
      <c r="D80" s="18">
        <v>9.2956009999999996</v>
      </c>
      <c r="E80" s="18">
        <v>-79.892565000000005</v>
      </c>
      <c r="F80" s="18" t="s">
        <v>74</v>
      </c>
      <c r="G80" s="18" t="s">
        <v>78</v>
      </c>
    </row>
    <row r="81" spans="1:7" ht="15" customHeight="1" x14ac:dyDescent="0.2">
      <c r="A81" s="7" t="str">
        <f>IF(places!$A80="","",places!$A80)</f>
        <v>CZ-069</v>
      </c>
      <c r="B81" s="8" t="str">
        <f>IF(places!$A80="","",places!$B80)</f>
        <v>Fort Sherman</v>
      </c>
      <c r="C81" s="17" t="str">
        <f>IF(places!$A80="","",places!$Y80)</f>
        <v>Town</v>
      </c>
      <c r="D81" s="18">
        <v>9.3660209999999999</v>
      </c>
      <c r="E81" s="18">
        <v>-79.942736999999994</v>
      </c>
      <c r="F81" s="18" t="s">
        <v>74</v>
      </c>
      <c r="G81" s="18" t="s">
        <v>87</v>
      </c>
    </row>
    <row r="82" spans="1:7" ht="15" customHeight="1" x14ac:dyDescent="0.2">
      <c r="A82" s="7" t="str">
        <f>IF(places!$A81="","",places!$A81)</f>
        <v>CZ-070</v>
      </c>
      <c r="B82" s="8" t="str">
        <f>IF(places!$A81="","",places!$B81)</f>
        <v>Fort Amador</v>
      </c>
      <c r="C82" s="17" t="str">
        <f>IF(places!$A81="","",places!$Y81)</f>
        <v>Town</v>
      </c>
      <c r="D82" s="18">
        <v>8.9386569999999992</v>
      </c>
      <c r="E82" s="18">
        <v>-79.540859999999995</v>
      </c>
      <c r="F82" s="18" t="s">
        <v>74</v>
      </c>
      <c r="G82" s="18" t="s">
        <v>78</v>
      </c>
    </row>
    <row r="83" spans="1:7" ht="15" customHeight="1" x14ac:dyDescent="0.2">
      <c r="A83" s="7" t="str">
        <f>IF(places!$A82="","",places!$A82)</f>
        <v>CZ-071</v>
      </c>
      <c r="B83" s="8" t="str">
        <f>IF(places!$A82="","",places!$B82)</f>
        <v>Albrook Field</v>
      </c>
      <c r="C83" s="17" t="str">
        <f>IF(places!$A82="","",places!$Y82)</f>
        <v>Town</v>
      </c>
      <c r="D83" s="18">
        <v>8.9738710000000008</v>
      </c>
      <c r="E83" s="18">
        <v>-79.557715999999999</v>
      </c>
      <c r="F83" s="18" t="s">
        <v>74</v>
      </c>
      <c r="G83" s="18" t="s">
        <v>78</v>
      </c>
    </row>
    <row r="84" spans="1:7" ht="15" customHeight="1" x14ac:dyDescent="0.2">
      <c r="A84" s="7" t="str">
        <f>IF(places!$A83="","",places!$A83)</f>
        <v>CZ-072</v>
      </c>
      <c r="B84" s="8" t="str">
        <f>IF(places!$A83="","",places!$B83)</f>
        <v>Quarry Heights</v>
      </c>
      <c r="C84" s="17" t="str">
        <f>IF(places!$A83="","",places!$Y83)</f>
        <v>Town</v>
      </c>
      <c r="D84" s="18">
        <v>8.9567700000000006</v>
      </c>
      <c r="E84" s="18">
        <v>-79.552678</v>
      </c>
      <c r="F84" s="18" t="s">
        <v>69</v>
      </c>
      <c r="G84" s="18" t="s">
        <v>88</v>
      </c>
    </row>
    <row r="85" spans="1:7" ht="15" customHeight="1" x14ac:dyDescent="0.2">
      <c r="A85" s="7" t="str">
        <f>IF(places!$A84="","",places!$A84)</f>
        <v>CZ-073</v>
      </c>
      <c r="B85" s="8" t="str">
        <f>IF(places!$A84="","",places!$B84)</f>
        <v>Barro Colorado Island</v>
      </c>
      <c r="C85" s="17" t="str">
        <f>IF(places!$A84="","",places!$Y84)</f>
        <v>Site/Institution</v>
      </c>
      <c r="D85" s="18">
        <v>9.1440429999999999</v>
      </c>
      <c r="E85" s="18">
        <v>-79.853365999999994</v>
      </c>
      <c r="F85" s="18" t="s">
        <v>74</v>
      </c>
      <c r="G85" s="18" t="s">
        <v>75</v>
      </c>
    </row>
    <row r="86" spans="1:7" ht="15" customHeight="1" x14ac:dyDescent="0.2">
      <c r="A86" s="7" t="str">
        <f>IF(places!$A85="","",places!$A85)</f>
        <v>CZ-074</v>
      </c>
      <c r="B86" s="8" t="str">
        <f>IF(places!$A85="","",places!$B85)</f>
        <v>Isla Vista</v>
      </c>
      <c r="C86" s="17" t="str">
        <f>IF(places!$A85="","",places!$Y85)</f>
        <v>Town</v>
      </c>
      <c r="D86" s="19">
        <v>9.1832799999999999</v>
      </c>
      <c r="E86" s="19">
        <v>-79.829089999999994</v>
      </c>
      <c r="F86" s="19" t="s">
        <v>33</v>
      </c>
      <c r="G86" s="19" t="s">
        <v>89</v>
      </c>
    </row>
    <row r="87" spans="1:7" ht="15" customHeight="1" x14ac:dyDescent="0.2">
      <c r="A87" s="7" t="str">
        <f>IF(places!$A86="","",places!$A86)</f>
        <v>CZ-075</v>
      </c>
      <c r="B87" s="8" t="str">
        <f>IF(places!$A86="","",places!$B86)</f>
        <v>Haut Obispo</v>
      </c>
      <c r="C87" s="17" t="str">
        <f>IF(places!$A86="","",places!$Y86)</f>
        <v>Town</v>
      </c>
      <c r="D87" s="19">
        <v>9.0977189999999997</v>
      </c>
      <c r="E87" s="19">
        <v>-79.685924</v>
      </c>
      <c r="F87" s="19" t="s">
        <v>81</v>
      </c>
      <c r="G87" s="19" t="s">
        <v>90</v>
      </c>
    </row>
    <row r="88" spans="1:7" ht="15" customHeight="1" x14ac:dyDescent="0.2">
      <c r="A88" s="7" t="str">
        <f>IF(places!$A87="","",places!$A87)</f>
        <v>CZ-076</v>
      </c>
      <c r="B88" s="8" t="str">
        <f>IF(places!$A87="","",places!$B87)</f>
        <v>Alto Emperador</v>
      </c>
      <c r="C88" s="17" t="str">
        <f>IF(places!$A87="","",places!$Y87)</f>
        <v>Neighborhood</v>
      </c>
      <c r="D88" s="19">
        <v>9.0570839999999997</v>
      </c>
      <c r="E88" s="19">
        <v>-79.669908000000007</v>
      </c>
      <c r="F88" s="19" t="s">
        <v>91</v>
      </c>
      <c r="G88" s="19" t="s">
        <v>92</v>
      </c>
    </row>
    <row r="89" spans="1:7" ht="15" customHeight="1" x14ac:dyDescent="0.2">
      <c r="A89" s="7" t="str">
        <f>IF(places!$A88="","",places!$A88)</f>
        <v>CZ-077</v>
      </c>
      <c r="B89" s="8" t="str">
        <f>IF(places!$A88="","",places!$B88)</f>
        <v>Corosita</v>
      </c>
      <c r="C89" s="17" t="str">
        <f>IF(places!$A88="","",places!$Y88)</f>
        <v>Town</v>
      </c>
      <c r="D89" s="19">
        <v>9.1068239999999996</v>
      </c>
      <c r="E89" s="19">
        <v>-79.691253000000003</v>
      </c>
      <c r="F89" s="19" t="s">
        <v>81</v>
      </c>
      <c r="G89" s="19" t="s">
        <v>90</v>
      </c>
    </row>
    <row r="90" spans="1:7" ht="15" customHeight="1" x14ac:dyDescent="0.2">
      <c r="A90" s="7" t="str">
        <f>IF(places!$A89="","",places!$A89)</f>
        <v>CZ-078</v>
      </c>
      <c r="B90" s="8" t="str">
        <f>IF(places!$A89="","",places!$B89)</f>
        <v>Cunette</v>
      </c>
      <c r="C90" s="17" t="str">
        <f>IF(places!$A89="","",places!$Y89)</f>
        <v>Town</v>
      </c>
      <c r="D90" s="19">
        <v>9.094697</v>
      </c>
      <c r="E90" s="19">
        <v>-79.684494999999998</v>
      </c>
      <c r="F90" s="19" t="s">
        <v>81</v>
      </c>
      <c r="G90" s="19" t="s">
        <v>93</v>
      </c>
    </row>
    <row r="91" spans="1:7" ht="15" customHeight="1" x14ac:dyDescent="0.2">
      <c r="A91" s="7" t="str">
        <f>IF(places!$A90="","",places!$A90)</f>
        <v>CZ-079</v>
      </c>
      <c r="B91" s="8" t="str">
        <f>IF(places!$A90="","",places!$B90)</f>
        <v>Cerro</v>
      </c>
      <c r="C91" s="17" t="str">
        <f>IF(places!$A90="","",places!$Y90)</f>
        <v>Town</v>
      </c>
      <c r="D91" s="19">
        <v>9.0585719999999998</v>
      </c>
      <c r="E91" s="19">
        <v>-79.661240000000006</v>
      </c>
      <c r="F91" s="19" t="s">
        <v>81</v>
      </c>
      <c r="G91" s="19" t="s">
        <v>90</v>
      </c>
    </row>
    <row r="92" spans="1:7" ht="15" customHeight="1" x14ac:dyDescent="0.2">
      <c r="A92" s="7" t="str">
        <f>IF(places!$A91="","",places!$A91)</f>
        <v>CZ-080</v>
      </c>
      <c r="B92" s="8" t="str">
        <f>IF(places!$A91="","",places!$B91)</f>
        <v>Lirio</v>
      </c>
      <c r="C92" s="17" t="str">
        <f>IF(places!$A91="","",places!$Y91)</f>
        <v>Town</v>
      </c>
      <c r="D92" s="19">
        <v>9.0529650000000004</v>
      </c>
      <c r="E92" s="19">
        <v>-79.656103999999999</v>
      </c>
      <c r="F92" s="19" t="s">
        <v>81</v>
      </c>
      <c r="G92" s="19" t="s">
        <v>90</v>
      </c>
    </row>
    <row r="93" spans="1:7" ht="15" customHeight="1" x14ac:dyDescent="0.2">
      <c r="A93" s="7" t="str">
        <f>IF(places!$A92="","",places!$A92)</f>
        <v>CZ-081</v>
      </c>
      <c r="B93" s="8" t="str">
        <f>IF(places!$A92="","",places!$B92)</f>
        <v>Caballo Viejo</v>
      </c>
      <c r="C93" s="17" t="str">
        <f>IF(places!$A92="","",places!$Y92)</f>
        <v>Town</v>
      </c>
      <c r="D93" s="19">
        <v>9.1164400000000008</v>
      </c>
      <c r="E93" s="19">
        <v>-79.733369999999994</v>
      </c>
      <c r="F93" s="19" t="s">
        <v>27</v>
      </c>
      <c r="G93" s="19" t="s">
        <v>94</v>
      </c>
    </row>
    <row r="94" spans="1:7" ht="15" customHeight="1" x14ac:dyDescent="0.2">
      <c r="A94" s="7" t="str">
        <f>IF(places!$A93="","",places!$A93)</f>
        <v>CZ-082</v>
      </c>
      <c r="B94" s="8" t="str">
        <f>IF(places!$A93="","",places!$B93)</f>
        <v>Chagresito</v>
      </c>
      <c r="C94" s="17" t="str">
        <f>IF(places!$A93="","",places!$Y93)</f>
        <v>Town</v>
      </c>
      <c r="D94" s="19">
        <v>9.1602300000000003</v>
      </c>
      <c r="E94" s="19">
        <v>-79.827039999999997</v>
      </c>
      <c r="F94" s="19" t="s">
        <v>25</v>
      </c>
      <c r="G94" s="19" t="s">
        <v>95</v>
      </c>
    </row>
    <row r="95" spans="1:7" ht="15" customHeight="1" x14ac:dyDescent="0.2">
      <c r="A95" s="7" t="str">
        <f>IF(places!$A94="","",places!$A94)</f>
        <v>CZ-083</v>
      </c>
      <c r="B95" s="8" t="str">
        <f>IF(places!$A94="","",places!$B94)</f>
        <v>Mulato</v>
      </c>
      <c r="C95" s="17" t="str">
        <f>IF(places!$A94="","",places!$Y94)</f>
        <v>Town</v>
      </c>
      <c r="D95" s="19">
        <v>9.1321100000000008</v>
      </c>
      <c r="E95" s="19">
        <v>-79.776269999999997</v>
      </c>
      <c r="F95" s="19" t="s">
        <v>25</v>
      </c>
      <c r="G95" s="19" t="s">
        <v>95</v>
      </c>
    </row>
    <row r="96" spans="1:7" ht="15" customHeight="1" x14ac:dyDescent="0.2">
      <c r="A96" s="7" t="str">
        <f>IF(places!$A95="","",places!$A95)</f>
        <v>CZ-084</v>
      </c>
      <c r="B96" s="8" t="str">
        <f>IF(places!$A95="","",places!$B95)</f>
        <v>Las Penitas</v>
      </c>
      <c r="C96" s="17" t="str">
        <f>IF(places!$A95="","",places!$Y95)</f>
        <v>Town</v>
      </c>
      <c r="D96" s="19">
        <v>9.2022200000000005</v>
      </c>
      <c r="E96" s="19">
        <v>-79.894170000000003</v>
      </c>
      <c r="F96" s="19" t="s">
        <v>50</v>
      </c>
      <c r="G96" s="19" t="s">
        <v>96</v>
      </c>
    </row>
    <row r="97" spans="1:7" ht="15" customHeight="1" x14ac:dyDescent="0.2">
      <c r="A97" s="7" t="str">
        <f>IF(places!$A96="","",places!$A96)</f>
        <v>CZ-085</v>
      </c>
      <c r="B97" s="8" t="str">
        <f>IF(places!$A96="","",places!$B96)</f>
        <v>Palo Matias Viejo</v>
      </c>
      <c r="C97" s="17" t="str">
        <f>IF(places!$A96="","",places!$Y96)</f>
        <v>Town</v>
      </c>
      <c r="D97" s="19">
        <v>9.1985600000000005</v>
      </c>
      <c r="E97" s="19">
        <v>-79.895020000000002</v>
      </c>
      <c r="F97" s="19" t="s">
        <v>50</v>
      </c>
      <c r="G97" s="19" t="s">
        <v>96</v>
      </c>
    </row>
    <row r="98" spans="1:7" ht="15" customHeight="1" x14ac:dyDescent="0.2">
      <c r="A98" s="7" t="str">
        <f>IF(places!$A97="","",places!$A97)</f>
        <v>CZ-086</v>
      </c>
      <c r="B98" s="8" t="str">
        <f>IF(places!$A97="","",places!$B97)</f>
        <v>Whitehouse</v>
      </c>
      <c r="C98" s="17" t="str">
        <f>IF(places!$A97="","",places!$Y97)</f>
        <v>Town</v>
      </c>
      <c r="D98" s="19"/>
      <c r="E98" s="19"/>
      <c r="F98" s="19"/>
      <c r="G98" s="19"/>
    </row>
    <row r="99" spans="1:7" ht="15" customHeight="1" x14ac:dyDescent="0.2">
      <c r="A99" s="7" t="str">
        <f>IF(places!$A98="","",places!$A98)</f>
        <v>CZ-087</v>
      </c>
      <c r="B99" s="8" t="str">
        <f>IF(places!$A98="","",places!$B98)</f>
        <v>Cartagena</v>
      </c>
      <c r="C99" s="17" t="str">
        <f>IF(places!$A98="","",places!$Y98)</f>
        <v>Town</v>
      </c>
      <c r="D99" s="19"/>
      <c r="E99" s="19"/>
      <c r="F99" s="19"/>
      <c r="G99" s="19"/>
    </row>
    <row r="100" spans="1:7" ht="15" customHeight="1" x14ac:dyDescent="0.2">
      <c r="A100" s="7" t="str">
        <f>IF(places!$A99="","",places!$A99)</f>
        <v>CZ-110</v>
      </c>
      <c r="B100" s="8" t="str">
        <f>IF(places!$A99="","",places!$B99)</f>
        <v>Spanish Town</v>
      </c>
      <c r="C100" s="17" t="str">
        <f>IF(places!$A99="","",places!$Y99)</f>
        <v>Town</v>
      </c>
      <c r="D100" s="19">
        <v>9.0296400000000006</v>
      </c>
      <c r="E100" s="19">
        <v>-79.622910000000005</v>
      </c>
      <c r="F100" s="19" t="s">
        <v>25</v>
      </c>
      <c r="G100" s="19" t="s">
        <v>97</v>
      </c>
    </row>
    <row r="101" spans="1:7" ht="15" customHeight="1" x14ac:dyDescent="0.2">
      <c r="A101" s="7" t="str">
        <f>IF(places!$A100="","",places!$A100)</f>
        <v>CZ-111</v>
      </c>
      <c r="B101" s="8" t="str">
        <f>IF(places!$A100="","",places!$B100)</f>
        <v>Golden Green</v>
      </c>
      <c r="C101" s="17" t="str">
        <f>IF(places!$A100="","",places!$Y100)</f>
        <v>Town</v>
      </c>
      <c r="D101" s="19">
        <v>9.0556000000000001</v>
      </c>
      <c r="E101" s="19">
        <v>-79.662400000000005</v>
      </c>
      <c r="F101" s="19" t="s">
        <v>25</v>
      </c>
      <c r="G101" s="19" t="s">
        <v>98</v>
      </c>
    </row>
    <row r="102" spans="1:7" ht="15" customHeight="1" x14ac:dyDescent="0.2">
      <c r="A102" s="7" t="str">
        <f>IF(places!$A101="","",places!$A101)</f>
        <v>CZ-112</v>
      </c>
      <c r="B102" s="8" t="str">
        <f>IF(places!$A101="","",places!$B101)</f>
        <v>Carabali</v>
      </c>
      <c r="C102" s="17" t="str">
        <f>IF(places!$A101="","",places!$Y101)</f>
        <v>Town</v>
      </c>
      <c r="D102" s="19">
        <v>9.1045800000000003</v>
      </c>
      <c r="E102" s="19">
        <v>-79.722070000000002</v>
      </c>
      <c r="F102" s="19" t="s">
        <v>25</v>
      </c>
      <c r="G102" s="19" t="s">
        <v>99</v>
      </c>
    </row>
    <row r="103" spans="1:7" ht="15" customHeight="1" x14ac:dyDescent="0.2">
      <c r="A103" s="7" t="str">
        <f>IF(places!$A102="","",places!$A102)</f>
        <v>CZ-113</v>
      </c>
      <c r="B103" s="8" t="str">
        <f>IF(places!$A102="","",places!$B102)</f>
        <v>Casa Larga</v>
      </c>
      <c r="C103" s="17" t="str">
        <f>IF(places!$A102="","",places!$Y102)</f>
        <v>Town</v>
      </c>
      <c r="D103" s="19">
        <v>9.1839999999999993</v>
      </c>
      <c r="E103" s="19">
        <v>-79.564999999999998</v>
      </c>
      <c r="F103" s="19" t="s">
        <v>50</v>
      </c>
      <c r="G103" s="19" t="s">
        <v>100</v>
      </c>
    </row>
    <row r="104" spans="1:7" ht="15" customHeight="1" x14ac:dyDescent="0.2">
      <c r="A104" s="7" t="str">
        <f>IF(places!$A103="","",places!$A103)</f>
        <v>CZ-114</v>
      </c>
      <c r="B104" s="8" t="str">
        <f>IF(places!$A103="","",places!$B103)</f>
        <v>San Juan</v>
      </c>
      <c r="C104" s="17" t="str">
        <f>IF(places!$A103="","",places!$Y103)</f>
        <v>Town</v>
      </c>
      <c r="D104" s="19">
        <v>9.2528000000000006</v>
      </c>
      <c r="E104" s="19">
        <v>-79.579300000000003</v>
      </c>
      <c r="F104" s="19" t="s">
        <v>50</v>
      </c>
      <c r="G104" s="19" t="s">
        <v>101</v>
      </c>
    </row>
    <row r="105" spans="1:7" ht="15" customHeight="1" x14ac:dyDescent="0.2">
      <c r="A105" s="7" t="str">
        <f>IF(places!$A104="","",places!$A104)</f>
        <v>CZ-115</v>
      </c>
      <c r="B105" s="8" t="str">
        <f>IF(places!$A104="","",places!$B104)</f>
        <v>Tranquilla</v>
      </c>
      <c r="C105" s="17" t="str">
        <f>IF(places!$A104="","",places!$Y104)</f>
        <v>Town</v>
      </c>
      <c r="D105" s="19">
        <v>9.2383000000000006</v>
      </c>
      <c r="E105" s="19">
        <v>-79.566400000000002</v>
      </c>
      <c r="F105" s="19" t="s">
        <v>50</v>
      </c>
      <c r="G105" s="19" t="s">
        <v>101</v>
      </c>
    </row>
    <row r="106" spans="1:7" ht="15" customHeight="1" x14ac:dyDescent="0.2">
      <c r="A106" s="7" t="str">
        <f>IF(places!$A105="","",places!$A105)</f>
        <v>CZ-116</v>
      </c>
      <c r="B106" s="8" t="str">
        <f>IF(places!$A105="","",places!$B105)</f>
        <v>Dos Bocas</v>
      </c>
      <c r="C106" s="17" t="str">
        <f>IF(places!$A105="","",places!$Y105)</f>
        <v>Town</v>
      </c>
      <c r="D106" s="19">
        <v>9.2378999999999998</v>
      </c>
      <c r="E106" s="19">
        <v>-79.577699999999993</v>
      </c>
      <c r="F106" s="19" t="s">
        <v>50</v>
      </c>
      <c r="G106" s="19" t="s">
        <v>102</v>
      </c>
    </row>
    <row r="107" spans="1:7" ht="15" customHeight="1" x14ac:dyDescent="0.2">
      <c r="A107" s="7" t="str">
        <f>IF(places!$A106="","",places!$A106)</f>
        <v>CZ-117</v>
      </c>
      <c r="B107" s="8" t="str">
        <f>IF(places!$A106="","",places!$B106)</f>
        <v>Campanas</v>
      </c>
      <c r="C107" s="17" t="str">
        <f>IF(places!$A106="","",places!$Y106)</f>
        <v>Town</v>
      </c>
      <c r="D107" s="19">
        <v>9.2248999999999999</v>
      </c>
      <c r="E107" s="19">
        <v>-79.598600000000005</v>
      </c>
      <c r="F107" s="19" t="s">
        <v>50</v>
      </c>
      <c r="G107" s="19" t="s">
        <v>101</v>
      </c>
    </row>
    <row r="108" spans="1:7" ht="15" customHeight="1" x14ac:dyDescent="0.2">
      <c r="A108" s="7" t="str">
        <f>IF(places!$A107="","",places!$A107)</f>
        <v>CZ-118</v>
      </c>
      <c r="B108" s="8" t="str">
        <f>IF(places!$A107="","",places!$B107)</f>
        <v>Empire Court House</v>
      </c>
      <c r="C108" s="17" t="str">
        <f>IF(places!$A107="","",places!$Y107)</f>
        <v>Building</v>
      </c>
      <c r="D108" s="19">
        <v>9.0616920000000007</v>
      </c>
      <c r="E108" s="19">
        <v>-79.672240000000002</v>
      </c>
      <c r="F108" s="19" t="s">
        <v>46</v>
      </c>
      <c r="G108" s="19" t="s">
        <v>47</v>
      </c>
    </row>
    <row r="109" spans="1:7" ht="15" customHeight="1" x14ac:dyDescent="0.2">
      <c r="A109" s="7" t="str">
        <f>IF(places!$A108="","",places!$A108)</f>
        <v>CZ-119</v>
      </c>
      <c r="B109" s="8" t="str">
        <f>IF(places!$A108="","",places!$B108)</f>
        <v>Empire Freight House</v>
      </c>
      <c r="C109" s="17" t="str">
        <f>IF(places!$A108="","",places!$Y108)</f>
        <v>Infrastructure</v>
      </c>
      <c r="D109" s="19">
        <v>9.0624140000000004</v>
      </c>
      <c r="E109" s="19">
        <v>-79.671114000000003</v>
      </c>
      <c r="F109" s="19" t="s">
        <v>46</v>
      </c>
      <c r="G109" s="19" t="s">
        <v>47</v>
      </c>
    </row>
    <row r="110" spans="1:7" ht="15" customHeight="1" x14ac:dyDescent="0.2">
      <c r="A110" s="7" t="str">
        <f>IF(places!$A109="","",places!$A109)</f>
        <v>CZ-120</v>
      </c>
      <c r="B110" s="8" t="str">
        <f>IF(places!$A109="","",places!$B109)</f>
        <v>Empire Base Ball Park</v>
      </c>
      <c r="C110" s="17" t="str">
        <f>IF(places!$A109="","",places!$Y109)</f>
        <v>Site/Institution</v>
      </c>
      <c r="D110" s="19">
        <v>9.0602499999999999</v>
      </c>
      <c r="E110" s="19">
        <v>-79.671850000000006</v>
      </c>
      <c r="F110" s="19" t="s">
        <v>46</v>
      </c>
      <c r="G110" s="19" t="s">
        <v>47</v>
      </c>
    </row>
    <row r="111" spans="1:7" ht="15" customHeight="1" x14ac:dyDescent="0.2">
      <c r="A111" s="7" t="str">
        <f>IF(places!$A110="","",places!$A110)</f>
        <v>CZ-121</v>
      </c>
      <c r="B111" s="8" t="str">
        <f>IF(places!$A110="","",places!$B110)</f>
        <v>Empire I.C.C. Hotel</v>
      </c>
      <c r="C111" s="17" t="str">
        <f>IF(places!$A110="","",places!$Y110)</f>
        <v>Building</v>
      </c>
      <c r="D111" s="19">
        <v>9.0620740000000009</v>
      </c>
      <c r="E111" s="19">
        <v>-79.669970000000006</v>
      </c>
      <c r="F111" s="19" t="s">
        <v>46</v>
      </c>
      <c r="G111" s="19" t="s">
        <v>47</v>
      </c>
    </row>
    <row r="112" spans="1:7" ht="15" customHeight="1" x14ac:dyDescent="0.2">
      <c r="A112" s="7" t="str">
        <f>IF(places!$A111="","",places!$A111)</f>
        <v>CZ-122</v>
      </c>
      <c r="B112" s="8" t="str">
        <f>IF(places!$A111="","",places!$B111)</f>
        <v>Empire Police Station</v>
      </c>
      <c r="C112" s="17" t="str">
        <f>IF(places!$A111="","",places!$Y111)</f>
        <v>Building</v>
      </c>
      <c r="D112" s="19">
        <v>9.0635519999999996</v>
      </c>
      <c r="E112" s="19">
        <v>-79.672604000000007</v>
      </c>
      <c r="F112" s="19" t="s">
        <v>46</v>
      </c>
      <c r="G112" s="19" t="s">
        <v>47</v>
      </c>
    </row>
    <row r="113" spans="1:7" ht="15" customHeight="1" x14ac:dyDescent="0.2">
      <c r="A113" s="7" t="str">
        <f>IF(places!$A112="","",places!$A112)</f>
        <v>CZ-123</v>
      </c>
      <c r="B113" s="8" t="str">
        <f>IF(places!$A112="","",places!$B112)</f>
        <v>Empire Municipal Building</v>
      </c>
      <c r="C113" s="17" t="str">
        <f>IF(places!$A112="","",places!$Y112)</f>
        <v>Building</v>
      </c>
      <c r="D113" s="19">
        <v>9.0637539999999994</v>
      </c>
      <c r="E113" s="19">
        <v>-79.673452999999995</v>
      </c>
      <c r="F113" s="19" t="s">
        <v>46</v>
      </c>
      <c r="G113" s="19" t="s">
        <v>47</v>
      </c>
    </row>
    <row r="114" spans="1:7" ht="15" customHeight="1" x14ac:dyDescent="0.2">
      <c r="A114" s="7" t="str">
        <f>IF(places!$A113="","",places!$A113)</f>
        <v>CZ-124</v>
      </c>
      <c r="B114" s="8" t="str">
        <f>IF(places!$A113="","",places!$B113)</f>
        <v>Empire Railroad Shops</v>
      </c>
      <c r="C114" s="17" t="str">
        <f>IF(places!$A113="","",places!$Y113)</f>
        <v>Site/Institution</v>
      </c>
      <c r="D114" s="19">
        <v>9.0649899999999999</v>
      </c>
      <c r="E114" s="19">
        <v>-79.671467000000007</v>
      </c>
      <c r="F114" s="19" t="s">
        <v>46</v>
      </c>
      <c r="G114" s="19" t="s">
        <v>47</v>
      </c>
    </row>
    <row r="115" spans="1:7" ht="15" customHeight="1" x14ac:dyDescent="0.2">
      <c r="A115" s="7" t="str">
        <f>IF(places!$A114="","",places!$A114)</f>
        <v>CZ-125</v>
      </c>
      <c r="B115" s="8" t="str">
        <f>IF(places!$A114="","",places!$B114)</f>
        <v>Empire YMCA</v>
      </c>
      <c r="C115" s="17" t="str">
        <f>IF(places!$A114="","",places!$Y114)</f>
        <v>Building</v>
      </c>
      <c r="D115" s="19">
        <v>9.0621469999999995</v>
      </c>
      <c r="E115" s="19">
        <v>-79.672213999999997</v>
      </c>
      <c r="F115" s="19" t="s">
        <v>46</v>
      </c>
      <c r="G115" s="19" t="s">
        <v>47</v>
      </c>
    </row>
    <row r="116" spans="1:7" ht="15" customHeight="1" x14ac:dyDescent="0.2">
      <c r="A116" s="7" t="str">
        <f>IF(places!$A115="","",places!$A115)</f>
        <v>CZ-126</v>
      </c>
      <c r="B116" s="8" t="str">
        <f>IF(places!$A115="","",places!$B115)</f>
        <v>Empire Fire Station</v>
      </c>
      <c r="C116" s="17" t="str">
        <f>IF(places!$A115="","",places!$Y115)</f>
        <v>Building</v>
      </c>
      <c r="D116" s="19">
        <v>9.0623579999999997</v>
      </c>
      <c r="E116" s="19">
        <v>-79.671839000000006</v>
      </c>
      <c r="F116" s="19" t="s">
        <v>46</v>
      </c>
      <c r="G116" s="19" t="s">
        <v>47</v>
      </c>
    </row>
    <row r="117" spans="1:7" ht="15" customHeight="1" x14ac:dyDescent="0.2">
      <c r="A117" s="7" t="str">
        <f>IF(places!$A116="","",places!$A116)</f>
        <v>CZ-127</v>
      </c>
      <c r="B117" s="8" t="str">
        <f>IF(places!$A116="","",places!$B116)</f>
        <v>Empire Bank</v>
      </c>
      <c r="C117" s="17" t="str">
        <f>IF(places!$A116="","",places!$Y116)</f>
        <v>Building</v>
      </c>
      <c r="D117" s="19">
        <v>9.0619580000000006</v>
      </c>
      <c r="E117" s="19">
        <v>-79.671924000000004</v>
      </c>
      <c r="F117" s="19" t="s">
        <v>46</v>
      </c>
      <c r="G117" s="19" t="s">
        <v>47</v>
      </c>
    </row>
    <row r="118" spans="1:7" ht="15" customHeight="1" x14ac:dyDescent="0.2">
      <c r="A118" s="7" t="str">
        <f>IF(places!$A117="","",places!$A117)</f>
        <v>CZ-128</v>
      </c>
      <c r="B118" s="8" t="str">
        <f>IF(places!$A117="","",places!$B117)</f>
        <v>Empire Post Office</v>
      </c>
      <c r="C118" s="17" t="str">
        <f>IF(places!$A117="","",places!$Y117)</f>
        <v>Building</v>
      </c>
      <c r="D118" s="19">
        <v>9.0621360000000006</v>
      </c>
      <c r="E118" s="19">
        <v>-79.671717000000001</v>
      </c>
      <c r="F118" s="19" t="s">
        <v>46</v>
      </c>
      <c r="G118" s="19" t="s">
        <v>47</v>
      </c>
    </row>
    <row r="119" spans="1:7" ht="15" customHeight="1" x14ac:dyDescent="0.2">
      <c r="A119" s="7" t="str">
        <f>IF(places!$A118="","",places!$A118)</f>
        <v>CZ-129</v>
      </c>
      <c r="B119" s="8" t="str">
        <f>IF(places!$A118="","",places!$B118)</f>
        <v>Empire Dispensary</v>
      </c>
      <c r="C119" s="17" t="str">
        <f>IF(places!$A118="","",places!$Y118)</f>
        <v>Site/Institution</v>
      </c>
      <c r="D119" s="19">
        <v>9.0631190000000004</v>
      </c>
      <c r="E119" s="19">
        <v>-79.669803999999999</v>
      </c>
      <c r="F119" s="19" t="s">
        <v>46</v>
      </c>
      <c r="G119" s="19" t="s">
        <v>47</v>
      </c>
    </row>
    <row r="120" spans="1:7" ht="15" customHeight="1" x14ac:dyDescent="0.2">
      <c r="A120" s="7" t="str">
        <f>IF(places!$A119="","",places!$A119)</f>
        <v>CZ-130</v>
      </c>
      <c r="B120" s="8" t="str">
        <f>IF(places!$A119="","",places!$B119)</f>
        <v>Gorgona Market</v>
      </c>
      <c r="C120" s="17" t="str">
        <f>IF(places!$A119="","",places!$Y119)</f>
        <v>Building</v>
      </c>
      <c r="D120" s="19">
        <v>9.1162919999999996</v>
      </c>
      <c r="E120" s="19">
        <v>-79.724699999999999</v>
      </c>
      <c r="F120" s="19" t="s">
        <v>103</v>
      </c>
      <c r="G120" s="19" t="s">
        <v>104</v>
      </c>
    </row>
    <row r="121" spans="1:7" ht="15" customHeight="1" x14ac:dyDescent="0.2">
      <c r="A121" s="7" t="str">
        <f>IF(places!$A120="","",places!$A120)</f>
        <v>CZ-131</v>
      </c>
      <c r="B121" s="8" t="str">
        <f>IF(places!$A120="","",places!$B120)</f>
        <v>Gorgona YMCA</v>
      </c>
      <c r="C121" s="17" t="str">
        <f>IF(places!$A120="","",places!$Y120)</f>
        <v>Building</v>
      </c>
      <c r="D121" s="19">
        <v>9.1146259999999995</v>
      </c>
      <c r="E121" s="19">
        <v>-79.723693999999995</v>
      </c>
      <c r="F121" s="19" t="s">
        <v>103</v>
      </c>
      <c r="G121" s="19" t="s">
        <v>104</v>
      </c>
    </row>
    <row r="122" spans="1:7" ht="15" customHeight="1" x14ac:dyDescent="0.2">
      <c r="A122" s="7" t="str">
        <f>IF(places!$A121="","",places!$A121)</f>
        <v>CZ-132</v>
      </c>
      <c r="B122" s="8" t="str">
        <f>IF(places!$A121="","",places!$B121)</f>
        <v>Gorgona Band Stand</v>
      </c>
      <c r="C122" s="17" t="str">
        <f>IF(places!$A121="","",places!$Y121)</f>
        <v>Site/Institution</v>
      </c>
      <c r="D122" s="19">
        <v>9.1159879999999998</v>
      </c>
      <c r="E122" s="19">
        <v>-79.724287000000004</v>
      </c>
      <c r="F122" s="19" t="s">
        <v>103</v>
      </c>
      <c r="G122" s="19" t="s">
        <v>104</v>
      </c>
    </row>
    <row r="123" spans="1:7" ht="15" customHeight="1" x14ac:dyDescent="0.2">
      <c r="A123" s="7" t="str">
        <f>IF(places!$A122="","",places!$A122)</f>
        <v>CZ-133</v>
      </c>
      <c r="B123" s="8" t="str">
        <f>IF(places!$A122="","",places!$B122)</f>
        <v>Gorgona I.C.C. Hotel</v>
      </c>
      <c r="C123" s="17" t="str">
        <f>IF(places!$A122="","",places!$Y122)</f>
        <v>Building</v>
      </c>
      <c r="D123" s="19">
        <v>9.1136759999999999</v>
      </c>
      <c r="E123" s="19">
        <v>-79.724626999999998</v>
      </c>
      <c r="F123" s="19" t="s">
        <v>103</v>
      </c>
      <c r="G123" s="19" t="s">
        <v>104</v>
      </c>
    </row>
    <row r="124" spans="1:7" ht="15" customHeight="1" x14ac:dyDescent="0.2">
      <c r="A124" s="7" t="str">
        <f>IF(places!$A123="","",places!$A123)</f>
        <v>CZ-134</v>
      </c>
      <c r="B124" s="8" t="str">
        <f>IF(places!$A123="","",places!$B123)</f>
        <v>Gorgona Hotel (private)</v>
      </c>
      <c r="C124" s="17" t="str">
        <f>IF(places!$A123="","",places!$Y123)</f>
        <v>Building</v>
      </c>
      <c r="D124" s="19">
        <v>9.1167320000000007</v>
      </c>
      <c r="E124" s="19">
        <v>-79.725119000000007</v>
      </c>
      <c r="F124" s="19" t="s">
        <v>103</v>
      </c>
      <c r="G124" s="19" t="s">
        <v>104</v>
      </c>
    </row>
    <row r="125" spans="1:7" ht="15" customHeight="1" x14ac:dyDescent="0.2">
      <c r="A125" s="7" t="str">
        <f>IF(places!$A124="","",places!$A124)</f>
        <v>CZ-135</v>
      </c>
      <c r="B125" s="8" t="str">
        <f>IF(places!$A124="","",places!$B124)</f>
        <v>Culebra YMCA Club House</v>
      </c>
      <c r="C125" s="17" t="str">
        <f>IF(places!$A124="","",places!$Y124)</f>
        <v>Building</v>
      </c>
      <c r="D125" s="19">
        <v>9.0494240000000001</v>
      </c>
      <c r="E125" s="19">
        <v>-79.655895000000001</v>
      </c>
      <c r="F125" s="19" t="s">
        <v>105</v>
      </c>
      <c r="G125" s="19" t="s">
        <v>106</v>
      </c>
    </row>
    <row r="126" spans="1:7" ht="15" customHeight="1" x14ac:dyDescent="0.2">
      <c r="A126" s="7" t="str">
        <f>IF(places!$A125="","",places!$A125)</f>
        <v>CZ-136</v>
      </c>
      <c r="B126" s="8" t="str">
        <f>IF(places!$A125="","",places!$B125)</f>
        <v>Culebra Hotel</v>
      </c>
      <c r="C126" s="17" t="str">
        <f>IF(places!$A125="","",places!$Y125)</f>
        <v>Building</v>
      </c>
      <c r="D126" s="19">
        <v>9.0485900000000008</v>
      </c>
      <c r="E126" s="19">
        <v>-79.655124999999998</v>
      </c>
      <c r="F126" s="19" t="s">
        <v>105</v>
      </c>
      <c r="G126" s="19" t="s">
        <v>106</v>
      </c>
    </row>
    <row r="127" spans="1:7" ht="15" customHeight="1" x14ac:dyDescent="0.2">
      <c r="A127" s="7" t="str">
        <f>IF(places!$A126="","",places!$A126)</f>
        <v>CZ-137</v>
      </c>
      <c r="B127" s="8" t="str">
        <f>IF(places!$A126="","",places!$B126)</f>
        <v>Culebra Post Office</v>
      </c>
      <c r="C127" s="17" t="str">
        <f>IF(places!$A126="","",places!$Y126)</f>
        <v>Building</v>
      </c>
      <c r="D127" s="19">
        <v>9.0488560000000007</v>
      </c>
      <c r="E127" s="19">
        <v>-79.654494</v>
      </c>
      <c r="F127" s="19" t="s">
        <v>105</v>
      </c>
      <c r="G127" s="19" t="s">
        <v>106</v>
      </c>
    </row>
    <row r="128" spans="1:7" ht="15" customHeight="1" x14ac:dyDescent="0.2">
      <c r="A128" s="7" t="str">
        <f>IF(places!$A127="","",places!$A127)</f>
        <v>CZ-138</v>
      </c>
      <c r="B128" s="8" t="str">
        <f>IF(places!$A127="","",places!$B127)</f>
        <v>Culebra Church &amp; Lodge Hall</v>
      </c>
      <c r="C128" s="17" t="str">
        <f>IF(places!$A127="","",places!$Y127)</f>
        <v>Building</v>
      </c>
      <c r="D128" s="19">
        <v>9.0482089999999999</v>
      </c>
      <c r="E128" s="19">
        <v>-79.654803999999999</v>
      </c>
      <c r="F128" s="19" t="s">
        <v>105</v>
      </c>
      <c r="G128" s="19" t="s">
        <v>106</v>
      </c>
    </row>
    <row r="129" spans="1:7" ht="15" customHeight="1" x14ac:dyDescent="0.2">
      <c r="A129" s="7" t="str">
        <f>IF(places!$A128="","",places!$A128)</f>
        <v>CZ-139</v>
      </c>
      <c r="B129" s="8" t="str">
        <f>IF(places!$A128="","",places!$B128)</f>
        <v>Culebra Colored School</v>
      </c>
      <c r="C129" s="17" t="str">
        <f>IF(places!$A128="","",places!$Y128)</f>
        <v>Building</v>
      </c>
      <c r="D129" s="19">
        <v>9.0500349999999994</v>
      </c>
      <c r="E129" s="19">
        <v>-79.655356999999995</v>
      </c>
      <c r="F129" s="19" t="s">
        <v>105</v>
      </c>
      <c r="G129" s="19" t="s">
        <v>106</v>
      </c>
    </row>
    <row r="130" spans="1:7" ht="15" customHeight="1" x14ac:dyDescent="0.2">
      <c r="A130" s="7" t="str">
        <f>IF(places!$A129="","",places!$A129)</f>
        <v>CZ-140</v>
      </c>
      <c r="B130" s="8" t="str">
        <f>IF(places!$A129="","",places!$B129)</f>
        <v>Culebra Commissary</v>
      </c>
      <c r="C130" s="17" t="str">
        <f>IF(places!$A129="","",places!$Y129)</f>
        <v>Building</v>
      </c>
      <c r="D130" s="19">
        <v>9.0498440000000002</v>
      </c>
      <c r="E130" s="19">
        <v>-79.655026000000007</v>
      </c>
      <c r="F130" s="19" t="s">
        <v>105</v>
      </c>
      <c r="G130" s="19" t="s">
        <v>106</v>
      </c>
    </row>
    <row r="131" spans="1:7" ht="15" customHeight="1" x14ac:dyDescent="0.2">
      <c r="A131" s="7" t="str">
        <f>IF(places!$A130="","",places!$A130)</f>
        <v>CZ-141</v>
      </c>
      <c r="B131" s="8" t="str">
        <f>IF(places!$A130="","",places!$B130)</f>
        <v>Culebra Fire Department</v>
      </c>
      <c r="C131" s="17" t="str">
        <f>IF(places!$A130="","",places!$Y130)</f>
        <v>Building</v>
      </c>
      <c r="D131" s="19">
        <v>9.0493249999999996</v>
      </c>
      <c r="E131" s="19">
        <v>-79.655420000000007</v>
      </c>
      <c r="F131" s="19" t="s">
        <v>105</v>
      </c>
      <c r="G131" s="19" t="s">
        <v>106</v>
      </c>
    </row>
    <row r="132" spans="1:7" ht="15" customHeight="1" x14ac:dyDescent="0.2">
      <c r="A132" s="7" t="str">
        <f>IF(places!$A131="","",places!$A131)</f>
        <v>CZ-142</v>
      </c>
      <c r="B132" s="8" t="str">
        <f>IF(places!$A131="","",places!$B131)</f>
        <v>Culebra Dispensary</v>
      </c>
      <c r="C132" s="17" t="str">
        <f>IF(places!$A131="","",places!$Y131)</f>
        <v>Site/Institution</v>
      </c>
      <c r="D132" s="19">
        <v>9.0483820000000001</v>
      </c>
      <c r="E132" s="19">
        <v>-79.655512999999999</v>
      </c>
      <c r="F132" s="19" t="s">
        <v>105</v>
      </c>
      <c r="G132" s="19" t="s">
        <v>106</v>
      </c>
    </row>
    <row r="133" spans="1:7" ht="15" customHeight="1" x14ac:dyDescent="0.2">
      <c r="A133" s="7" t="str">
        <f>IF(places!$A132="","",places!$A132)</f>
        <v>CZ-143</v>
      </c>
      <c r="B133" s="8" t="str">
        <f>IF(places!$A132="","",places!$B132)</f>
        <v>Culebra Planing Mill</v>
      </c>
      <c r="C133" s="17" t="str">
        <f>IF(places!$A132="","",places!$Y132)</f>
        <v>Infrastructure</v>
      </c>
      <c r="D133" s="19">
        <v>9.0496680000000005</v>
      </c>
      <c r="E133" s="19">
        <v>-79.654655000000005</v>
      </c>
      <c r="F133" s="19" t="s">
        <v>105</v>
      </c>
      <c r="G133" s="19" t="s">
        <v>106</v>
      </c>
    </row>
    <row r="134" spans="1:7" ht="15" customHeight="1" x14ac:dyDescent="0.2">
      <c r="A134" s="7" t="str">
        <f>IF(places!$A133="","",places!$A133)</f>
        <v>CZ-144</v>
      </c>
      <c r="B134" s="8" t="str">
        <f>IF(places!$A133="","",places!$B133)</f>
        <v>Culebra Corral</v>
      </c>
      <c r="C134" s="17" t="str">
        <f>IF(places!$A133="","",places!$Y133)</f>
        <v>Infrastructure</v>
      </c>
      <c r="D134" s="19">
        <v>9.0474370000000004</v>
      </c>
      <c r="E134" s="19">
        <v>-79.656308999999993</v>
      </c>
      <c r="F134" s="19" t="s">
        <v>105</v>
      </c>
      <c r="G134" s="19" t="s">
        <v>106</v>
      </c>
    </row>
    <row r="135" spans="1:7" ht="15" customHeight="1" x14ac:dyDescent="0.2">
      <c r="A135" s="7" t="str">
        <f>IF(places!$A134="","",places!$A134)</f>
        <v>CZ-145</v>
      </c>
      <c r="B135" s="8" t="str">
        <f>IF(places!$A134="","",places!$B134)</f>
        <v>Culebra Lumber Mill</v>
      </c>
      <c r="C135" s="17" t="str">
        <f>IF(places!$A134="","",places!$Y134)</f>
        <v>Infrastructure</v>
      </c>
      <c r="D135" s="19">
        <v>9.0519770000000008</v>
      </c>
      <c r="E135" s="19">
        <v>-79.658513999999997</v>
      </c>
      <c r="F135" s="19" t="s">
        <v>105</v>
      </c>
      <c r="G135" s="19" t="s">
        <v>106</v>
      </c>
    </row>
    <row r="136" spans="1:7" ht="15" customHeight="1" x14ac:dyDescent="0.2">
      <c r="A136" s="7" t="str">
        <f>IF(places!$A135="","",places!$A135)</f>
        <v>CZ-146</v>
      </c>
      <c r="B136" s="8" t="str">
        <f>IF(places!$A135="","",places!$B135)</f>
        <v>Culebra PRR Depot</v>
      </c>
      <c r="C136" s="17" t="str">
        <f>IF(places!$A135="","",places!$Y135)</f>
        <v>Infrastructure</v>
      </c>
      <c r="D136" s="19">
        <v>9.0490189999999995</v>
      </c>
      <c r="E136" s="19">
        <v>-79.654976000000005</v>
      </c>
      <c r="F136" s="19" t="s">
        <v>105</v>
      </c>
      <c r="G136" s="19" t="s">
        <v>106</v>
      </c>
    </row>
    <row r="137" spans="1:7" ht="15" customHeight="1" x14ac:dyDescent="0.2">
      <c r="A137" s="7" t="str">
        <f>IF(places!$A136="","",places!$A136)</f>
        <v>CZ-147</v>
      </c>
      <c r="B137" s="8" t="str">
        <f>IF(places!$A136="","",places!$B136)</f>
        <v>Culebra Magazine</v>
      </c>
      <c r="C137" s="17" t="str">
        <f>IF(places!$A136="","",places!$Y136)</f>
        <v>Infrastructure</v>
      </c>
      <c r="D137" s="19">
        <v>9.0496490000000005</v>
      </c>
      <c r="E137" s="19">
        <v>-79.654657999999998</v>
      </c>
      <c r="F137" s="19" t="s">
        <v>105</v>
      </c>
      <c r="G137" s="19" t="s">
        <v>106</v>
      </c>
    </row>
    <row r="138" spans="1:7" ht="15" customHeight="1" x14ac:dyDescent="0.2">
      <c r="A138" s="7" t="str">
        <f>IF(places!$A137="","",places!$A137)</f>
        <v>CZ-148</v>
      </c>
      <c r="B138" s="8" t="str">
        <f>IF(places!$A137="","",places!$B137)</f>
        <v>Las Cascadas Engine House</v>
      </c>
      <c r="C138" s="17" t="str">
        <f>IF(places!$A137="","",places!$Y137)</f>
        <v>Infrastructure</v>
      </c>
      <c r="D138" s="19">
        <v>9.0858369999999997</v>
      </c>
      <c r="E138" s="19">
        <v>-79.681055000000001</v>
      </c>
      <c r="F138" s="19" t="s">
        <v>105</v>
      </c>
      <c r="G138" s="19" t="s">
        <v>106</v>
      </c>
    </row>
    <row r="139" spans="1:7" ht="15" customHeight="1" x14ac:dyDescent="0.2">
      <c r="A139" s="7" t="str">
        <f>IF(places!$A138="","",places!$A138)</f>
        <v>CZ-149</v>
      </c>
      <c r="B139" s="8" t="str">
        <f>IF(places!$A138="","",places!$B138)</f>
        <v>Las Cascadas Post Office</v>
      </c>
      <c r="C139" s="17" t="str">
        <f>IF(places!$A138="","",places!$Y138)</f>
        <v>Building</v>
      </c>
      <c r="D139" s="19">
        <v>9.0855099999999993</v>
      </c>
      <c r="E139" s="19">
        <v>-79.681569999999994</v>
      </c>
      <c r="F139" s="19" t="s">
        <v>105</v>
      </c>
      <c r="G139" s="19" t="s">
        <v>106</v>
      </c>
    </row>
    <row r="140" spans="1:7" ht="15" customHeight="1" x14ac:dyDescent="0.2">
      <c r="A140" s="7" t="str">
        <f>IF(places!$A139="","",places!$A139)</f>
        <v>CZ-150</v>
      </c>
      <c r="B140" s="8" t="str">
        <f>IF(places!$A139="","",places!$B139)</f>
        <v>Paraiso Shops (French-era complex)</v>
      </c>
      <c r="C140" s="17" t="str">
        <f>IF(places!$A139="","",places!$Y139)</f>
        <v>Site/Institution</v>
      </c>
      <c r="D140" s="19">
        <v>9.0288850000000007</v>
      </c>
      <c r="E140" s="19">
        <v>-79.627707999999998</v>
      </c>
      <c r="F140" s="19" t="s">
        <v>105</v>
      </c>
      <c r="G140" s="19" t="s">
        <v>106</v>
      </c>
    </row>
    <row r="141" spans="1:7" ht="15" customHeight="1" x14ac:dyDescent="0.2">
      <c r="A141" s="7" t="str">
        <f>IF(places!$A140="","",places!$A140)</f>
        <v>CZ-151</v>
      </c>
      <c r="B141" s="8" t="str">
        <f>IF(places!$A140="","",places!$B140)</f>
        <v>Paraiso Hotel</v>
      </c>
      <c r="C141" s="17" t="str">
        <f>IF(places!$A140="","",places!$Y140)</f>
        <v>Building</v>
      </c>
      <c r="D141" s="19">
        <v>9.0305319999999991</v>
      </c>
      <c r="E141" s="19">
        <v>-79.630274999999997</v>
      </c>
      <c r="F141" s="19" t="s">
        <v>105</v>
      </c>
      <c r="G141" s="19" t="s">
        <v>106</v>
      </c>
    </row>
    <row r="142" spans="1:7" ht="15" customHeight="1" x14ac:dyDescent="0.2">
      <c r="A142" s="7" t="str">
        <f>IF(places!$A141="","",places!$A141)</f>
        <v>CZ-152</v>
      </c>
      <c r="B142" s="8" t="str">
        <f>IF(places!$A141="","",places!$B141)</f>
        <v>Pedro Miguel Labor Camp</v>
      </c>
      <c r="C142" s="17" t="str">
        <f>IF(places!$A141="","",places!$Y141)</f>
        <v>Neighborhood</v>
      </c>
      <c r="D142" s="19">
        <v>9.0198549999999997</v>
      </c>
      <c r="E142" s="19">
        <v>-79.613703999999998</v>
      </c>
      <c r="F142" s="19" t="s">
        <v>105</v>
      </c>
      <c r="G142" s="19" t="s">
        <v>106</v>
      </c>
    </row>
    <row r="143" spans="1:7" ht="15" customHeight="1" x14ac:dyDescent="0.2">
      <c r="A143" s="7" t="str">
        <f>IF(places!$A142="","",places!$A142)</f>
        <v>CZ-153</v>
      </c>
      <c r="B143" s="8" t="str">
        <f>IF(places!$A142="","",places!$B142)</f>
        <v>Pedro Miguel Shops / Roundhouse</v>
      </c>
      <c r="C143" s="17" t="str">
        <f>IF(places!$A142="","",places!$Y142)</f>
        <v>Infrastructure</v>
      </c>
      <c r="D143" s="19">
        <v>9.0177069999999997</v>
      </c>
      <c r="E143" s="19">
        <v>-79.608486999999997</v>
      </c>
      <c r="F143" s="19" t="s">
        <v>105</v>
      </c>
      <c r="G143" s="19" t="s">
        <v>106</v>
      </c>
    </row>
    <row r="144" spans="1:7" ht="15" customHeight="1" x14ac:dyDescent="0.2">
      <c r="A144" s="7" t="str">
        <f>IF(places!$A143="","",places!$A143)</f>
        <v>CZ-154</v>
      </c>
      <c r="B144" s="8" t="str">
        <f>IF(places!$A143="","",places!$B143)</f>
        <v>Paraiso Police Station</v>
      </c>
      <c r="C144" s="17" t="str">
        <f>IF(places!$A143="","",places!$Y143)</f>
        <v>Building</v>
      </c>
      <c r="D144" s="19">
        <v>9.0300360000000008</v>
      </c>
      <c r="E144" s="19">
        <v>-79.628589000000005</v>
      </c>
      <c r="F144" s="19" t="s">
        <v>105</v>
      </c>
      <c r="G144" s="19" t="s">
        <v>107</v>
      </c>
    </row>
    <row r="145" spans="1:7" ht="15" customHeight="1" x14ac:dyDescent="0.2">
      <c r="A145" s="7" t="str">
        <f>IF(places!$A144="","",places!$A144)</f>
        <v>CZ-155</v>
      </c>
      <c r="B145" s="8" t="str">
        <f>IF(places!$A144="","",places!$B144)</f>
        <v>Buena Vista (Pacific camp)</v>
      </c>
      <c r="C145" s="17" t="str">
        <f>IF(places!$A144="","",places!$Y144)</f>
        <v>Town</v>
      </c>
      <c r="D145" s="19">
        <v>9.0922830000000001</v>
      </c>
      <c r="E145" s="19">
        <v>-79.683273999999997</v>
      </c>
      <c r="F145" s="19" t="s">
        <v>105</v>
      </c>
      <c r="G145" s="19" t="s">
        <v>106</v>
      </c>
    </row>
    <row r="146" spans="1:7" ht="15" customHeight="1" x14ac:dyDescent="0.2">
      <c r="A146" s="7" t="str">
        <f>IF(places!$A145="","",places!$A145)</f>
        <v>CZ-156</v>
      </c>
      <c r="B146" s="8" t="str">
        <f>IF(places!$A145="","",places!$B145)</f>
        <v>Guachapali</v>
      </c>
      <c r="C146" s="17" t="str">
        <f>IF(places!$A145="","",places!$Y145)</f>
        <v>Town</v>
      </c>
      <c r="D146" s="19">
        <v>8.96096</v>
      </c>
      <c r="E146" s="19">
        <v>-79.540520000000001</v>
      </c>
      <c r="F146" s="19" t="s">
        <v>108</v>
      </c>
      <c r="G146" s="19" t="s">
        <v>109</v>
      </c>
    </row>
    <row r="147" spans="1:7" ht="15" customHeight="1" x14ac:dyDescent="0.2">
      <c r="A147" s="7" t="str">
        <f>IF(places!$A146="","",places!$A146)</f>
        <v>CZ-157</v>
      </c>
      <c r="B147" s="8" t="str">
        <f>IF(places!$A146="","",places!$B146)</f>
        <v>Cansaloma</v>
      </c>
      <c r="C147" s="17" t="str">
        <f>IF(places!$A146="","",places!$Y146)</f>
        <v>Town</v>
      </c>
      <c r="D147" s="19">
        <v>9.1161999999999992</v>
      </c>
      <c r="E147" s="19">
        <v>-79.7273</v>
      </c>
      <c r="F147" s="19" t="s">
        <v>110</v>
      </c>
      <c r="G147" s="19" t="s">
        <v>111</v>
      </c>
    </row>
    <row r="148" spans="1:7" ht="15" customHeight="1" x14ac:dyDescent="0.2">
      <c r="A148" s="7" t="str">
        <f>IF(places!$A147="","",places!$A147)</f>
        <v>CZ-158</v>
      </c>
      <c r="B148" s="8" t="str">
        <f>IF(places!$A147="","",places!$B147)</f>
        <v>Silver City</v>
      </c>
      <c r="C148" s="17" t="str">
        <f>IF(places!$A147="","",places!$Y147)</f>
        <v>Neighborhood</v>
      </c>
      <c r="D148" s="19">
        <v>9.3454359999999994</v>
      </c>
      <c r="E148" s="19">
        <v>-79.898892000000004</v>
      </c>
      <c r="F148" s="19" t="s">
        <v>112</v>
      </c>
      <c r="G148" s="19" t="s">
        <v>113</v>
      </c>
    </row>
    <row r="149" spans="1:7" ht="15" customHeight="1" x14ac:dyDescent="0.2">
      <c r="A149" s="7" t="str">
        <f>IF(places!$A148="","",places!$A148)</f>
        <v>CZ-159</v>
      </c>
      <c r="B149" s="8" t="str">
        <f>IF(places!$A148="","",places!$B148)</f>
        <v>Culebra Baptist Mission Church</v>
      </c>
      <c r="C149" s="17" t="str">
        <f>IF(places!$A148="","",places!$Y148)</f>
        <v>Building</v>
      </c>
      <c r="D149" s="19">
        <v>9.0477000000000007</v>
      </c>
      <c r="E149" s="19">
        <v>-79.654799999999994</v>
      </c>
      <c r="F149" s="19" t="s">
        <v>114</v>
      </c>
      <c r="G149" s="19" t="s">
        <v>115</v>
      </c>
    </row>
    <row r="150" spans="1:7" ht="15" customHeight="1" x14ac:dyDescent="0.2">
      <c r="A150" s="7" t="str">
        <f>IF(places!$A149="","",places!$A149)</f>
        <v>CZ-160</v>
      </c>
      <c r="B150" s="8" t="str">
        <f>IF(places!$A149="","",places!$B149)</f>
        <v>Mt Zion (Culebra)</v>
      </c>
      <c r="C150" s="17" t="str">
        <f>IF(places!$A149="","",places!$Y149)</f>
        <v>Site/Institution</v>
      </c>
      <c r="D150" s="19">
        <v>9.0443940000000005</v>
      </c>
      <c r="E150" s="19">
        <v>-79.654788999999994</v>
      </c>
      <c r="F150" s="19" t="s">
        <v>116</v>
      </c>
      <c r="G150" s="19" t="s">
        <v>117</v>
      </c>
    </row>
    <row r="151" spans="1:7" ht="15" customHeight="1" x14ac:dyDescent="0.2">
      <c r="A151" s="7" t="str">
        <f>IF(places!$A150="","",places!$A150)</f>
        <v>CZ-161</v>
      </c>
      <c r="B151" s="8" t="str">
        <f>IF(places!$A150="","",places!$B150)</f>
        <v>Ancon Hospital</v>
      </c>
      <c r="C151" s="17" t="str">
        <f>IF(places!$A150="","",places!$Y150)</f>
        <v>Site/Institution</v>
      </c>
      <c r="D151" s="19">
        <v>8.9613359999999993</v>
      </c>
      <c r="E151" s="19">
        <v>-79.549452000000002</v>
      </c>
      <c r="F151" s="19" t="s">
        <v>69</v>
      </c>
      <c r="G151" s="19" t="s">
        <v>118</v>
      </c>
    </row>
    <row r="152" spans="1:7" ht="15" customHeight="1" x14ac:dyDescent="0.2">
      <c r="A152" s="7" t="str">
        <f>IF(places!$A151="","",places!$A151)</f>
        <v>CZ-162</v>
      </c>
      <c r="B152" s="8" t="str">
        <f>IF(places!$A151="","",places!$B151)</f>
        <v>Ancon Cemetery</v>
      </c>
      <c r="C152" s="17" t="str">
        <f>IF(places!$A151="","",places!$Y151)</f>
        <v>Site/Institution</v>
      </c>
      <c r="D152" s="19">
        <v>8.9587599999999998</v>
      </c>
      <c r="E152" s="19">
        <v>-79.553927999999999</v>
      </c>
      <c r="F152" s="19" t="s">
        <v>119</v>
      </c>
      <c r="G152" s="19" t="s">
        <v>120</v>
      </c>
    </row>
    <row r="153" spans="1:7" ht="15" customHeight="1" x14ac:dyDescent="0.2">
      <c r="A153" s="7" t="str">
        <f>IF(places!$A152="","",places!$A152)</f>
        <v>CZ-163</v>
      </c>
      <c r="B153" s="8" t="str">
        <f>IF(places!$A152="","",places!$B152)</f>
        <v>Chinese Cemetery (Ancon)</v>
      </c>
      <c r="C153" s="17" t="str">
        <f>IF(places!$A152="","",places!$Y152)</f>
        <v>Site/Institution</v>
      </c>
      <c r="D153" s="19">
        <v>8.9539170000000006</v>
      </c>
      <c r="E153" s="19">
        <v>-79.548590000000004</v>
      </c>
      <c r="F153" s="19" t="s">
        <v>121</v>
      </c>
      <c r="G153" s="19" t="s">
        <v>122</v>
      </c>
    </row>
    <row r="154" spans="1:7" ht="15" customHeight="1" x14ac:dyDescent="0.2">
      <c r="A154" s="7" t="str">
        <f>IF(places!$A153="","",places!$A153)</f>
        <v>CZ-164</v>
      </c>
      <c r="B154" s="8" t="str">
        <f>IF(places!$A153="","",places!$B153)</f>
        <v>New Empire</v>
      </c>
      <c r="C154" s="17" t="str">
        <f>IF(places!$A153="","",places!$Y153)</f>
        <v>Town</v>
      </c>
      <c r="D154" s="19">
        <v>9.04955</v>
      </c>
      <c r="E154" s="19">
        <v>-79.676469999999995</v>
      </c>
      <c r="F154" s="19" t="s">
        <v>123</v>
      </c>
      <c r="G154" s="19" t="s">
        <v>124</v>
      </c>
    </row>
    <row r="155" spans="1:7" ht="15" customHeight="1" x14ac:dyDescent="0.2">
      <c r="A155" s="7" t="str">
        <f>IF(places!$A154="","",places!$A154)</f>
        <v>CZ-165</v>
      </c>
      <c r="B155" s="8" t="str">
        <f>IF(places!$A154="","",places!$B154)</f>
        <v>Cerro Gordo camp</v>
      </c>
      <c r="C155" s="17" t="str">
        <f>IF(places!$A154="","",places!$Y154)</f>
        <v>Town</v>
      </c>
      <c r="D155" s="19">
        <v>9.0400500000000008</v>
      </c>
      <c r="E155" s="19">
        <v>-79.662149999999997</v>
      </c>
      <c r="F155" s="19" t="s">
        <v>123</v>
      </c>
      <c r="G155" s="19" t="s">
        <v>124</v>
      </c>
    </row>
    <row r="156" spans="1:7" ht="15" customHeight="1" x14ac:dyDescent="0.2">
      <c r="A156" s="7" t="str">
        <f>IF(places!$A155="","",places!$A155)</f>
        <v>CZ-166</v>
      </c>
      <c r="B156" s="8" t="str">
        <f>IF(places!$A155="","",places!$B155)</f>
        <v>Curundu</v>
      </c>
      <c r="C156" s="17" t="str">
        <f>IF(places!$A155="","",places!$Y155)</f>
        <v>Town</v>
      </c>
      <c r="D156" s="19">
        <v>8.9826890000000006</v>
      </c>
      <c r="E156" s="19">
        <v>-79.551388000000003</v>
      </c>
      <c r="F156" s="19" t="s">
        <v>125</v>
      </c>
      <c r="G156" s="19" t="s">
        <v>126</v>
      </c>
    </row>
    <row r="157" spans="1:7" ht="15" customHeight="1" x14ac:dyDescent="0.2">
      <c r="A157" s="7" t="str">
        <f>IF(places!$A156="","",places!$A156)</f>
        <v>CZ-167</v>
      </c>
      <c r="B157" s="8" t="str">
        <f>IF(places!$A156="","",places!$B156)</f>
        <v>Coco Solito</v>
      </c>
      <c r="C157" s="17" t="str">
        <f>IF(places!$A156="","",places!$Y156)</f>
        <v>Town</v>
      </c>
      <c r="D157" s="19">
        <v>9.3461879999999997</v>
      </c>
      <c r="E157" s="19">
        <v>-79.869187999999994</v>
      </c>
      <c r="F157" s="19" t="s">
        <v>127</v>
      </c>
      <c r="G157" s="19" t="s">
        <v>128</v>
      </c>
    </row>
    <row r="158" spans="1:7" ht="15" customHeight="1" x14ac:dyDescent="0.2">
      <c r="A158" s="7" t="str">
        <f>IF(places!$A157="","",places!$A157)</f>
        <v>CZ-168</v>
      </c>
      <c r="B158" s="8" t="str">
        <f>IF(places!$A157="","",places!$B157)</f>
        <v>New Cristobal</v>
      </c>
      <c r="C158" s="17" t="str">
        <f>IF(places!$A157="","",places!$Y157)</f>
        <v>Town</v>
      </c>
      <c r="D158" s="19">
        <v>9.3638630000000003</v>
      </c>
      <c r="E158" s="19">
        <v>-79.892736999999997</v>
      </c>
      <c r="F158" s="19" t="s">
        <v>127</v>
      </c>
      <c r="G158" s="19" t="s">
        <v>128</v>
      </c>
    </row>
    <row r="159" spans="1:7" ht="15" customHeight="1" x14ac:dyDescent="0.2">
      <c r="A159" s="7" t="str">
        <f>IF(places!$A158="","",places!$A158)</f>
        <v>CZ-169</v>
      </c>
      <c r="B159" s="8" t="str">
        <f>IF(places!$A158="","",places!$B158)</f>
        <v>Lacona</v>
      </c>
      <c r="C159" s="17" t="str">
        <f>IF(places!$A158="","",places!$Y158)</f>
        <v>Town</v>
      </c>
      <c r="D159" s="19">
        <v>8.9517980000000001</v>
      </c>
      <c r="E159" s="19">
        <v>-79.601146999999997</v>
      </c>
      <c r="F159" s="19" t="s">
        <v>127</v>
      </c>
      <c r="G159" s="19" t="s">
        <v>129</v>
      </c>
    </row>
    <row r="160" spans="1:7" ht="15" customHeight="1" x14ac:dyDescent="0.2">
      <c r="A160" s="7" t="str">
        <f>IF(places!$A159="","",places!$A159)</f>
        <v>CZ-170</v>
      </c>
      <c r="B160" s="8" t="str">
        <f>IF(places!$A159="","",places!$B159)</f>
        <v>Cartagenita (La Boca)</v>
      </c>
      <c r="C160" s="17" t="str">
        <f>IF(places!$A159="","",places!$Y159)</f>
        <v>Town</v>
      </c>
      <c r="D160" s="19">
        <v>8.9579000000000004</v>
      </c>
      <c r="E160" s="19">
        <v>-79.564599999999999</v>
      </c>
      <c r="F160" s="19" t="s">
        <v>130</v>
      </c>
      <c r="G160" s="19" t="s">
        <v>131</v>
      </c>
    </row>
    <row r="161" spans="1:7" ht="15" customHeight="1" x14ac:dyDescent="0.2">
      <c r="A161" s="7" t="str">
        <f>IF(places!$A160="","",places!$A160)</f>
        <v>CZ-171</v>
      </c>
      <c r="B161" s="8" t="str">
        <f>IF(places!$A160="","",places!$B160)</f>
        <v>Cocoli (townsite)</v>
      </c>
      <c r="C161" s="17" t="str">
        <f>IF(places!$A160="","",places!$Y160)</f>
        <v>Town</v>
      </c>
      <c r="D161" s="19">
        <v>8.9763339999999996</v>
      </c>
      <c r="E161" s="19">
        <v>-79.600290000000001</v>
      </c>
      <c r="F161" s="19" t="s">
        <v>127</v>
      </c>
      <c r="G161" s="19" t="s">
        <v>132</v>
      </c>
    </row>
    <row r="162" spans="1:7" ht="15" customHeight="1" x14ac:dyDescent="0.2">
      <c r="A162" s="7" t="str">
        <f>IF(places!$A161="","",places!$A161)</f>
        <v>CZ-172</v>
      </c>
      <c r="B162" s="8" t="str">
        <f>IF(places!$A161="","",places!$B161)</f>
        <v>Pedro Miguel (as-built)</v>
      </c>
      <c r="C162" s="17" t="str">
        <f>IF(places!$A161="","",places!$Y161)</f>
        <v>Town</v>
      </c>
      <c r="D162" s="19"/>
      <c r="E162" s="19"/>
      <c r="F162" s="19"/>
      <c r="G162" s="19"/>
    </row>
    <row r="163" spans="1:7" ht="15" customHeight="1" x14ac:dyDescent="0.2">
      <c r="A163" s="7" t="str">
        <f>IF(places!$A162="","",places!$A162)</f>
        <v>CZ-173</v>
      </c>
      <c r="B163" s="8" t="str">
        <f>IF(places!$A162="","",places!$B162)</f>
        <v>New Frijoles</v>
      </c>
      <c r="C163" s="17" t="str">
        <f>IF(places!$A162="","",places!$Y162)</f>
        <v>Town</v>
      </c>
      <c r="D163" s="19">
        <v>9.1755999999999993</v>
      </c>
      <c r="E163" s="19">
        <v>-79.801329999999993</v>
      </c>
      <c r="F163" s="19" t="s">
        <v>133</v>
      </c>
      <c r="G163" s="19" t="s">
        <v>134</v>
      </c>
    </row>
    <row r="164" spans="1:7" ht="15" customHeight="1" x14ac:dyDescent="0.2">
      <c r="A164" s="7" t="str">
        <f>IF(places!$A163="","",places!$A163)</f>
        <v>CZ-174</v>
      </c>
      <c r="B164" s="8" t="str">
        <f>IF(places!$A163="","",places!$B163)</f>
        <v>Jamaica Town (Gorgona)</v>
      </c>
      <c r="C164" s="17" t="str">
        <f>IF(places!$A163="","",places!$Y163)</f>
        <v>Neighborhood</v>
      </c>
      <c r="D164" s="19"/>
      <c r="E164" s="19"/>
      <c r="F164" s="19"/>
      <c r="G164" s="19"/>
    </row>
    <row r="165" spans="1:7" ht="15" customHeight="1" x14ac:dyDescent="0.2">
      <c r="A165" s="7" t="str">
        <f>IF(places!$A164="","",places!$A164)</f>
        <v>CZ-175</v>
      </c>
      <c r="B165" s="8" t="str">
        <f>IF(places!$A164="","",places!$B164)</f>
        <v>Camacho (Empire)</v>
      </c>
      <c r="C165" s="17" t="str">
        <f>IF(places!$A164="","",places!$Y164)</f>
        <v>Neighborhood</v>
      </c>
      <c r="D165" s="19"/>
      <c r="E165" s="19"/>
      <c r="F165" s="19"/>
      <c r="G165" s="19"/>
    </row>
    <row r="166" spans="1:7" ht="15" customHeight="1" x14ac:dyDescent="0.2">
      <c r="A166" s="7" t="str">
        <f>IF(places!$A165="","",places!$A165)</f>
        <v>CZ-176</v>
      </c>
      <c r="B166" s="8" t="str">
        <f>IF(places!$A165="","",places!$B165)</f>
        <v>Bishop's Hollow (Ancon)</v>
      </c>
      <c r="C166" s="17" t="str">
        <f>IF(places!$A165="","",places!$Y165)</f>
        <v>Neighborhood</v>
      </c>
      <c r="D166" s="19"/>
      <c r="E166" s="19"/>
      <c r="F166" s="19"/>
      <c r="G166" s="19"/>
    </row>
    <row r="167" spans="1:7" ht="15" customHeight="1" x14ac:dyDescent="0.2">
      <c r="A167" s="7" t="str">
        <f>IF(places!$A166="","",places!$A166)</f>
        <v>CZ-177</v>
      </c>
      <c r="B167" s="8" t="str">
        <f>IF(places!$A166="","",places!$B166)</f>
        <v>Banana Walk (Matachin)</v>
      </c>
      <c r="C167" s="17" t="str">
        <f>IF(places!$A166="","",places!$Y166)</f>
        <v>Neighborhood</v>
      </c>
      <c r="D167" s="19"/>
      <c r="E167" s="19"/>
      <c r="F167" s="19"/>
      <c r="G167" s="19"/>
    </row>
    <row r="168" spans="1:7" ht="15" customHeight="1" x14ac:dyDescent="0.2">
      <c r="A168" s="7" t="str">
        <f>IF(places!$A167="","",places!$A167)</f>
        <v>CZ-178</v>
      </c>
      <c r="B168" s="8" t="str">
        <f>IF(places!$A167="","",places!$B167)</f>
        <v>Rio Grande works (Culebra)</v>
      </c>
      <c r="C168" s="17" t="str">
        <f>IF(places!$A167="","",places!$Y167)</f>
        <v>Site/Institution</v>
      </c>
      <c r="D168" s="19"/>
      <c r="E168" s="19"/>
      <c r="F168" s="19"/>
      <c r="G168" s="19"/>
    </row>
    <row r="169" spans="1:7" ht="15" customHeight="1" x14ac:dyDescent="0.2">
      <c r="A169" s="7" t="str">
        <f>IF(places!$A168="","",places!$A168)</f>
        <v>CZ-179</v>
      </c>
      <c r="B169" s="8" t="str">
        <f>IF(places!$A168="","",places!$B168)</f>
        <v>Culebra Police Station (145)</v>
      </c>
      <c r="C169" s="17" t="str">
        <f>IF(places!$A168="","",places!$Y168)</f>
        <v>Building</v>
      </c>
      <c r="D169" s="19">
        <v>9.0370000000000008</v>
      </c>
      <c r="E169" s="19">
        <v>-79.646299999999997</v>
      </c>
      <c r="F169" s="19" t="s">
        <v>135</v>
      </c>
      <c r="G169" s="19" t="s">
        <v>136</v>
      </c>
    </row>
    <row r="170" spans="1:7" ht="15" customHeight="1" x14ac:dyDescent="0.2">
      <c r="A170" s="7" t="str">
        <f>IF(places!$A169="","",places!$A169)</f>
        <v>CZ-180</v>
      </c>
      <c r="B170" s="8" t="str">
        <f>IF(places!$A169="","",places!$B169)</f>
        <v>Culebra Penitentiary (173)</v>
      </c>
      <c r="C170" s="17" t="str">
        <f>IF(places!$A169="","",places!$Y169)</f>
        <v>Building</v>
      </c>
      <c r="D170" s="19">
        <v>9.0366999999999997</v>
      </c>
      <c r="E170" s="19">
        <v>-79.646600000000007</v>
      </c>
      <c r="F170" s="19" t="s">
        <v>135</v>
      </c>
      <c r="G170" s="19" t="s">
        <v>136</v>
      </c>
    </row>
    <row r="171" spans="1:7" ht="15" customHeight="1" x14ac:dyDescent="0.2">
      <c r="A171" s="7" t="str">
        <f>IF(places!$A170="","",places!$A170)</f>
        <v>CZ-181</v>
      </c>
      <c r="B171" s="8" t="str">
        <f>IF(places!$A170="","",places!$B170)</f>
        <v>Culebra Pumping Station (146)</v>
      </c>
      <c r="C171" s="17" t="str">
        <f>IF(places!$A170="","",places!$Y170)</f>
        <v>Building</v>
      </c>
      <c r="D171" s="19">
        <v>9.0360999999999994</v>
      </c>
      <c r="E171" s="19">
        <v>-79.647099999999995</v>
      </c>
      <c r="F171" s="19" t="s">
        <v>135</v>
      </c>
      <c r="G171" s="19" t="s">
        <v>136</v>
      </c>
    </row>
    <row r="172" spans="1:7" ht="15" customHeight="1" x14ac:dyDescent="0.2">
      <c r="A172" s="7" t="str">
        <f>IF(places!$A171="","",places!$A171)</f>
        <v>CZ-182</v>
      </c>
      <c r="B172" s="8" t="str">
        <f>IF(places!$A171="","",places!$B171)</f>
        <v>Diablo Heights</v>
      </c>
      <c r="C172" s="17" t="str">
        <f>IF(places!$A171="","",places!$Y171)</f>
        <v>Town</v>
      </c>
      <c r="D172" s="19">
        <v>8.9743999999999993</v>
      </c>
      <c r="E172" s="19">
        <v>-79.573800000000006</v>
      </c>
      <c r="F172" s="19" t="s">
        <v>137</v>
      </c>
      <c r="G172" s="19" t="s">
        <v>138</v>
      </c>
    </row>
    <row r="173" spans="1:7" ht="15" customHeight="1" x14ac:dyDescent="0.2">
      <c r="A173" s="7" t="str">
        <f>IF(places!$A172="","",places!$A172)</f>
        <v>CZ-183</v>
      </c>
      <c r="B173" s="8" t="str">
        <f>IF(places!$A172="","",places!$B172)</f>
        <v>Barro Colorado (village)</v>
      </c>
      <c r="C173" s="17" t="str">
        <f>IF(places!$A172="","",places!$Y172)</f>
        <v>Town</v>
      </c>
      <c r="D173" s="19">
        <v>9.1988000000000003</v>
      </c>
      <c r="E173" s="19">
        <v>-79.803600000000003</v>
      </c>
      <c r="F173" s="19" t="s">
        <v>139</v>
      </c>
      <c r="G173" s="19" t="s">
        <v>140</v>
      </c>
    </row>
    <row r="174" spans="1:7" ht="15" customHeight="1" x14ac:dyDescent="0.2">
      <c r="A174" s="7" t="str">
        <f>IF(places!$A173="","",places!$A173)</f>
        <v>CZ-184</v>
      </c>
      <c r="B174" s="8" t="str">
        <f>IF(places!$A173="","",places!$B173)</f>
        <v>Rio Indio Settlement</v>
      </c>
      <c r="C174" s="17" t="str">
        <f>IF(places!$A173="","",places!$Y173)</f>
        <v>Town</v>
      </c>
      <c r="D174" s="19">
        <v>9.2568000000000001</v>
      </c>
      <c r="E174" s="19">
        <v>-79.928200000000004</v>
      </c>
      <c r="F174" s="19" t="s">
        <v>139</v>
      </c>
      <c r="G174" s="19" t="s">
        <v>141</v>
      </c>
    </row>
    <row r="175" spans="1:7" ht="15" customHeight="1" x14ac:dyDescent="0.2">
      <c r="A175" s="7" t="str">
        <f>IF(places!$A174="","",places!$A174)</f>
        <v>CZ-185</v>
      </c>
      <c r="B175" s="8" t="str">
        <f>IF(places!$A174="","",places!$B174)</f>
        <v>Palo Matias Nuevo</v>
      </c>
      <c r="C175" s="17" t="str">
        <f>IF(places!$A174="","",places!$Y174)</f>
        <v>Town</v>
      </c>
      <c r="D175" s="19">
        <v>9.2119</v>
      </c>
      <c r="E175" s="19">
        <v>-79.906599999999997</v>
      </c>
      <c r="F175" s="19" t="s">
        <v>139</v>
      </c>
      <c r="G175" s="19" t="s">
        <v>141</v>
      </c>
    </row>
    <row r="176" spans="1:7" ht="15" customHeight="1" x14ac:dyDescent="0.2">
      <c r="A176" s="7" t="str">
        <f>IF(places!$A175="","",places!$A175)</f>
        <v>CZ-186</v>
      </c>
      <c r="B176" s="8" t="str">
        <f>IF(places!$A175="","",places!$B175)</f>
        <v>Palo Horqueta</v>
      </c>
      <c r="C176" s="17" t="str">
        <f>IF(places!$A175="","",places!$Y175)</f>
        <v>Town</v>
      </c>
      <c r="D176" s="19">
        <v>9.2093000000000007</v>
      </c>
      <c r="E176" s="19">
        <v>-79.899199999999993</v>
      </c>
      <c r="F176" s="19" t="s">
        <v>139</v>
      </c>
      <c r="G176" s="19" t="s">
        <v>141</v>
      </c>
    </row>
    <row r="177" spans="1:7" ht="15" customHeight="1" x14ac:dyDescent="0.2">
      <c r="A177" s="7" t="str">
        <f>IF(places!$A176="","",places!$A176)</f>
        <v>CZ-187</v>
      </c>
      <c r="B177" s="8" t="str">
        <f>IF(places!$A176="","",places!$B176)</f>
        <v>Palenquillo</v>
      </c>
      <c r="C177" s="17" t="str">
        <f>IF(places!$A176="","",places!$Y176)</f>
        <v>Town</v>
      </c>
      <c r="D177" s="19">
        <v>9.2294999999999998</v>
      </c>
      <c r="E177" s="19">
        <v>-79.876999999999995</v>
      </c>
      <c r="F177" s="19" t="s">
        <v>139</v>
      </c>
      <c r="G177" s="19" t="s">
        <v>141</v>
      </c>
    </row>
    <row r="178" spans="1:7" ht="15" customHeight="1" x14ac:dyDescent="0.2">
      <c r="A178" s="7" t="str">
        <f>IF(places!$A177="","",places!$A177)</f>
        <v>CZ-188</v>
      </c>
      <c r="B178" s="8" t="str">
        <f>IF(places!$A177="","",places!$B177)</f>
        <v>Pedro Bernal's Settlement</v>
      </c>
      <c r="C178" s="17" t="str">
        <f>IF(places!$A177="","",places!$Y177)</f>
        <v>Town</v>
      </c>
      <c r="D178" s="19">
        <v>9.1129999999999995</v>
      </c>
      <c r="E178" s="19">
        <v>-79.8</v>
      </c>
      <c r="F178" s="19" t="s">
        <v>139</v>
      </c>
      <c r="G178" s="19" t="s">
        <v>142</v>
      </c>
    </row>
    <row r="179" spans="1:7" ht="15" customHeight="1" x14ac:dyDescent="0.2">
      <c r="A179" s="7" t="str">
        <f>IF(places!$A178="","",places!$A178)</f>
        <v>CZ-189</v>
      </c>
      <c r="B179" s="8" t="str">
        <f>IF(places!$A178="","",places!$B178)</f>
        <v>Mari Posa</v>
      </c>
      <c r="C179" s="17" t="str">
        <f>IF(places!$A178="","",places!$Y178)</f>
        <v>Town</v>
      </c>
      <c r="D179" s="19">
        <v>9.093</v>
      </c>
      <c r="E179" s="19">
        <v>-79.709999999999994</v>
      </c>
      <c r="F179" s="19" t="s">
        <v>139</v>
      </c>
      <c r="G179" s="19" t="s">
        <v>142</v>
      </c>
    </row>
    <row r="180" spans="1:7" ht="15" customHeight="1" x14ac:dyDescent="0.2">
      <c r="A180" s="7" t="str">
        <f>IF(places!$A179="","",places!$A179)</f>
        <v>CZ-190</v>
      </c>
      <c r="B180" s="8" t="str">
        <f>IF(places!$A179="","",places!$B179)</f>
        <v>Noreza</v>
      </c>
      <c r="C180" s="17" t="str">
        <f>IF(places!$A179="","",places!$Y179)</f>
        <v>Town</v>
      </c>
      <c r="D180" s="19">
        <v>9.08</v>
      </c>
      <c r="E180" s="19">
        <v>-79.7</v>
      </c>
      <c r="F180" s="19" t="s">
        <v>139</v>
      </c>
      <c r="G180" s="19" t="s">
        <v>142</v>
      </c>
    </row>
    <row r="181" spans="1:7" ht="15" customHeight="1" x14ac:dyDescent="0.2">
      <c r="A181" s="7" t="str">
        <f>IF(places!$A180="","",places!$A180)</f>
        <v>CZ-191</v>
      </c>
      <c r="B181" s="8" t="str">
        <f>IF(places!$A180="","",places!$B180)</f>
        <v>Dominica</v>
      </c>
      <c r="C181" s="17" t="str">
        <f>IF(places!$A180="","",places!$Y180)</f>
        <v>Town</v>
      </c>
      <c r="D181" s="19">
        <v>9.0399999999999991</v>
      </c>
      <c r="E181" s="19">
        <v>-79.611999999999995</v>
      </c>
      <c r="F181" s="19" t="s">
        <v>139</v>
      </c>
      <c r="G181" s="19" t="s">
        <v>142</v>
      </c>
    </row>
    <row r="182" spans="1:7" ht="15" customHeight="1" x14ac:dyDescent="0.2">
      <c r="A182" s="7" t="str">
        <f>IF(places!$A181="","",places!$A181)</f>
        <v>CZ-192</v>
      </c>
      <c r="B182" s="8" t="str">
        <f>IF(places!$A181="","",places!$B181)</f>
        <v>Cardenas</v>
      </c>
      <c r="C182" s="17" t="str">
        <f>IF(places!$A181="","",places!$Y181)</f>
        <v>Town</v>
      </c>
      <c r="D182" s="19">
        <v>9.0050000000000008</v>
      </c>
      <c r="E182" s="19">
        <v>-79.591999999999999</v>
      </c>
      <c r="F182" s="19" t="s">
        <v>139</v>
      </c>
      <c r="G182" s="19" t="s">
        <v>142</v>
      </c>
    </row>
    <row r="183" spans="1:7" ht="15" customHeight="1" x14ac:dyDescent="0.2">
      <c r="A183" s="7" t="str">
        <f>IF(places!$A182="","",places!$A182)</f>
        <v>CZ-193</v>
      </c>
      <c r="B183" s="8" t="str">
        <f>IF(places!$A182="","",places!$B182)</f>
        <v>La Vuella (Half Way House)</v>
      </c>
      <c r="C183" s="17" t="str">
        <f>IF(places!$A182="","",places!$Y182)</f>
        <v>Town</v>
      </c>
      <c r="D183" s="19">
        <v>9.0559999999999992</v>
      </c>
      <c r="E183" s="19">
        <v>-79.64</v>
      </c>
      <c r="F183" s="19" t="s">
        <v>139</v>
      </c>
      <c r="G183" s="19" t="s">
        <v>142</v>
      </c>
    </row>
    <row r="184" spans="1:7" ht="15" customHeight="1" x14ac:dyDescent="0.2">
      <c r="A184" s="7" t="str">
        <f>IF(places!$A183="","",places!$A183)</f>
        <v>CZ-194</v>
      </c>
      <c r="B184" s="8" t="str">
        <f>IF(places!$A183="","",places!$B183)</f>
        <v>Miraflores (Atlantic)</v>
      </c>
      <c r="C184" s="17" t="str">
        <f>IF(places!$A183="","",places!$Y183)</f>
        <v>Town</v>
      </c>
      <c r="D184" s="19">
        <v>9.2539999999999996</v>
      </c>
      <c r="E184" s="19">
        <v>-79.935000000000002</v>
      </c>
      <c r="F184" s="19" t="s">
        <v>139</v>
      </c>
      <c r="G184" s="19" t="s">
        <v>141</v>
      </c>
    </row>
    <row r="185" spans="1:7" ht="15" customHeight="1" x14ac:dyDescent="0.2">
      <c r="A185" s="7" t="str">
        <f>IF(places!$A184="","",places!$A184)</f>
        <v>CZ-195</v>
      </c>
      <c r="B185" s="8" t="str">
        <f>IF(places!$A184="","",places!$B184)</f>
        <v>Marañón</v>
      </c>
      <c r="C185" s="17" t="str">
        <f>IF(places!$A184="","",places!$Y184)</f>
        <v>Neighborhood</v>
      </c>
      <c r="D185" s="19">
        <v>8.9602920000000008</v>
      </c>
      <c r="E185" s="19">
        <v>-79.541263000000001</v>
      </c>
      <c r="F185" s="19" t="s">
        <v>143</v>
      </c>
      <c r="G185" s="19" t="s">
        <v>144</v>
      </c>
    </row>
    <row r="186" spans="1:7" ht="15" customHeight="1" x14ac:dyDescent="0.2">
      <c r="A186" s="7" t="str">
        <f>IF(places!$A185="","",places!$A185)</f>
        <v>CZ-196</v>
      </c>
      <c r="B186" s="8" t="str">
        <f>IF(places!$A185="","",places!$B185)</f>
        <v>Cocoa Grove</v>
      </c>
      <c r="C186" s="17" t="str">
        <f>IF(places!$A185="","",places!$Y185)</f>
        <v>Neighborhood</v>
      </c>
      <c r="D186" s="19">
        <v>8.9557970000000005</v>
      </c>
      <c r="E186" s="19">
        <v>-79.546772000000004</v>
      </c>
      <c r="F186" s="19" t="s">
        <v>143</v>
      </c>
      <c r="G186" s="19" t="s">
        <v>144</v>
      </c>
    </row>
    <row r="187" spans="1:7" ht="15" customHeight="1" x14ac:dyDescent="0.2">
      <c r="A187" s="7" t="str">
        <f>IF(places!$A186="","",places!$A186)</f>
        <v>CZ-197</v>
      </c>
      <c r="B187" s="8" t="str">
        <f>IF(places!$A186="","",places!$B186)</f>
        <v>Chorrillo del Rey</v>
      </c>
      <c r="C187" s="17" t="str">
        <f>IF(places!$A186="","",places!$Y186)</f>
        <v>Neighborhood</v>
      </c>
      <c r="D187" s="19">
        <v>8.9539050000000007</v>
      </c>
      <c r="E187" s="19">
        <v>-79.549237000000005</v>
      </c>
      <c r="F187" s="19" t="s">
        <v>143</v>
      </c>
      <c r="G187" s="19" t="s">
        <v>144</v>
      </c>
    </row>
    <row r="188" spans="1:7" ht="15" customHeight="1" x14ac:dyDescent="0.2">
      <c r="A188" s="7" t="str">
        <f>IF(places!$A187="","",places!$A187)</f>
        <v>CZ-198</v>
      </c>
      <c r="B188" s="8" t="str">
        <f>IF(places!$A187="","",places!$B187)</f>
        <v>Cementerios (Camino de La Boca)</v>
      </c>
      <c r="C188" s="17" t="str">
        <f>IF(places!$A187="","",places!$Y187)</f>
        <v>Site/Institution</v>
      </c>
      <c r="D188" s="19">
        <v>8.9537560000000003</v>
      </c>
      <c r="E188" s="19">
        <v>-79.546772000000004</v>
      </c>
      <c r="F188" s="19" t="s">
        <v>143</v>
      </c>
      <c r="G188" s="19" t="s">
        <v>144</v>
      </c>
    </row>
    <row r="189" spans="1:7" ht="15" customHeight="1" x14ac:dyDescent="0.2">
      <c r="A189" s="7" t="str">
        <f>IF(places!$A188="","",places!$A188)</f>
        <v>CZ-199</v>
      </c>
      <c r="B189" s="8" t="str">
        <f>IF(places!$A188="","",places!$B188)</f>
        <v>Santa Ana (arrabal)</v>
      </c>
      <c r="C189" s="17" t="str">
        <f>IF(places!$A188="","",places!$Y188)</f>
        <v>Town</v>
      </c>
      <c r="D189" s="19">
        <v>8.9551549999999995</v>
      </c>
      <c r="E189" s="19">
        <v>-79.541983000000002</v>
      </c>
      <c r="F189" s="19" t="s">
        <v>145</v>
      </c>
      <c r="G189" s="19" t="s">
        <v>146</v>
      </c>
    </row>
    <row r="190" spans="1:7" ht="15" customHeight="1" x14ac:dyDescent="0.2">
      <c r="A190" s="7" t="str">
        <f>IF(places!$A189="","",places!$A189)</f>
        <v>CZ-200</v>
      </c>
      <c r="B190" s="8" t="str">
        <f>IF(places!$A189="","",places!$B189)</f>
        <v>La Ciénega</v>
      </c>
      <c r="C190" s="17" t="str">
        <f>IF(places!$A189="","",places!$Y189)</f>
        <v>Neighborhood</v>
      </c>
      <c r="D190" s="19">
        <v>8.9570539999999994</v>
      </c>
      <c r="E190" s="19">
        <v>-79.540993999999998</v>
      </c>
      <c r="F190" s="19" t="s">
        <v>145</v>
      </c>
      <c r="G190" s="19" t="s">
        <v>147</v>
      </c>
    </row>
    <row r="191" spans="1:7" ht="15" customHeight="1" x14ac:dyDescent="0.2">
      <c r="A191" s="7" t="str">
        <f>IF(places!$A190="","",places!$A190)</f>
        <v>CZ-203</v>
      </c>
      <c r="B191" s="8" t="str">
        <f>IF(places!$A190="","",places!$B190)</f>
        <v>Malambo</v>
      </c>
      <c r="C191" s="17" t="str">
        <f>IF(places!$A190="","",places!$Y190)</f>
        <v>Neighborhood</v>
      </c>
      <c r="D191" s="19">
        <v>8.9555900000000008</v>
      </c>
      <c r="E191" s="19">
        <v>-79.543132</v>
      </c>
      <c r="F191" s="19" t="s">
        <v>148</v>
      </c>
      <c r="G191" s="19" t="s">
        <v>149</v>
      </c>
    </row>
    <row r="192" spans="1:7" ht="15" customHeight="1" x14ac:dyDescent="0.2">
      <c r="A192" s="7" t="str">
        <f>IF(places!$A191="","",places!$A191)</f>
        <v>CZ-204</v>
      </c>
      <c r="B192" s="8" t="str">
        <f>IF(places!$A191="","",places!$B191)</f>
        <v>Salsipuedes</v>
      </c>
      <c r="C192" s="17" t="str">
        <f>IF(places!$A191="","",places!$Y191)</f>
        <v>Neighborhood</v>
      </c>
      <c r="D192" s="19">
        <v>8.9558909999999994</v>
      </c>
      <c r="E192" s="19">
        <v>-79.540257999999994</v>
      </c>
      <c r="F192" s="19" t="s">
        <v>145</v>
      </c>
      <c r="G192" s="19" t="s">
        <v>150</v>
      </c>
    </row>
    <row r="193" spans="1:7" ht="15" customHeight="1" x14ac:dyDescent="0.2">
      <c r="A193" s="7" t="str">
        <f>IF(places!$A192="","",places!$A192)</f>
        <v>CZ-205</v>
      </c>
      <c r="B193" s="8" t="str">
        <f>IF(places!$A192="","",places!$B192)</f>
        <v>Guinea</v>
      </c>
      <c r="C193" s="17" t="str">
        <f>IF(places!$A192="","",places!$Y192)</f>
        <v>Neighborhood</v>
      </c>
      <c r="D193" s="19">
        <v>8.9540000000000006</v>
      </c>
      <c r="E193" s="19">
        <v>-79.551000000000002</v>
      </c>
      <c r="F193" s="19" t="s">
        <v>151</v>
      </c>
      <c r="G193" s="19" t="s">
        <v>152</v>
      </c>
    </row>
    <row r="194" spans="1:7" ht="15" customHeight="1" x14ac:dyDescent="0.2">
      <c r="A194" s="7" t="str">
        <f>IF(places!$A193="","",places!$A193)</f>
        <v>CZ-206</v>
      </c>
      <c r="B194" s="8" t="str">
        <f>IF(places!$A193="","",places!$B193)</f>
        <v>Tivoli Hotel</v>
      </c>
      <c r="C194" s="17" t="str">
        <f>IF(places!$A193="","",places!$Y193)</f>
        <v>Site/Institution</v>
      </c>
      <c r="D194" s="19">
        <v>8.9646000000000008</v>
      </c>
      <c r="E194" s="19">
        <v>-79.546400000000006</v>
      </c>
      <c r="F194" s="19" t="s">
        <v>69</v>
      </c>
      <c r="G194" s="19" t="s">
        <v>153</v>
      </c>
    </row>
    <row r="195" spans="1:7" ht="15" customHeight="1" x14ac:dyDescent="0.2">
      <c r="A195" s="7" t="str">
        <f>IF(places!$A194="","",places!$A194)</f>
        <v>CZ-207</v>
      </c>
      <c r="B195" s="8" t="str">
        <f>IF(places!$A194="","",places!$B194)</f>
        <v>Mt. Zion Reservoir</v>
      </c>
      <c r="C195" s="17" t="str">
        <f>IF(places!$A194="","",places!$Y194)</f>
        <v>Infrastructure</v>
      </c>
      <c r="D195" s="19">
        <v>9.035736</v>
      </c>
      <c r="E195" s="19">
        <v>-79.649771000000001</v>
      </c>
      <c r="F195" s="19" t="s">
        <v>154</v>
      </c>
      <c r="G195" s="19" t="s">
        <v>155</v>
      </c>
    </row>
    <row r="196" spans="1:7" ht="15" customHeight="1" x14ac:dyDescent="0.2">
      <c r="A196" s="7" t="str">
        <f>IF(places!$A195="","",places!$A195)</f>
        <v>CZ-208</v>
      </c>
      <c r="B196" s="8" t="str">
        <f>IF(places!$A195="","",places!$B195)</f>
        <v>Gerig (La Boca shore camp)</v>
      </c>
      <c r="C196" s="17" t="str">
        <f>IF(places!$A195="","",places!$Y195)</f>
        <v>Town</v>
      </c>
      <c r="D196" s="19">
        <v>8.9533419999999992</v>
      </c>
      <c r="E196" s="19">
        <v>-79.568161000000003</v>
      </c>
      <c r="F196" s="19" t="s">
        <v>156</v>
      </c>
      <c r="G196" s="19" t="s">
        <v>157</v>
      </c>
    </row>
    <row r="197" spans="1:7" ht="15" customHeight="1" x14ac:dyDescent="0.2">
      <c r="A197" s="7" t="str">
        <f>IF(places!$A196="","",places!$A196)</f>
        <v>CZ-209</v>
      </c>
      <c r="B197" s="8" t="str">
        <f>IF(places!$A196="","",places!$B196)</f>
        <v>W. Culebra</v>
      </c>
      <c r="C197" s="17" t="str">
        <f>IF(places!$A196="","",places!$Y196)</f>
        <v>Town</v>
      </c>
      <c r="D197" s="19">
        <v>9.0494800000000009</v>
      </c>
      <c r="E197" s="19">
        <v>-79.659139999999994</v>
      </c>
      <c r="F197" s="19" t="s">
        <v>158</v>
      </c>
      <c r="G197" s="19" t="s">
        <v>159</v>
      </c>
    </row>
    <row r="198" spans="1:7" ht="15" customHeight="1" x14ac:dyDescent="0.2">
      <c r="A198" s="7" t="str">
        <f>IF(places!$A197="","",places!$A197)</f>
        <v>CZ-210</v>
      </c>
      <c r="B198" s="8" t="str">
        <f>IF(places!$A197="","",places!$B197)</f>
        <v>Miraflores (Chagres)</v>
      </c>
      <c r="C198" s="17" t="str">
        <f>IF(places!$A197="","",places!$Y197)</f>
        <v>Town</v>
      </c>
      <c r="D198" s="19">
        <v>9.2539999999999996</v>
      </c>
      <c r="E198" s="19">
        <v>-79.935000000000002</v>
      </c>
      <c r="F198" s="19" t="s">
        <v>60</v>
      </c>
      <c r="G198" s="19" t="s">
        <v>160</v>
      </c>
    </row>
    <row r="199" spans="1:7" ht="15" customHeight="1" x14ac:dyDescent="0.2">
      <c r="A199" s="7" t="str">
        <f>IF(places!$A198="","",places!$A198)</f>
        <v>CZ-211</v>
      </c>
      <c r="B199" s="8" t="str">
        <f>IF(places!$A198="","",places!$B198)</f>
        <v>Silver City</v>
      </c>
      <c r="C199" s="17" t="str">
        <f>IF(places!$A198="","",places!$Y198)</f>
        <v>Town</v>
      </c>
      <c r="D199" s="19">
        <v>9.3454359999999994</v>
      </c>
      <c r="E199" s="19">
        <v>-79.898892000000004</v>
      </c>
      <c r="F199" s="19" t="s">
        <v>112</v>
      </c>
      <c r="G199" s="19" t="s">
        <v>113</v>
      </c>
    </row>
    <row r="200" spans="1:7" ht="15" customHeight="1" x14ac:dyDescent="0.2">
      <c r="A200" s="7" t="str">
        <f>IF(places!$A199="","",places!$A199)</f>
        <v>CZ-212</v>
      </c>
      <c r="B200" s="8" t="str">
        <f>IF(places!$A199="","",places!$B199)</f>
        <v>Camp Bierd</v>
      </c>
      <c r="C200" s="17" t="str">
        <f>IF(places!$A199="","",places!$Y199)</f>
        <v>Town</v>
      </c>
      <c r="D200" s="19">
        <v>9.348122</v>
      </c>
      <c r="E200" s="19">
        <v>-79.902413999999993</v>
      </c>
      <c r="F200" s="19" t="s">
        <v>112</v>
      </c>
      <c r="G200" s="19" t="s">
        <v>161</v>
      </c>
    </row>
    <row r="201" spans="1:7" ht="15" customHeight="1" x14ac:dyDescent="0.2">
      <c r="A201" s="7" t="str">
        <f>IF(places!$A200="","",places!$A200)</f>
        <v>CZ-213</v>
      </c>
      <c r="B201" s="8" t="str">
        <f>IF(places!$A200="","",places!$B200)</f>
        <v>Mount Hope Cemetery</v>
      </c>
      <c r="C201" s="17" t="str">
        <f>IF(places!$A200="","",places!$Y200)</f>
        <v>Site/Institution</v>
      </c>
      <c r="D201" s="19">
        <v>9.3375830000000004</v>
      </c>
      <c r="E201" s="19">
        <v>-79.898343999999994</v>
      </c>
      <c r="F201" s="19" t="s">
        <v>112</v>
      </c>
      <c r="G201" s="19" t="s">
        <v>161</v>
      </c>
    </row>
    <row r="202" spans="1:7" ht="15" customHeight="1" x14ac:dyDescent="0.2">
      <c r="A202" s="7" t="str">
        <f>IF(places!$A201="","",places!$A201)</f>
        <v>CZ-214</v>
      </c>
      <c r="B202" s="8" t="str">
        <f>IF(places!$A201="","",places!$B201)</f>
        <v>Fort de Lesseps</v>
      </c>
      <c r="C202" s="17" t="str">
        <f>IF(places!$A201="","",places!$Y201)</f>
        <v>Site/Institution</v>
      </c>
      <c r="D202" s="19">
        <v>9.3649539999999991</v>
      </c>
      <c r="E202" s="19">
        <v>-79.910309999999996</v>
      </c>
      <c r="F202" s="19" t="s">
        <v>162</v>
      </c>
      <c r="G202" s="19" t="s">
        <v>163</v>
      </c>
    </row>
    <row r="203" spans="1:7" ht="15" customHeight="1" x14ac:dyDescent="0.2">
      <c r="A203" s="7" t="str">
        <f>IF(places!$A202="","",places!$A202)</f>
        <v>CZ-215</v>
      </c>
      <c r="B203" s="8" t="str">
        <f>IF(places!$A202="","",places!$B202)</f>
        <v>Jamaica Town (Gatún)</v>
      </c>
      <c r="C203" s="17" t="str">
        <f>IF(places!$A202="","",places!$Y202)</f>
        <v>Neighborhood</v>
      </c>
      <c r="D203" s="19"/>
      <c r="E203" s="19"/>
      <c r="F203" s="19"/>
      <c r="G203" s="19"/>
    </row>
    <row r="204" spans="1:7" ht="15" customHeight="1" x14ac:dyDescent="0.2">
      <c r="A204" s="7" t="str">
        <f>IF(places!$A203="","",places!$A203)</f>
        <v>CZ-216</v>
      </c>
      <c r="B204" s="8" t="str">
        <f>IF(places!$A203="","",places!$B203)</f>
        <v>Dos Hermanas</v>
      </c>
      <c r="C204" s="17" t="str">
        <f>IF(places!$A203="","",places!$Y203)</f>
        <v>Town</v>
      </c>
      <c r="D204" s="19">
        <v>9.2194000000000003</v>
      </c>
      <c r="E204" s="19">
        <v>-79.890900000000002</v>
      </c>
      <c r="F204" s="19" t="s">
        <v>164</v>
      </c>
      <c r="G204" s="19" t="s">
        <v>165</v>
      </c>
    </row>
    <row r="205" spans="1:7" ht="15" customHeight="1" x14ac:dyDescent="0.2">
      <c r="A205" s="7" t="str">
        <f>IF(places!$A204="","",places!$A204)</f>
        <v>CZ-217</v>
      </c>
      <c r="B205" s="8" t="str">
        <f>IF(places!$A204="","",places!$B204)</f>
        <v>Palenquilla</v>
      </c>
      <c r="C205" s="17" t="str">
        <f>IF(places!$A204="","",places!$Y204)</f>
        <v>Town</v>
      </c>
      <c r="D205" s="19">
        <v>9.1516000000000002</v>
      </c>
      <c r="E205" s="19">
        <v>-79.810900000000004</v>
      </c>
      <c r="F205" s="19" t="s">
        <v>164</v>
      </c>
      <c r="G205" s="19" t="s">
        <v>166</v>
      </c>
    </row>
    <row r="206" spans="1:7" ht="15" customHeight="1" x14ac:dyDescent="0.2">
      <c r="A206" s="7" t="str">
        <f>IF(places!$A205="","",places!$A205)</f>
        <v>CZ-218</v>
      </c>
      <c r="B206" s="8" t="str">
        <f>IF(places!$A205="","",places!$B205)</f>
        <v>Juan Maria</v>
      </c>
      <c r="C206" s="17" t="str">
        <f>IF(places!$A205="","",places!$Y205)</f>
        <v>Town</v>
      </c>
      <c r="D206" s="19">
        <v>9.1456</v>
      </c>
      <c r="E206" s="19">
        <v>-79.813400000000001</v>
      </c>
      <c r="F206" s="19" t="s">
        <v>164</v>
      </c>
      <c r="G206" s="19" t="s">
        <v>167</v>
      </c>
    </row>
    <row r="207" spans="1:7" ht="15" customHeight="1" x14ac:dyDescent="0.2">
      <c r="A207" s="7" t="str">
        <f>IF(places!$A206="","",places!$A206)</f>
        <v>CZ-219</v>
      </c>
      <c r="B207" s="8" t="str">
        <f>IF(places!$A206="","",places!$B206)</f>
        <v>Agua Bendita</v>
      </c>
      <c r="C207" s="17" t="str">
        <f>IF(places!$A206="","",places!$Y206)</f>
        <v>Town</v>
      </c>
      <c r="D207" s="19">
        <v>9.1224000000000007</v>
      </c>
      <c r="E207" s="19">
        <v>-79.794899999999998</v>
      </c>
      <c r="F207" s="19" t="s">
        <v>164</v>
      </c>
      <c r="G207" s="19" t="s">
        <v>168</v>
      </c>
    </row>
    <row r="208" spans="1:7" ht="15" customHeight="1" x14ac:dyDescent="0.2">
      <c r="A208" s="7" t="str">
        <f>IF(places!$A207="","",places!$A207)</f>
        <v>CZ-220</v>
      </c>
      <c r="B208" s="8" t="str">
        <f>IF(places!$A207="","",places!$B207)</f>
        <v>Pedro Bernal</v>
      </c>
      <c r="C208" s="17" t="str">
        <f>IF(places!$A207="","",places!$Y207)</f>
        <v>Town</v>
      </c>
      <c r="D208" s="19">
        <v>9.1334999999999997</v>
      </c>
      <c r="E208" s="19">
        <v>-79.818399999999997</v>
      </c>
      <c r="F208" s="19" t="s">
        <v>164</v>
      </c>
      <c r="G208" s="19" t="s">
        <v>169</v>
      </c>
    </row>
    <row r="209" spans="1:7" ht="15" customHeight="1" x14ac:dyDescent="0.2">
      <c r="A209" s="7" t="str">
        <f>IF(places!$A208="","",places!$A208)</f>
        <v>CZ-221</v>
      </c>
      <c r="B209" s="8" t="str">
        <f>IF(places!$A208="","",places!$B208)</f>
        <v>Jamaica Town (Pacific)</v>
      </c>
      <c r="C209" s="17" t="str">
        <f>IF(places!$A208="","",places!$Y208)</f>
        <v>Neighborhood</v>
      </c>
      <c r="D209" s="19"/>
      <c r="E209" s="19"/>
      <c r="F209" s="19"/>
      <c r="G209" s="19"/>
    </row>
    <row r="210" spans="1:7" ht="15" customHeight="1" x14ac:dyDescent="0.2">
      <c r="A210" s="7" t="str">
        <f>IF(places!$A209="","",places!$A209)</f>
        <v>CZ-222</v>
      </c>
      <c r="B210" s="8" t="str">
        <f>IF(places!$A209="","",places!$B209)</f>
        <v>Culebra White School</v>
      </c>
      <c r="C210" s="17" t="str">
        <f>IF(places!$A209="","",places!$Y209)</f>
        <v>Building</v>
      </c>
      <c r="D210" s="19"/>
      <c r="E210" s="19"/>
      <c r="F210" s="19"/>
      <c r="G210" s="19"/>
    </row>
    <row r="211" spans="1:7" ht="15" customHeight="1" x14ac:dyDescent="0.2">
      <c r="A211" s="7" t="str">
        <f>IF(places!$A210="","",places!$A210)</f>
        <v>CZ-223</v>
      </c>
      <c r="B211" s="8" t="str">
        <f>IF(places!$A210="","",places!$B210)</f>
        <v>Culebra Ball Park</v>
      </c>
      <c r="C211" s="17" t="str">
        <f>IF(places!$A210="","",places!$Y210)</f>
        <v>Building</v>
      </c>
      <c r="D211" s="19"/>
      <c r="E211" s="19"/>
      <c r="F211" s="19"/>
      <c r="G211" s="19"/>
    </row>
    <row r="212" spans="1:7" ht="15" customHeight="1" x14ac:dyDescent="0.2">
      <c r="A212" s="7" t="str">
        <f>IF(places!$A211="","",places!$A211)</f>
        <v>CZ-224</v>
      </c>
      <c r="B212" s="8" t="str">
        <f>IF(places!$A211="","",places!$B211)</f>
        <v>Gorgona Railroad Shops</v>
      </c>
      <c r="C212" s="17" t="str">
        <f>IF(places!$A211="","",places!$Y211)</f>
        <v>Infrastructure</v>
      </c>
      <c r="D212" s="19"/>
      <c r="E212" s="19"/>
      <c r="F212" s="19"/>
      <c r="G212" s="19"/>
    </row>
    <row r="213" spans="1:7" ht="15" customHeight="1" x14ac:dyDescent="0.2">
      <c r="A213" s="7" t="str">
        <f>IF(places!$A212="","",places!$A212)</f>
        <v>CZ-225</v>
      </c>
      <c r="B213" s="8" t="str">
        <f>IF(places!$A212="","",places!$B212)</f>
        <v>Cerro Salado</v>
      </c>
      <c r="C213" s="17" t="str">
        <f>IF(places!$A212="","",places!$Y212)</f>
        <v>Town</v>
      </c>
      <c r="D213" s="19"/>
      <c r="E213" s="19"/>
      <c r="F213" s="19"/>
      <c r="G213" s="19"/>
    </row>
    <row r="214" spans="1:7" ht="15" customHeight="1" x14ac:dyDescent="0.2">
      <c r="A214" s="7" t="str">
        <f>IF(places!$A213="","",places!$A213)</f>
        <v>CZ-226</v>
      </c>
      <c r="B214" s="8" t="str">
        <f>IF(places!$A213="","",places!$B213)</f>
        <v>Japanese Village</v>
      </c>
      <c r="C214" s="17" t="str">
        <f>IF(places!$A213="","",places!$Y213)</f>
        <v>Town</v>
      </c>
      <c r="D214" s="19"/>
      <c r="E214" s="19"/>
      <c r="F214" s="19"/>
      <c r="G214" s="19"/>
    </row>
    <row r="215" spans="1:7" ht="15" customHeight="1" x14ac:dyDescent="0.2">
      <c r="A215" s="7" t="str">
        <f>IF(places!$A214="","",places!$A214)</f>
        <v>CZ-227</v>
      </c>
      <c r="B215" s="8" t="str">
        <f>IF(places!$A214="","",places!$B214)</f>
        <v>Hongkong</v>
      </c>
      <c r="C215" s="17" t="str">
        <f>IF(places!$A214="","",places!$Y214)</f>
        <v>Town</v>
      </c>
      <c r="D215" s="19"/>
      <c r="E215" s="19"/>
      <c r="F215" s="19"/>
      <c r="G215" s="19"/>
    </row>
    <row r="216" spans="1:7" ht="15" customHeight="1" x14ac:dyDescent="0.2">
      <c r="A216" s="7" t="str">
        <f>IF(places!$A215="","",places!$A215)</f>
        <v>CZ-228</v>
      </c>
      <c r="B216" s="8" t="str">
        <f>IF(places!$A215="","",places!$B215)</f>
        <v>Virgin</v>
      </c>
      <c r="C216" s="17" t="str">
        <f>IF(places!$A215="","",places!$Y215)</f>
        <v>Town</v>
      </c>
      <c r="D216" s="19"/>
      <c r="E216" s="19"/>
      <c r="F216" s="19"/>
      <c r="G216" s="19"/>
    </row>
    <row r="217" spans="1:7" ht="15" customHeight="1" x14ac:dyDescent="0.2">
      <c r="A217" s="7" t="str">
        <f>IF(places!$A216="","",places!$A216)</f>
        <v>CZ-229</v>
      </c>
      <c r="B217" s="8" t="str">
        <f>IF(places!$A216="","",places!$B216)</f>
        <v>Waterloo</v>
      </c>
      <c r="C217" s="17" t="str">
        <f>IF(places!$A216="","",places!$Y216)</f>
        <v>Town</v>
      </c>
      <c r="D217" s="19"/>
      <c r="E217" s="19"/>
      <c r="F217" s="19"/>
      <c r="G217" s="19"/>
    </row>
    <row r="218" spans="1:7" ht="15" customHeight="1" x14ac:dyDescent="0.2">
      <c r="A218" s="7" t="str">
        <f>IF(places!$A217="","",places!$A217)</f>
        <v>CZ-230</v>
      </c>
      <c r="B218" s="8" t="str">
        <f>IF(places!$A217="","",places!$B217)</f>
        <v>Cerro Pelado Ammunition Depot</v>
      </c>
      <c r="C218" s="17" t="str">
        <f>IF(places!$A217="","",places!$Y217)</f>
        <v>Site/Institution</v>
      </c>
      <c r="D218" s="19"/>
      <c r="E218" s="19"/>
      <c r="F218" s="19"/>
      <c r="G218" s="19"/>
    </row>
    <row r="219" spans="1:7" ht="15" customHeight="1" x14ac:dyDescent="0.2">
      <c r="A219" s="7" t="str">
        <f>IF(places!$A218="","",places!$A218)</f>
        <v>CZ-231</v>
      </c>
      <c r="B219" s="8" t="str">
        <f>IF(places!$A218="","",places!$B218)</f>
        <v>Cerro Tigre Ordnance Depot</v>
      </c>
      <c r="C219" s="17" t="str">
        <f>IF(places!$A218="","",places!$Y218)</f>
        <v>Site/Institution</v>
      </c>
      <c r="D219" s="19"/>
      <c r="E219" s="19"/>
      <c r="F219" s="19"/>
      <c r="G219" s="19"/>
    </row>
    <row r="220" spans="1:7" ht="15" customHeight="1" x14ac:dyDescent="0.2">
      <c r="A220" s="7" t="str">
        <f>IF(places!$A219="","",places!$A219)</f>
        <v>CZ-232</v>
      </c>
      <c r="B220" s="8" t="str">
        <f>IF(places!$A219="","",places!$B219)</f>
        <v>Escondido</v>
      </c>
      <c r="C220" s="17" t="str">
        <f>IF(places!$A219="","",places!$Y219)</f>
        <v>Town</v>
      </c>
      <c r="D220" s="19"/>
      <c r="E220" s="19"/>
      <c r="F220" s="19"/>
      <c r="G220" s="19"/>
    </row>
    <row r="221" spans="1:7" ht="15" customHeight="1" x14ac:dyDescent="0.2">
      <c r="A221" s="7" t="str">
        <f>IF(places!$A220="","",places!$A220)</f>
        <v>CZ-233</v>
      </c>
      <c r="B221" s="8" t="str">
        <f>IF(places!$A220="","",places!$B220)</f>
        <v>La Chinina</v>
      </c>
      <c r="C221" s="17" t="str">
        <f>IF(places!$A220="","",places!$Y220)</f>
        <v>Town</v>
      </c>
      <c r="D221" s="19">
        <v>9.2592370000000006</v>
      </c>
      <c r="E221" s="19">
        <v>-79.896722999999994</v>
      </c>
      <c r="F221" s="19" t="s">
        <v>170</v>
      </c>
      <c r="G221" s="19" t="s">
        <v>171</v>
      </c>
    </row>
    <row r="222" spans="1:7" ht="15" customHeight="1" x14ac:dyDescent="0.2">
      <c r="A222" s="7" t="str">
        <f>IF(places!$A221="","",places!$A221)</f>
        <v>CZ-234</v>
      </c>
      <c r="B222" s="8" t="str">
        <f>IF(places!$A221="","",places!$B221)</f>
        <v>Trinidad</v>
      </c>
      <c r="C222" s="17" t="str">
        <f>IF(places!$A221="","",places!$Y221)</f>
        <v>Town</v>
      </c>
      <c r="D222" s="19"/>
      <c r="E222" s="19"/>
      <c r="F222" s="19"/>
      <c r="G222" s="19"/>
    </row>
  </sheetData>
  <mergeCells count="1">
    <mergeCell ref="A1:G1"/>
  </mergeCells>
  <dataValidations count="1">
    <dataValidation type="list" allowBlank="1" sqref="G86:G300" xr:uid="{00000000-0002-0000-0100-000000000000}">
      <formula1>"placeholder,surveyed,to locate"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AA231"/>
  <sheetViews>
    <sheetView zoomScaleNormal="100" workbookViewId="0">
      <pane xSplit="2" ySplit="1" topLeftCell="C2" activePane="bottomRight" state="frozen"/>
      <selection pane="topRight" activeCell="C1" sqref="C1"/>
      <selection pane="bottomLeft" activeCell="A2" sqref="A2"/>
      <selection pane="bottomRight" activeCell="O1" sqref="O1:O1048576"/>
    </sheetView>
  </sheetViews>
  <sheetFormatPr baseColWidth="10" defaultColWidth="8.6640625" defaultRowHeight="15" x14ac:dyDescent="0.2"/>
  <cols>
    <col min="1" max="1" width="11" customWidth="1"/>
    <col min="2" max="2" width="16" customWidth="1"/>
    <col min="3" max="3" width="22" customWidth="1"/>
    <col min="4" max="4" width="16" customWidth="1"/>
    <col min="5" max="5" width="19" customWidth="1"/>
    <col min="6" max="6" width="20" customWidth="1"/>
    <col min="7" max="7" width="18" customWidth="1"/>
    <col min="8" max="8" width="19" customWidth="1"/>
    <col min="9" max="10" width="11" customWidth="1"/>
    <col min="11" max="11" width="13" customWidth="1"/>
    <col min="12" max="12" width="14" customWidth="1"/>
    <col min="13" max="13" width="20" customWidth="1"/>
    <col min="14" max="14" width="13" customWidth="1"/>
    <col min="15" max="15" width="12" customWidth="1"/>
    <col min="16" max="17" width="9" customWidth="1"/>
    <col min="18" max="18" width="10" customWidth="1"/>
    <col min="19" max="19" width="9" customWidth="1"/>
    <col min="20" max="20" width="13" customWidth="1"/>
    <col min="21" max="21" width="12" customWidth="1"/>
    <col min="22" max="22" width="13" customWidth="1"/>
    <col min="23" max="23" width="9" customWidth="1"/>
    <col min="24" max="24" width="30" customWidth="1"/>
    <col min="25" max="25" width="16" customWidth="1"/>
    <col min="26" max="26" width="13" customWidth="1"/>
  </cols>
  <sheetData>
    <row r="1" spans="1:27" ht="33.75" customHeight="1" x14ac:dyDescent="0.2">
      <c r="A1" s="6" t="s">
        <v>172</v>
      </c>
      <c r="B1" s="6" t="s">
        <v>173</v>
      </c>
      <c r="C1" s="6" t="s">
        <v>174</v>
      </c>
      <c r="D1" s="6" t="s">
        <v>175</v>
      </c>
      <c r="E1" s="6" t="s">
        <v>176</v>
      </c>
      <c r="F1" s="6" t="s">
        <v>177</v>
      </c>
      <c r="G1" s="6" t="s">
        <v>178</v>
      </c>
      <c r="H1" s="6" t="s">
        <v>179</v>
      </c>
      <c r="I1" s="6" t="s">
        <v>180</v>
      </c>
      <c r="J1" s="6" t="s">
        <v>181</v>
      </c>
      <c r="K1" s="6" t="s">
        <v>182</v>
      </c>
      <c r="L1" s="6" t="s">
        <v>183</v>
      </c>
      <c r="M1" s="6" t="s">
        <v>184</v>
      </c>
      <c r="N1" s="6" t="s">
        <v>185</v>
      </c>
      <c r="O1" s="6" t="s">
        <v>186</v>
      </c>
      <c r="P1" s="6" t="s">
        <v>187</v>
      </c>
      <c r="Q1" s="6" t="s">
        <v>188</v>
      </c>
      <c r="R1" s="6" t="s">
        <v>189</v>
      </c>
      <c r="S1" s="6" t="s">
        <v>190</v>
      </c>
      <c r="T1" s="6" t="s">
        <v>191</v>
      </c>
      <c r="U1" s="6" t="s">
        <v>192</v>
      </c>
      <c r="V1" s="6" t="s">
        <v>193</v>
      </c>
      <c r="W1" s="6" t="s">
        <v>194</v>
      </c>
      <c r="X1" s="6" t="s">
        <v>195</v>
      </c>
      <c r="Y1" s="6" t="s">
        <v>20</v>
      </c>
      <c r="Z1" s="6" t="s">
        <v>196</v>
      </c>
      <c r="AA1" t="s">
        <v>197</v>
      </c>
    </row>
    <row r="2" spans="1:27" ht="23.25" customHeight="1" x14ac:dyDescent="0.2">
      <c r="A2" s="9" t="s">
        <v>198</v>
      </c>
      <c r="B2" s="9" t="s">
        <v>199</v>
      </c>
      <c r="C2" s="9" t="s">
        <v>200</v>
      </c>
      <c r="D2" s="9" t="s">
        <v>201</v>
      </c>
      <c r="E2" s="9" t="s">
        <v>202</v>
      </c>
      <c r="F2" s="9" t="s">
        <v>203</v>
      </c>
      <c r="G2" s="9" t="s">
        <v>204</v>
      </c>
      <c r="H2" s="9" t="s">
        <v>205</v>
      </c>
      <c r="I2" s="9" t="s">
        <v>206</v>
      </c>
      <c r="J2" s="9" t="s">
        <v>207</v>
      </c>
      <c r="K2" s="9" t="s">
        <v>208</v>
      </c>
      <c r="L2" s="9" t="s">
        <v>209</v>
      </c>
      <c r="M2" s="7" t="str">
        <f t="shared" ref="M2:M65" si="0">IF($A2="","",IF($L2="High","Solid point",IF($L2="Medium","Point + buffer",IF($L2="Low","Translucent area",IF($L2="Disputed","Candidate points",IF($L2="Unknown","Unplotted (unlocated panel)","-"))))))</f>
        <v>Translucent area</v>
      </c>
      <c r="N2" s="9">
        <v>300</v>
      </c>
      <c r="O2" s="7">
        <f>IF($A2="","",COUNTIF(attestations!$B$2:$B$2000,$A2))</f>
        <v>30</v>
      </c>
      <c r="P2" s="7">
        <f>IF($A2="","",COUNTIFS(attestations!$B$2:$B$2000,$A2,attestations!$R$2:$R$2000,"Map"))</f>
        <v>3</v>
      </c>
      <c r="Q2" s="7">
        <f>IF($A2="","",COUNTIFS(attestations!$B$2:$B$2000,$A2,attestations!$R$2:$R$2000,"Image"))</f>
        <v>1</v>
      </c>
      <c r="R2" s="7">
        <f>IF($A2="","",COUNTIFS(attestations!$B$2:$B$2000,$A2,attestations!$R$2:$R$2000,"Textual"))</f>
        <v>7</v>
      </c>
      <c r="S2" s="7">
        <f>IF($A2="","",COUNTIFS(attestations!$B$2:$B$2000,$A2,attestations!$D$2:$D$2000,"Geometry (Setting)"))</f>
        <v>7</v>
      </c>
      <c r="T2" s="7" t="str">
        <f t="shared" ref="T2:T65" si="1">IF($A2="","",IF($O2&gt;=6,"High",IF($O2&gt;=3,"Medium",IF($O2&gt;=1,"Low","None"))))</f>
        <v>High</v>
      </c>
      <c r="U2" s="7" t="str">
        <f>IF($A2="","",IF(COUNTIFS(attestations!$B$2:$B$2000,$A2,attestations!$I$2:$I$2000,"Georeferenced map GCP")&gt;0,"Y","N"))</f>
        <v>Y</v>
      </c>
      <c r="V2" s="9" t="s">
        <v>210</v>
      </c>
      <c r="W2" s="9"/>
      <c r="X2" s="9" t="s">
        <v>211</v>
      </c>
      <c r="Y2" s="9" t="s">
        <v>212</v>
      </c>
    </row>
    <row r="3" spans="1:27" ht="23.25" customHeight="1" x14ac:dyDescent="0.2">
      <c r="A3" s="9" t="s">
        <v>213</v>
      </c>
      <c r="B3" s="9" t="s">
        <v>214</v>
      </c>
      <c r="C3" s="9"/>
      <c r="D3" s="9" t="s">
        <v>215</v>
      </c>
      <c r="E3" s="9" t="s">
        <v>202</v>
      </c>
      <c r="F3" s="9" t="s">
        <v>203</v>
      </c>
      <c r="G3" s="9" t="s">
        <v>204</v>
      </c>
      <c r="H3" s="9" t="s">
        <v>205</v>
      </c>
      <c r="I3" s="9" t="s">
        <v>216</v>
      </c>
      <c r="J3" s="9" t="s">
        <v>207</v>
      </c>
      <c r="K3" s="9" t="s">
        <v>208</v>
      </c>
      <c r="L3" s="9" t="s">
        <v>209</v>
      </c>
      <c r="M3" s="7" t="str">
        <f t="shared" si="0"/>
        <v>Translucent area</v>
      </c>
      <c r="N3" s="9">
        <v>400</v>
      </c>
      <c r="O3" s="7">
        <f>IF($A3="","",COUNTIF(attestations!$B$2:$B$2000,$A3))</f>
        <v>19</v>
      </c>
      <c r="P3" s="7">
        <f>IF($A3="","",COUNTIFS(attestations!$B$2:$B$2000,$A3,attestations!$R$2:$R$2000,"Map"))</f>
        <v>1</v>
      </c>
      <c r="Q3" s="7">
        <f>IF($A3="","",COUNTIFS(attestations!$B$2:$B$2000,$A3,attestations!$R$2:$R$2000,"Image"))</f>
        <v>1</v>
      </c>
      <c r="R3" s="7">
        <f>IF($A3="","",COUNTIFS(attestations!$B$2:$B$2000,$A3,attestations!$R$2:$R$2000,"Textual"))</f>
        <v>6</v>
      </c>
      <c r="S3" s="7">
        <f>IF($A3="","",COUNTIFS(attestations!$B$2:$B$2000,$A3,attestations!$D$2:$D$2000,"Geometry (Setting)"))</f>
        <v>5</v>
      </c>
      <c r="T3" s="7" t="str">
        <f t="shared" si="1"/>
        <v>High</v>
      </c>
      <c r="U3" s="7" t="str">
        <f>IF($A3="","",IF(COUNTIFS(attestations!$B$2:$B$2000,$A3,attestations!$I$2:$I$2000,"Georeferenced map GCP")&gt;0,"Y","N"))</f>
        <v>Y</v>
      </c>
      <c r="V3" s="9" t="s">
        <v>210</v>
      </c>
      <c r="W3" s="9"/>
      <c r="X3" s="9" t="s">
        <v>217</v>
      </c>
      <c r="Y3" s="9" t="s">
        <v>212</v>
      </c>
    </row>
    <row r="4" spans="1:27" ht="23.25" customHeight="1" x14ac:dyDescent="0.2">
      <c r="A4" s="9" t="s">
        <v>218</v>
      </c>
      <c r="B4" s="9" t="s">
        <v>219</v>
      </c>
      <c r="C4" s="9" t="s">
        <v>220</v>
      </c>
      <c r="D4" s="9" t="s">
        <v>215</v>
      </c>
      <c r="E4" s="9" t="s">
        <v>202</v>
      </c>
      <c r="F4" s="9" t="s">
        <v>203</v>
      </c>
      <c r="G4" s="9" t="s">
        <v>204</v>
      </c>
      <c r="H4" s="9" t="s">
        <v>205</v>
      </c>
      <c r="I4" s="9" t="s">
        <v>221</v>
      </c>
      <c r="J4" s="9" t="s">
        <v>207</v>
      </c>
      <c r="K4" s="9" t="s">
        <v>208</v>
      </c>
      <c r="L4" s="9" t="s">
        <v>209</v>
      </c>
      <c r="M4" s="7" t="str">
        <f t="shared" si="0"/>
        <v>Translucent area</v>
      </c>
      <c r="N4" s="9">
        <v>400</v>
      </c>
      <c r="O4" s="7">
        <f>IF($A4="","",COUNTIF(attestations!$B$2:$B$2000,$A4))</f>
        <v>27</v>
      </c>
      <c r="P4" s="7">
        <f>IF($A4="","",COUNTIFS(attestations!$B$2:$B$2000,$A4,attestations!$R$2:$R$2000,"Map"))</f>
        <v>3</v>
      </c>
      <c r="Q4" s="7">
        <f>IF($A4="","",COUNTIFS(attestations!$B$2:$B$2000,$A4,attestations!$R$2:$R$2000,"Image"))</f>
        <v>1</v>
      </c>
      <c r="R4" s="7">
        <f>IF($A4="","",COUNTIFS(attestations!$B$2:$B$2000,$A4,attestations!$R$2:$R$2000,"Textual"))</f>
        <v>8</v>
      </c>
      <c r="S4" s="7">
        <f>IF($A4="","",COUNTIFS(attestations!$B$2:$B$2000,$A4,attestations!$D$2:$D$2000,"Geometry (Setting)"))</f>
        <v>6</v>
      </c>
      <c r="T4" s="7" t="str">
        <f t="shared" si="1"/>
        <v>High</v>
      </c>
      <c r="U4" s="7" t="str">
        <f>IF($A4="","",IF(COUNTIFS(attestations!$B$2:$B$2000,$A4,attestations!$I$2:$I$2000,"Georeferenced map GCP")&gt;0,"Y","N"))</f>
        <v>Y</v>
      </c>
      <c r="V4" s="9" t="s">
        <v>210</v>
      </c>
      <c r="W4" s="9" t="s">
        <v>222</v>
      </c>
      <c r="X4" s="9" t="s">
        <v>223</v>
      </c>
      <c r="Y4" s="9" t="s">
        <v>212</v>
      </c>
    </row>
    <row r="5" spans="1:27" ht="23.25" customHeight="1" x14ac:dyDescent="0.2">
      <c r="A5" s="9" t="s">
        <v>224</v>
      </c>
      <c r="B5" s="9" t="s">
        <v>225</v>
      </c>
      <c r="C5" s="9"/>
      <c r="D5" s="9" t="s">
        <v>226</v>
      </c>
      <c r="E5" s="9" t="s">
        <v>202</v>
      </c>
      <c r="F5" s="9" t="s">
        <v>203</v>
      </c>
      <c r="G5" s="9" t="s">
        <v>204</v>
      </c>
      <c r="H5" s="9" t="s">
        <v>205</v>
      </c>
      <c r="I5" s="9"/>
      <c r="J5" s="9" t="s">
        <v>207</v>
      </c>
      <c r="K5" s="9" t="s">
        <v>227</v>
      </c>
      <c r="L5" s="9" t="s">
        <v>228</v>
      </c>
      <c r="M5" s="7" t="str">
        <f t="shared" si="0"/>
        <v>Point + buffer</v>
      </c>
      <c r="N5" s="9">
        <v>250</v>
      </c>
      <c r="O5" s="7">
        <f>IF($A5="","",COUNTIF(attestations!$B$2:$B$2000,$A5))</f>
        <v>17</v>
      </c>
      <c r="P5" s="7">
        <f>IF($A5="","",COUNTIFS(attestations!$B$2:$B$2000,$A5,attestations!$R$2:$R$2000,"Map"))</f>
        <v>1</v>
      </c>
      <c r="Q5" s="7">
        <f>IF($A5="","",COUNTIFS(attestations!$B$2:$B$2000,$A5,attestations!$R$2:$R$2000,"Image"))</f>
        <v>0</v>
      </c>
      <c r="R5" s="7">
        <f>IF($A5="","",COUNTIFS(attestations!$B$2:$B$2000,$A5,attestations!$R$2:$R$2000,"Textual"))</f>
        <v>6</v>
      </c>
      <c r="S5" s="7">
        <f>IF($A5="","",COUNTIFS(attestations!$B$2:$B$2000,$A5,attestations!$D$2:$D$2000,"Geometry (Setting)"))</f>
        <v>5</v>
      </c>
      <c r="T5" s="7" t="str">
        <f t="shared" si="1"/>
        <v>High</v>
      </c>
      <c r="U5" s="7" t="str">
        <f>IF($A5="","",IF(COUNTIFS(attestations!$B$2:$B$2000,$A5,attestations!$I$2:$I$2000,"Georeferenced map GCP")&gt;0,"Y","N"))</f>
        <v>Y</v>
      </c>
      <c r="V5" s="9" t="s">
        <v>210</v>
      </c>
      <c r="W5" s="9"/>
      <c r="X5" s="9" t="s">
        <v>229</v>
      </c>
      <c r="Y5" s="9" t="s">
        <v>212</v>
      </c>
    </row>
    <row r="6" spans="1:27" ht="21.75" customHeight="1" x14ac:dyDescent="0.2">
      <c r="A6" s="9" t="s">
        <v>230</v>
      </c>
      <c r="B6" s="9" t="s">
        <v>231</v>
      </c>
      <c r="C6" s="9"/>
      <c r="D6" s="9" t="s">
        <v>226</v>
      </c>
      <c r="E6" s="9" t="s">
        <v>202</v>
      </c>
      <c r="F6" s="9" t="s">
        <v>203</v>
      </c>
      <c r="G6" s="9" t="s">
        <v>204</v>
      </c>
      <c r="H6" s="9" t="s">
        <v>205</v>
      </c>
      <c r="I6" s="9"/>
      <c r="J6" s="9" t="s">
        <v>207</v>
      </c>
      <c r="K6" s="9" t="s">
        <v>227</v>
      </c>
      <c r="L6" s="9" t="s">
        <v>209</v>
      </c>
      <c r="M6" s="7" t="str">
        <f t="shared" si="0"/>
        <v>Translucent area</v>
      </c>
      <c r="N6" s="9">
        <v>500</v>
      </c>
      <c r="O6" s="7">
        <f>IF($A6="","",COUNTIF(attestations!$B$2:$B$2000,$A6))</f>
        <v>16</v>
      </c>
      <c r="P6" s="7">
        <f>IF($A6="","",COUNTIFS(attestations!$B$2:$B$2000,$A6,attestations!$R$2:$R$2000,"Map"))</f>
        <v>1</v>
      </c>
      <c r="Q6" s="7">
        <f>IF($A6="","",COUNTIFS(attestations!$B$2:$B$2000,$A6,attestations!$R$2:$R$2000,"Image"))</f>
        <v>1</v>
      </c>
      <c r="R6" s="7">
        <f>IF($A6="","",COUNTIFS(attestations!$B$2:$B$2000,$A6,attestations!$R$2:$R$2000,"Textual"))</f>
        <v>6</v>
      </c>
      <c r="S6" s="7">
        <f>IF($A6="","",COUNTIFS(attestations!$B$2:$B$2000,$A6,attestations!$D$2:$D$2000,"Geometry (Setting)"))</f>
        <v>1</v>
      </c>
      <c r="T6" s="7" t="str">
        <f t="shared" si="1"/>
        <v>High</v>
      </c>
      <c r="U6" s="7" t="str">
        <f>IF($A6="","",IF(COUNTIFS(attestations!$B$2:$B$2000,$A6,attestations!$I$2:$I$2000,"Georeferenced map GCP")&gt;0,"Y","N"))</f>
        <v>Y</v>
      </c>
      <c r="V6" s="9" t="s">
        <v>210</v>
      </c>
      <c r="W6" s="9"/>
      <c r="X6" s="9"/>
      <c r="Y6" s="9" t="s">
        <v>212</v>
      </c>
    </row>
    <row r="7" spans="1:27" ht="21.75" customHeight="1" x14ac:dyDescent="0.2">
      <c r="A7" s="9" t="s">
        <v>232</v>
      </c>
      <c r="B7" s="9" t="s">
        <v>233</v>
      </c>
      <c r="C7" s="9"/>
      <c r="D7" s="9" t="s">
        <v>226</v>
      </c>
      <c r="E7" s="9" t="s">
        <v>202</v>
      </c>
      <c r="F7" s="9" t="s">
        <v>203</v>
      </c>
      <c r="G7" s="9" t="s">
        <v>204</v>
      </c>
      <c r="H7" s="9" t="s">
        <v>205</v>
      </c>
      <c r="I7" s="9"/>
      <c r="J7" s="9" t="s">
        <v>207</v>
      </c>
      <c r="K7" s="9" t="s">
        <v>227</v>
      </c>
      <c r="L7" s="9" t="s">
        <v>209</v>
      </c>
      <c r="M7" s="7" t="str">
        <f t="shared" si="0"/>
        <v>Translucent area</v>
      </c>
      <c r="N7" s="9">
        <v>400</v>
      </c>
      <c r="O7" s="7">
        <f>IF($A7="","",COUNTIF(attestations!$B$2:$B$2000,$A7))</f>
        <v>18</v>
      </c>
      <c r="P7" s="7">
        <f>IF($A7="","",COUNTIFS(attestations!$B$2:$B$2000,$A7,attestations!$R$2:$R$2000,"Map"))</f>
        <v>2</v>
      </c>
      <c r="Q7" s="7">
        <f>IF($A7="","",COUNTIFS(attestations!$B$2:$B$2000,$A7,attestations!$R$2:$R$2000,"Image"))</f>
        <v>1</v>
      </c>
      <c r="R7" s="7">
        <f>IF($A7="","",COUNTIFS(attestations!$B$2:$B$2000,$A7,attestations!$R$2:$R$2000,"Textual"))</f>
        <v>6</v>
      </c>
      <c r="S7" s="7">
        <f>IF($A7="","",COUNTIFS(attestations!$B$2:$B$2000,$A7,attestations!$D$2:$D$2000,"Geometry (Setting)"))</f>
        <v>3</v>
      </c>
      <c r="T7" s="7" t="str">
        <f t="shared" si="1"/>
        <v>High</v>
      </c>
      <c r="U7" s="7" t="str">
        <f>IF($A7="","",IF(COUNTIFS(attestations!$B$2:$B$2000,$A7,attestations!$I$2:$I$2000,"Georeferenced map GCP")&gt;0,"Y","N"))</f>
        <v>Y</v>
      </c>
      <c r="V7" s="9" t="s">
        <v>210</v>
      </c>
      <c r="W7" s="9"/>
      <c r="X7" s="9"/>
      <c r="Y7" s="9" t="s">
        <v>212</v>
      </c>
    </row>
    <row r="8" spans="1:27" ht="21.75" customHeight="1" x14ac:dyDescent="0.2">
      <c r="A8" s="9" t="s">
        <v>234</v>
      </c>
      <c r="B8" s="9" t="s">
        <v>235</v>
      </c>
      <c r="C8" s="9"/>
      <c r="D8" s="9" t="s">
        <v>226</v>
      </c>
      <c r="E8" s="9" t="s">
        <v>202</v>
      </c>
      <c r="F8" s="9" t="s">
        <v>203</v>
      </c>
      <c r="G8" s="9" t="s">
        <v>204</v>
      </c>
      <c r="H8" s="9" t="s">
        <v>205</v>
      </c>
      <c r="I8" s="9"/>
      <c r="J8" s="9" t="s">
        <v>207</v>
      </c>
      <c r="K8" s="9" t="s">
        <v>227</v>
      </c>
      <c r="L8" s="9" t="s">
        <v>209</v>
      </c>
      <c r="M8" s="7" t="str">
        <f t="shared" si="0"/>
        <v>Translucent area</v>
      </c>
      <c r="N8" s="9">
        <v>800</v>
      </c>
      <c r="O8" s="7">
        <f>IF($A8="","",COUNTIF(attestations!$B$2:$B$2000,$A8))</f>
        <v>20</v>
      </c>
      <c r="P8" s="7">
        <f>IF($A8="","",COUNTIFS(attestations!$B$2:$B$2000,$A8,attestations!$R$2:$R$2000,"Map"))</f>
        <v>1</v>
      </c>
      <c r="Q8" s="7">
        <f>IF($A8="","",COUNTIFS(attestations!$B$2:$B$2000,$A8,attestations!$R$2:$R$2000,"Image"))</f>
        <v>0</v>
      </c>
      <c r="R8" s="7">
        <f>IF($A8="","",COUNTIFS(attestations!$B$2:$B$2000,$A8,attestations!$R$2:$R$2000,"Textual"))</f>
        <v>6</v>
      </c>
      <c r="S8" s="7">
        <f>IF($A8="","",COUNTIFS(attestations!$B$2:$B$2000,$A8,attestations!$D$2:$D$2000,"Geometry (Setting)"))</f>
        <v>4</v>
      </c>
      <c r="T8" s="7" t="str">
        <f t="shared" si="1"/>
        <v>High</v>
      </c>
      <c r="U8" s="7" t="str">
        <f>IF($A8="","",IF(COUNTIFS(attestations!$B$2:$B$2000,$A8,attestations!$I$2:$I$2000,"Georeferenced map GCP")&gt;0,"Y","N"))</f>
        <v>Y</v>
      </c>
      <c r="V8" s="9" t="s">
        <v>210</v>
      </c>
      <c r="W8" s="9"/>
      <c r="X8" s="9"/>
      <c r="Y8" s="9" t="s">
        <v>212</v>
      </c>
    </row>
    <row r="9" spans="1:27" ht="23.25" customHeight="1" x14ac:dyDescent="0.2">
      <c r="A9" s="9" t="s">
        <v>236</v>
      </c>
      <c r="B9" s="9" t="s">
        <v>237</v>
      </c>
      <c r="C9" s="9"/>
      <c r="D9" s="9" t="s">
        <v>226</v>
      </c>
      <c r="E9" s="9" t="s">
        <v>202</v>
      </c>
      <c r="F9" s="9" t="s">
        <v>203</v>
      </c>
      <c r="G9" s="9" t="s">
        <v>204</v>
      </c>
      <c r="H9" s="9" t="s">
        <v>205</v>
      </c>
      <c r="I9" s="9"/>
      <c r="J9" s="9" t="s">
        <v>207</v>
      </c>
      <c r="K9" s="9" t="s">
        <v>227</v>
      </c>
      <c r="L9" s="9" t="s">
        <v>209</v>
      </c>
      <c r="M9" s="7" t="str">
        <f t="shared" si="0"/>
        <v>Translucent area</v>
      </c>
      <c r="N9" s="9">
        <v>1000</v>
      </c>
      <c r="O9" s="7">
        <f>IF($A9="","",COUNTIF(attestations!$B$2:$B$2000,$A9))</f>
        <v>15</v>
      </c>
      <c r="P9" s="7">
        <f>IF($A9="","",COUNTIFS(attestations!$B$2:$B$2000,$A9,attestations!$R$2:$R$2000,"Map"))</f>
        <v>0</v>
      </c>
      <c r="Q9" s="7">
        <f>IF($A9="","",COUNTIFS(attestations!$B$2:$B$2000,$A9,attestations!$R$2:$R$2000,"Image"))</f>
        <v>1</v>
      </c>
      <c r="R9" s="7">
        <f>IF($A9="","",COUNTIFS(attestations!$B$2:$B$2000,$A9,attestations!$R$2:$R$2000,"Textual"))</f>
        <v>3</v>
      </c>
      <c r="S9" s="7">
        <f>IF($A9="","",COUNTIFS(attestations!$B$2:$B$2000,$A9,attestations!$D$2:$D$2000,"Geometry (Setting)"))</f>
        <v>1</v>
      </c>
      <c r="T9" s="7" t="str">
        <f t="shared" si="1"/>
        <v>High</v>
      </c>
      <c r="U9" s="7" t="str">
        <f>IF($A9="","",IF(COUNTIFS(attestations!$B$2:$B$2000,$A9,attestations!$I$2:$I$2000,"Georeferenced map GCP")&gt;0,"Y","N"))</f>
        <v>Y</v>
      </c>
      <c r="V9" s="9" t="s">
        <v>210</v>
      </c>
      <c r="W9" s="9"/>
      <c r="X9" s="9"/>
      <c r="Y9" s="9" t="s">
        <v>212</v>
      </c>
    </row>
    <row r="10" spans="1:27" ht="34.5" customHeight="1" x14ac:dyDescent="0.2">
      <c r="A10" s="9" t="s">
        <v>238</v>
      </c>
      <c r="B10" s="9" t="s">
        <v>239</v>
      </c>
      <c r="C10" s="9" t="s">
        <v>240</v>
      </c>
      <c r="D10" s="9" t="s">
        <v>215</v>
      </c>
      <c r="E10" s="9" t="s">
        <v>202</v>
      </c>
      <c r="F10" s="9" t="s">
        <v>241</v>
      </c>
      <c r="G10" s="9" t="s">
        <v>204</v>
      </c>
      <c r="H10" s="9" t="s">
        <v>242</v>
      </c>
      <c r="I10" s="9" t="s">
        <v>216</v>
      </c>
      <c r="J10" s="9" t="s">
        <v>243</v>
      </c>
      <c r="K10" s="9" t="s">
        <v>208</v>
      </c>
      <c r="L10" s="9" t="s">
        <v>209</v>
      </c>
      <c r="M10" s="7" t="str">
        <f t="shared" si="0"/>
        <v>Translucent area</v>
      </c>
      <c r="N10" s="9">
        <v>500</v>
      </c>
      <c r="O10" s="7">
        <f>IF($A10="","",COUNTIF(attestations!$B$2:$B$2000,$A10))</f>
        <v>28</v>
      </c>
      <c r="P10" s="7">
        <f>IF($A10="","",COUNTIFS(attestations!$B$2:$B$2000,$A10,attestations!$R$2:$R$2000,"Map"))</f>
        <v>3</v>
      </c>
      <c r="Q10" s="7">
        <f>IF($A10="","",COUNTIFS(attestations!$B$2:$B$2000,$A10,attestations!$R$2:$R$2000,"Image"))</f>
        <v>3</v>
      </c>
      <c r="R10" s="7">
        <f>IF($A10="","",COUNTIFS(attestations!$B$2:$B$2000,$A10,attestations!$R$2:$R$2000,"Textual"))</f>
        <v>9</v>
      </c>
      <c r="S10" s="7">
        <f>IF($A10="","",COUNTIFS(attestations!$B$2:$B$2000,$A10,attestations!$D$2:$D$2000,"Geometry (Setting)"))</f>
        <v>6</v>
      </c>
      <c r="T10" s="7" t="str">
        <f t="shared" si="1"/>
        <v>High</v>
      </c>
      <c r="U10" s="7" t="str">
        <f>IF($A10="","",IF(COUNTIFS(attestations!$B$2:$B$2000,$A10,attestations!$I$2:$I$2000,"Georeferenced map GCP")&gt;0,"Y","N"))</f>
        <v>Y</v>
      </c>
      <c r="V10" s="9" t="s">
        <v>210</v>
      </c>
      <c r="W10" s="9" t="s">
        <v>222</v>
      </c>
      <c r="X10" s="9" t="s">
        <v>244</v>
      </c>
      <c r="Y10" s="9" t="s">
        <v>212</v>
      </c>
    </row>
    <row r="11" spans="1:27" ht="23.25" customHeight="1" x14ac:dyDescent="0.2">
      <c r="A11" s="9" t="s">
        <v>245</v>
      </c>
      <c r="B11" s="9" t="s">
        <v>246</v>
      </c>
      <c r="C11" s="9" t="s">
        <v>247</v>
      </c>
      <c r="D11" s="9" t="s">
        <v>212</v>
      </c>
      <c r="E11" s="9" t="s">
        <v>248</v>
      </c>
      <c r="F11" s="9" t="s">
        <v>249</v>
      </c>
      <c r="G11" s="9" t="s">
        <v>204</v>
      </c>
      <c r="H11" s="9" t="s">
        <v>242</v>
      </c>
      <c r="I11" s="9" t="s">
        <v>250</v>
      </c>
      <c r="J11" s="9"/>
      <c r="K11" s="9" t="s">
        <v>208</v>
      </c>
      <c r="L11" s="9" t="s">
        <v>228</v>
      </c>
      <c r="M11" s="7" t="str">
        <f t="shared" si="0"/>
        <v>Point + buffer</v>
      </c>
      <c r="N11" s="9">
        <v>250</v>
      </c>
      <c r="O11" s="7">
        <f>IF($A11="","",COUNTIF(attestations!$B$2:$B$2000,$A11))</f>
        <v>17</v>
      </c>
      <c r="P11" s="7">
        <f>IF($A11="","",COUNTIFS(attestations!$B$2:$B$2000,$A11,attestations!$R$2:$R$2000,"Map"))</f>
        <v>1</v>
      </c>
      <c r="Q11" s="7">
        <f>IF($A11="","",COUNTIFS(attestations!$B$2:$B$2000,$A11,attestations!$R$2:$R$2000,"Image"))</f>
        <v>1</v>
      </c>
      <c r="R11" s="7">
        <f>IF($A11="","",COUNTIFS(attestations!$B$2:$B$2000,$A11,attestations!$R$2:$R$2000,"Textual"))</f>
        <v>5</v>
      </c>
      <c r="S11" s="7">
        <f>IF($A11="","",COUNTIFS(attestations!$B$2:$B$2000,$A11,attestations!$D$2:$D$2000,"Geometry (Setting)"))</f>
        <v>4</v>
      </c>
      <c r="T11" s="7" t="str">
        <f t="shared" si="1"/>
        <v>High</v>
      </c>
      <c r="U11" s="7" t="str">
        <f>IF($A11="","",IF(COUNTIFS(attestations!$B$2:$B$2000,$A11,attestations!$I$2:$I$2000,"Georeferenced map GCP")&gt;0,"Y","N"))</f>
        <v>Y</v>
      </c>
      <c r="V11" s="9" t="s">
        <v>210</v>
      </c>
      <c r="W11" s="9" t="s">
        <v>228</v>
      </c>
      <c r="X11" s="9" t="s">
        <v>251</v>
      </c>
      <c r="Y11" s="9" t="s">
        <v>212</v>
      </c>
    </row>
    <row r="12" spans="1:27" ht="23.25" customHeight="1" x14ac:dyDescent="0.2">
      <c r="A12" s="9" t="s">
        <v>252</v>
      </c>
      <c r="B12" s="9" t="s">
        <v>253</v>
      </c>
      <c r="C12" s="9" t="s">
        <v>254</v>
      </c>
      <c r="D12" s="9" t="s">
        <v>212</v>
      </c>
      <c r="E12" s="9" t="s">
        <v>255</v>
      </c>
      <c r="F12" s="9" t="s">
        <v>256</v>
      </c>
      <c r="G12" s="9" t="s">
        <v>257</v>
      </c>
      <c r="H12" s="9" t="s">
        <v>242</v>
      </c>
      <c r="I12" s="9" t="s">
        <v>258</v>
      </c>
      <c r="J12" s="9" t="s">
        <v>259</v>
      </c>
      <c r="K12" s="9" t="s">
        <v>208</v>
      </c>
      <c r="L12" s="9" t="s">
        <v>228</v>
      </c>
      <c r="M12" s="7" t="str">
        <f t="shared" si="0"/>
        <v>Point + buffer</v>
      </c>
      <c r="N12" s="9">
        <v>300</v>
      </c>
      <c r="O12" s="7">
        <f>IF($A12="","",COUNTIF(attestations!$B$2:$B$2000,$A12))</f>
        <v>35</v>
      </c>
      <c r="P12" s="7">
        <f>IF($A12="","",COUNTIFS(attestations!$B$2:$B$2000,$A12,attestations!$R$2:$R$2000,"Map"))</f>
        <v>3</v>
      </c>
      <c r="Q12" s="7">
        <f>IF($A12="","",COUNTIFS(attestations!$B$2:$B$2000,$A12,attestations!$R$2:$R$2000,"Image"))</f>
        <v>4</v>
      </c>
      <c r="R12" s="7">
        <f>IF($A12="","",COUNTIFS(attestations!$B$2:$B$2000,$A12,attestations!$R$2:$R$2000,"Textual"))</f>
        <v>9</v>
      </c>
      <c r="S12" s="7">
        <f>IF($A12="","",COUNTIFS(attestations!$B$2:$B$2000,$A12,attestations!$D$2:$D$2000,"Geometry (Setting)"))</f>
        <v>9</v>
      </c>
      <c r="T12" s="7" t="str">
        <f t="shared" si="1"/>
        <v>High</v>
      </c>
      <c r="U12" s="7" t="str">
        <f>IF($A12="","",IF(COUNTIFS(attestations!$B$2:$B$2000,$A12,attestations!$I$2:$I$2000,"Georeferenced map GCP")&gt;0,"Y","N"))</f>
        <v>Y</v>
      </c>
      <c r="V12" s="9" t="s">
        <v>210</v>
      </c>
      <c r="W12" s="9" t="s">
        <v>222</v>
      </c>
      <c r="X12" s="9" t="s">
        <v>260</v>
      </c>
      <c r="Y12" s="9" t="s">
        <v>212</v>
      </c>
    </row>
    <row r="13" spans="1:27" ht="23.25" customHeight="1" x14ac:dyDescent="0.2">
      <c r="A13" s="9" t="s">
        <v>261</v>
      </c>
      <c r="B13" s="9" t="s">
        <v>262</v>
      </c>
      <c r="C13" s="9" t="s">
        <v>263</v>
      </c>
      <c r="D13" s="9" t="s">
        <v>212</v>
      </c>
      <c r="E13" s="9" t="s">
        <v>255</v>
      </c>
      <c r="F13" s="9" t="s">
        <v>256</v>
      </c>
      <c r="G13" s="9" t="s">
        <v>257</v>
      </c>
      <c r="H13" s="9" t="s">
        <v>242</v>
      </c>
      <c r="I13" s="9" t="s">
        <v>216</v>
      </c>
      <c r="J13" s="9" t="s">
        <v>264</v>
      </c>
      <c r="K13" s="9" t="s">
        <v>208</v>
      </c>
      <c r="L13" s="9" t="s">
        <v>228</v>
      </c>
      <c r="M13" s="7" t="str">
        <f t="shared" si="0"/>
        <v>Point + buffer</v>
      </c>
      <c r="N13" s="9">
        <v>300</v>
      </c>
      <c r="O13" s="7">
        <f>IF($A13="","",COUNTIF(attestations!$B$2:$B$2000,$A13))</f>
        <v>34</v>
      </c>
      <c r="P13" s="7">
        <f>IF($A13="","",COUNTIFS(attestations!$B$2:$B$2000,$A13,attestations!$R$2:$R$2000,"Map"))</f>
        <v>4</v>
      </c>
      <c r="Q13" s="7">
        <f>IF($A13="","",COUNTIFS(attestations!$B$2:$B$2000,$A13,attestations!$R$2:$R$2000,"Image"))</f>
        <v>2</v>
      </c>
      <c r="R13" s="7">
        <f>IF($A13="","",COUNTIFS(attestations!$B$2:$B$2000,$A13,attestations!$R$2:$R$2000,"Textual"))</f>
        <v>8</v>
      </c>
      <c r="S13" s="7">
        <f>IF($A13="","",COUNTIFS(attestations!$B$2:$B$2000,$A13,attestations!$D$2:$D$2000,"Geometry (Setting)"))</f>
        <v>8</v>
      </c>
      <c r="T13" s="7" t="str">
        <f t="shared" si="1"/>
        <v>High</v>
      </c>
      <c r="U13" s="7" t="str">
        <f>IF($A13="","",IF(COUNTIFS(attestations!$B$2:$B$2000,$A13,attestations!$I$2:$I$2000,"Georeferenced map GCP")&gt;0,"Y","N"))</f>
        <v>Y</v>
      </c>
      <c r="V13" s="9" t="s">
        <v>210</v>
      </c>
      <c r="W13" s="9" t="s">
        <v>222</v>
      </c>
      <c r="X13" s="9" t="s">
        <v>265</v>
      </c>
      <c r="Y13" s="9" t="s">
        <v>212</v>
      </c>
    </row>
    <row r="14" spans="1:27" ht="23.25" customHeight="1" x14ac:dyDescent="0.2">
      <c r="A14" s="9" t="s">
        <v>266</v>
      </c>
      <c r="B14" s="9" t="s">
        <v>267</v>
      </c>
      <c r="C14" s="9"/>
      <c r="D14" s="9" t="s">
        <v>212</v>
      </c>
      <c r="E14" s="9" t="s">
        <v>255</v>
      </c>
      <c r="F14" s="9" t="s">
        <v>256</v>
      </c>
      <c r="G14" s="9" t="s">
        <v>268</v>
      </c>
      <c r="H14" s="9" t="s">
        <v>269</v>
      </c>
      <c r="I14" s="9" t="s">
        <v>270</v>
      </c>
      <c r="J14" s="9" t="s">
        <v>264</v>
      </c>
      <c r="K14" s="9" t="s">
        <v>208</v>
      </c>
      <c r="L14" s="9" t="s">
        <v>228</v>
      </c>
      <c r="M14" s="7" t="str">
        <f t="shared" si="0"/>
        <v>Point + buffer</v>
      </c>
      <c r="N14" s="9">
        <v>300</v>
      </c>
      <c r="O14" s="7">
        <f>IF($A14="","",COUNTIF(attestations!$B$2:$B$2000,$A14))</f>
        <v>29</v>
      </c>
      <c r="P14" s="7">
        <f>IF($A14="","",COUNTIFS(attestations!$B$2:$B$2000,$A14,attestations!$R$2:$R$2000,"Map"))</f>
        <v>3</v>
      </c>
      <c r="Q14" s="7">
        <f>IF($A14="","",COUNTIFS(attestations!$B$2:$B$2000,$A14,attestations!$R$2:$R$2000,"Image"))</f>
        <v>1</v>
      </c>
      <c r="R14" s="7">
        <f>IF($A14="","",COUNTIFS(attestations!$B$2:$B$2000,$A14,attestations!$R$2:$R$2000,"Textual"))</f>
        <v>6</v>
      </c>
      <c r="S14" s="7">
        <f>IF($A14="","",COUNTIFS(attestations!$B$2:$B$2000,$A14,attestations!$D$2:$D$2000,"Geometry (Setting)"))</f>
        <v>11</v>
      </c>
      <c r="T14" s="7" t="str">
        <f t="shared" si="1"/>
        <v>High</v>
      </c>
      <c r="U14" s="7" t="str">
        <f>IF($A14="","",IF(COUNTIFS(attestations!$B$2:$B$2000,$A14,attestations!$I$2:$I$2000,"Georeferenced map GCP")&gt;0,"Y","N"))</f>
        <v>Y</v>
      </c>
      <c r="V14" s="9" t="s">
        <v>210</v>
      </c>
      <c r="W14" s="9" t="s">
        <v>228</v>
      </c>
      <c r="X14" s="9" t="s">
        <v>271</v>
      </c>
      <c r="Y14" s="9" t="s">
        <v>212</v>
      </c>
    </row>
    <row r="15" spans="1:27" ht="15" customHeight="1" x14ac:dyDescent="0.2">
      <c r="A15" s="9" t="s">
        <v>272</v>
      </c>
      <c r="B15" s="9" t="s">
        <v>273</v>
      </c>
      <c r="C15" s="9" t="s">
        <v>274</v>
      </c>
      <c r="D15" s="9" t="s">
        <v>275</v>
      </c>
      <c r="E15" s="9" t="s">
        <v>227</v>
      </c>
      <c r="F15" s="9" t="s">
        <v>227</v>
      </c>
      <c r="G15" s="9" t="s">
        <v>257</v>
      </c>
      <c r="H15" s="9" t="s">
        <v>242</v>
      </c>
      <c r="I15" s="9" t="s">
        <v>276</v>
      </c>
      <c r="J15" s="9" t="s">
        <v>277</v>
      </c>
      <c r="K15" s="9" t="s">
        <v>278</v>
      </c>
      <c r="L15" s="9" t="s">
        <v>209</v>
      </c>
      <c r="M15" s="7" t="str">
        <f t="shared" si="0"/>
        <v>Translucent area</v>
      </c>
      <c r="N15" s="9">
        <v>500</v>
      </c>
      <c r="O15" s="7">
        <f>IF($A15="","",COUNTIF(attestations!$B$2:$B$2000,$A15))</f>
        <v>29</v>
      </c>
      <c r="P15" s="7">
        <f>IF($A15="","",COUNTIFS(attestations!$B$2:$B$2000,$A15,attestations!$R$2:$R$2000,"Map"))</f>
        <v>2</v>
      </c>
      <c r="Q15" s="7">
        <f>IF($A15="","",COUNTIFS(attestations!$B$2:$B$2000,$A15,attestations!$R$2:$R$2000,"Image"))</f>
        <v>2</v>
      </c>
      <c r="R15" s="7">
        <f>IF($A15="","",COUNTIFS(attestations!$B$2:$B$2000,$A15,attestations!$R$2:$R$2000,"Textual"))</f>
        <v>7</v>
      </c>
      <c r="S15" s="7">
        <f>IF($A15="","",COUNTIFS(attestations!$B$2:$B$2000,$A15,attestations!$D$2:$D$2000,"Geometry (Setting)"))</f>
        <v>8</v>
      </c>
      <c r="T15" s="7" t="str">
        <f t="shared" si="1"/>
        <v>High</v>
      </c>
      <c r="U15" s="7" t="str">
        <f>IF($A15="","",IF(COUNTIFS(attestations!$B$2:$B$2000,$A15,attestations!$I$2:$I$2000,"Georeferenced map GCP")&gt;0,"Y","N"))</f>
        <v>Y</v>
      </c>
      <c r="V15" s="9" t="s">
        <v>210</v>
      </c>
      <c r="W15" s="9"/>
      <c r="X15" s="9" t="s">
        <v>279</v>
      </c>
      <c r="Y15" s="9" t="s">
        <v>212</v>
      </c>
    </row>
    <row r="16" spans="1:27" ht="23.25" customHeight="1" x14ac:dyDescent="0.2">
      <c r="A16" s="9" t="s">
        <v>280</v>
      </c>
      <c r="B16" s="9" t="s">
        <v>281</v>
      </c>
      <c r="C16" s="9"/>
      <c r="D16" s="9" t="s">
        <v>275</v>
      </c>
      <c r="E16" s="9" t="s">
        <v>227</v>
      </c>
      <c r="F16" s="9" t="s">
        <v>227</v>
      </c>
      <c r="G16" s="9" t="s">
        <v>257</v>
      </c>
      <c r="H16" s="9" t="s">
        <v>242</v>
      </c>
      <c r="I16" s="9" t="s">
        <v>282</v>
      </c>
      <c r="J16" s="9"/>
      <c r="K16" s="9" t="s">
        <v>278</v>
      </c>
      <c r="L16" s="9" t="s">
        <v>209</v>
      </c>
      <c r="M16" s="7" t="str">
        <f t="shared" si="0"/>
        <v>Translucent area</v>
      </c>
      <c r="N16" s="9">
        <v>500</v>
      </c>
      <c r="O16" s="7">
        <f>IF($A16="","",COUNTIF(attestations!$B$2:$B$2000,$A16))</f>
        <v>21</v>
      </c>
      <c r="P16" s="7">
        <f>IF($A16="","",COUNTIFS(attestations!$B$2:$B$2000,$A16,attestations!$R$2:$R$2000,"Map"))</f>
        <v>2</v>
      </c>
      <c r="Q16" s="7">
        <f>IF($A16="","",COUNTIFS(attestations!$B$2:$B$2000,$A16,attestations!$R$2:$R$2000,"Image"))</f>
        <v>1</v>
      </c>
      <c r="R16" s="7">
        <f>IF($A16="","",COUNTIFS(attestations!$B$2:$B$2000,$A16,attestations!$R$2:$R$2000,"Textual"))</f>
        <v>5</v>
      </c>
      <c r="S16" s="7">
        <f>IF($A16="","",COUNTIFS(attestations!$B$2:$B$2000,$A16,attestations!$D$2:$D$2000,"Geometry (Setting)"))</f>
        <v>6</v>
      </c>
      <c r="T16" s="7" t="str">
        <f t="shared" si="1"/>
        <v>High</v>
      </c>
      <c r="U16" s="7" t="str">
        <f>IF($A16="","",IF(COUNTIFS(attestations!$B$2:$B$2000,$A16,attestations!$I$2:$I$2000,"Georeferenced map GCP")&gt;0,"Y","N"))</f>
        <v>Y</v>
      </c>
      <c r="V16" s="9" t="s">
        <v>210</v>
      </c>
      <c r="W16" s="9"/>
      <c r="X16" s="9" t="s">
        <v>283</v>
      </c>
      <c r="Y16" s="9" t="s">
        <v>212</v>
      </c>
    </row>
    <row r="17" spans="1:27" ht="15" customHeight="1" x14ac:dyDescent="0.2">
      <c r="A17" s="9" t="s">
        <v>284</v>
      </c>
      <c r="B17" s="9" t="s">
        <v>285</v>
      </c>
      <c r="C17" s="9" t="s">
        <v>286</v>
      </c>
      <c r="D17" s="9" t="s">
        <v>215</v>
      </c>
      <c r="E17" s="9" t="s">
        <v>227</v>
      </c>
      <c r="F17" s="9" t="s">
        <v>227</v>
      </c>
      <c r="G17" s="9" t="s">
        <v>204</v>
      </c>
      <c r="H17" s="9" t="s">
        <v>205</v>
      </c>
      <c r="I17" s="9" t="s">
        <v>206</v>
      </c>
      <c r="J17" s="9" t="s">
        <v>207</v>
      </c>
      <c r="K17" s="9" t="s">
        <v>278</v>
      </c>
      <c r="L17" s="9" t="s">
        <v>209</v>
      </c>
      <c r="M17" s="7" t="str">
        <f t="shared" si="0"/>
        <v>Translucent area</v>
      </c>
      <c r="N17" s="9">
        <v>500</v>
      </c>
      <c r="O17" s="7">
        <f>IF($A17="","",COUNTIF(attestations!$B$2:$B$2000,$A17))</f>
        <v>27</v>
      </c>
      <c r="P17" s="7">
        <f>IF($A17="","",COUNTIFS(attestations!$B$2:$B$2000,$A17,attestations!$R$2:$R$2000,"Map"))</f>
        <v>2</v>
      </c>
      <c r="Q17" s="7">
        <f>IF($A17="","",COUNTIFS(attestations!$B$2:$B$2000,$A17,attestations!$R$2:$R$2000,"Image"))</f>
        <v>1</v>
      </c>
      <c r="R17" s="7">
        <f>IF($A17="","",COUNTIFS(attestations!$B$2:$B$2000,$A17,attestations!$R$2:$R$2000,"Textual"))</f>
        <v>8</v>
      </c>
      <c r="S17" s="7">
        <f>IF($A17="","",COUNTIFS(attestations!$B$2:$B$2000,$A17,attestations!$D$2:$D$2000,"Geometry (Setting)"))</f>
        <v>4</v>
      </c>
      <c r="T17" s="7" t="str">
        <f t="shared" si="1"/>
        <v>High</v>
      </c>
      <c r="U17" s="7" t="str">
        <f>IF($A17="","",IF(COUNTIFS(attestations!$B$2:$B$2000,$A17,attestations!$I$2:$I$2000,"Georeferenced map GCP")&gt;0,"Y","N"))</f>
        <v>Y</v>
      </c>
      <c r="V17" s="9" t="s">
        <v>210</v>
      </c>
      <c r="W17" s="9"/>
      <c r="X17" s="9" t="s">
        <v>287</v>
      </c>
      <c r="Y17" s="9" t="s">
        <v>212</v>
      </c>
    </row>
    <row r="18" spans="1:27" ht="15" customHeight="1" x14ac:dyDescent="0.2">
      <c r="A18" s="9" t="s">
        <v>288</v>
      </c>
      <c r="B18" s="9" t="s">
        <v>289</v>
      </c>
      <c r="D18" s="9" t="s">
        <v>290</v>
      </c>
      <c r="E18" s="9" t="s">
        <v>255</v>
      </c>
      <c r="F18" s="9" t="s">
        <v>256</v>
      </c>
      <c r="G18" s="9" t="s">
        <v>268</v>
      </c>
      <c r="H18" s="9" t="s">
        <v>242</v>
      </c>
      <c r="I18" s="9" t="s">
        <v>291</v>
      </c>
      <c r="J18" s="9" t="s">
        <v>292</v>
      </c>
      <c r="K18" s="9" t="s">
        <v>208</v>
      </c>
      <c r="L18" s="9" t="s">
        <v>228</v>
      </c>
      <c r="M18" s="7" t="str">
        <f t="shared" si="0"/>
        <v>Point + buffer</v>
      </c>
      <c r="N18" s="9">
        <v>400</v>
      </c>
      <c r="O18" s="7">
        <f>IF($A18="","",COUNTIF(attestations!$B$2:$B$2000,$A18))</f>
        <v>5</v>
      </c>
      <c r="P18" s="7">
        <f>IF($A18="","",COUNTIFS(attestations!$B$2:$B$2000,$A18,attestations!$R$2:$R$2000,"Map"))</f>
        <v>1</v>
      </c>
      <c r="Q18" s="7">
        <f>IF($A18="","",COUNTIFS(attestations!$B$2:$B$2000,$A18,attestations!$R$2:$R$2000,"Image"))</f>
        <v>0</v>
      </c>
      <c r="R18" s="7">
        <f>IF($A18="","",COUNTIFS(attestations!$B$2:$B$2000,$A18,attestations!$R$2:$R$2000,"Textual"))</f>
        <v>1</v>
      </c>
      <c r="S18" s="7">
        <f>IF($A18="","",COUNTIFS(attestations!$B$2:$B$2000,$A18,attestations!$D$2:$D$2000,"Geometry (Setting)"))</f>
        <v>1</v>
      </c>
      <c r="T18" s="7" t="str">
        <f t="shared" si="1"/>
        <v>Medium</v>
      </c>
      <c r="U18" s="7" t="str">
        <f>IF($A18="","",IF(COUNTIFS(attestations!$B$2:$B$2000,$A18,attestations!$I$2:$I$2000,"Georeferenced map GCP")&gt;0,"Y","N"))</f>
        <v>Y</v>
      </c>
      <c r="V18" s="9" t="s">
        <v>210</v>
      </c>
      <c r="W18" s="9"/>
      <c r="X18" s="9" t="s">
        <v>293</v>
      </c>
      <c r="Y18" s="9" t="s">
        <v>294</v>
      </c>
      <c r="Z18" s="9" t="s">
        <v>252</v>
      </c>
    </row>
    <row r="19" spans="1:27" ht="15" customHeight="1" x14ac:dyDescent="0.2">
      <c r="A19" s="9" t="s">
        <v>295</v>
      </c>
      <c r="B19" s="9" t="s">
        <v>296</v>
      </c>
      <c r="D19" s="9" t="s">
        <v>297</v>
      </c>
      <c r="E19" s="9" t="s">
        <v>255</v>
      </c>
      <c r="F19" s="9" t="s">
        <v>256</v>
      </c>
      <c r="G19" s="9" t="s">
        <v>268</v>
      </c>
      <c r="H19" s="9" t="s">
        <v>242</v>
      </c>
      <c r="I19" s="9" t="s">
        <v>291</v>
      </c>
      <c r="J19" s="9" t="s">
        <v>292</v>
      </c>
      <c r="K19" s="9" t="s">
        <v>208</v>
      </c>
      <c r="L19" s="9" t="s">
        <v>228</v>
      </c>
      <c r="M19" s="7" t="str">
        <f t="shared" si="0"/>
        <v>Point + buffer</v>
      </c>
      <c r="N19" s="9">
        <v>400</v>
      </c>
      <c r="O19" s="7">
        <f>IF($A19="","",COUNTIF(attestations!$B$2:$B$2000,$A19))</f>
        <v>5</v>
      </c>
      <c r="P19" s="7">
        <f>IF($A19="","",COUNTIFS(attestations!$B$2:$B$2000,$A19,attestations!$R$2:$R$2000,"Map"))</f>
        <v>0</v>
      </c>
      <c r="Q19" s="7">
        <f>IF($A19="","",COUNTIFS(attestations!$B$2:$B$2000,$A19,attestations!$R$2:$R$2000,"Image"))</f>
        <v>0</v>
      </c>
      <c r="R19" s="7">
        <f>IF($A19="","",COUNTIFS(attestations!$B$2:$B$2000,$A19,attestations!$R$2:$R$2000,"Textual"))</f>
        <v>1</v>
      </c>
      <c r="S19" s="7">
        <f>IF($A19="","",COUNTIFS(attestations!$B$2:$B$2000,$A19,attestations!$D$2:$D$2000,"Geometry (Setting)"))</f>
        <v>1</v>
      </c>
      <c r="T19" s="7" t="str">
        <f t="shared" si="1"/>
        <v>Medium</v>
      </c>
      <c r="U19" s="7" t="str">
        <f>IF($A19="","",IF(COUNTIFS(attestations!$B$2:$B$2000,$A19,attestations!$I$2:$I$2000,"Georeferenced map GCP")&gt;0,"Y","N"))</f>
        <v>Y</v>
      </c>
      <c r="V19" s="9" t="s">
        <v>210</v>
      </c>
      <c r="W19" s="9"/>
      <c r="X19" s="9" t="s">
        <v>298</v>
      </c>
      <c r="Y19" s="9" t="s">
        <v>294</v>
      </c>
      <c r="Z19" s="9" t="s">
        <v>252</v>
      </c>
    </row>
    <row r="20" spans="1:27" ht="15" customHeight="1" x14ac:dyDescent="0.2">
      <c r="A20" s="9" t="s">
        <v>299</v>
      </c>
      <c r="B20" s="9" t="s">
        <v>300</v>
      </c>
      <c r="D20" s="9" t="s">
        <v>301</v>
      </c>
      <c r="E20" s="9" t="s">
        <v>255</v>
      </c>
      <c r="F20" s="9" t="s">
        <v>256</v>
      </c>
      <c r="G20" s="9" t="s">
        <v>268</v>
      </c>
      <c r="H20" s="9" t="s">
        <v>269</v>
      </c>
      <c r="I20" s="9" t="s">
        <v>302</v>
      </c>
      <c r="J20" s="9" t="s">
        <v>292</v>
      </c>
      <c r="K20" s="9" t="s">
        <v>208</v>
      </c>
      <c r="L20" s="9" t="s">
        <v>228</v>
      </c>
      <c r="M20" s="7" t="str">
        <f t="shared" si="0"/>
        <v>Point + buffer</v>
      </c>
      <c r="N20" s="9">
        <v>400</v>
      </c>
      <c r="O20" s="7">
        <f>IF($A20="","",COUNTIF(attestations!$B$2:$B$2000,$A20))</f>
        <v>1</v>
      </c>
      <c r="P20" s="7">
        <f>IF($A20="","",COUNTIFS(attestations!$B$2:$B$2000,$A20,attestations!$R$2:$R$2000,"Map"))</f>
        <v>0</v>
      </c>
      <c r="Q20" s="7">
        <f>IF($A20="","",COUNTIFS(attestations!$B$2:$B$2000,$A20,attestations!$R$2:$R$2000,"Image"))</f>
        <v>0</v>
      </c>
      <c r="R20" s="7">
        <f>IF($A20="","",COUNTIFS(attestations!$B$2:$B$2000,$A20,attestations!$R$2:$R$2000,"Textual"))</f>
        <v>0</v>
      </c>
      <c r="S20" s="7">
        <f>IF($A20="","",COUNTIFS(attestations!$B$2:$B$2000,$A20,attestations!$D$2:$D$2000,"Geometry (Setting)"))</f>
        <v>0</v>
      </c>
      <c r="T20" s="7" t="str">
        <f t="shared" si="1"/>
        <v>Low</v>
      </c>
      <c r="U20" s="7" t="str">
        <f>IF($A20="","",IF(COUNTIFS(attestations!$B$2:$B$2000,$A20,attestations!$I$2:$I$2000,"Georeferenced map GCP")&gt;0,"Y","N"))</f>
        <v>N</v>
      </c>
      <c r="V20" s="9" t="s">
        <v>303</v>
      </c>
      <c r="W20" s="9"/>
      <c r="X20" s="9" t="s">
        <v>304</v>
      </c>
      <c r="Y20" s="9" t="s">
        <v>305</v>
      </c>
      <c r="Z20" s="9" t="s">
        <v>252</v>
      </c>
    </row>
    <row r="21" spans="1:27" ht="15" customHeight="1" x14ac:dyDescent="0.2">
      <c r="A21" s="9" t="s">
        <v>306</v>
      </c>
      <c r="B21" s="9" t="s">
        <v>307</v>
      </c>
      <c r="D21" s="9" t="s">
        <v>308</v>
      </c>
      <c r="E21" s="9" t="s">
        <v>255</v>
      </c>
      <c r="F21" s="9" t="s">
        <v>256</v>
      </c>
      <c r="G21" s="9" t="s">
        <v>257</v>
      </c>
      <c r="H21" s="9" t="s">
        <v>309</v>
      </c>
      <c r="I21" s="9" t="s">
        <v>310</v>
      </c>
      <c r="J21" s="9" t="s">
        <v>292</v>
      </c>
      <c r="K21" s="9" t="s">
        <v>208</v>
      </c>
      <c r="L21" s="9" t="s">
        <v>209</v>
      </c>
      <c r="M21" s="7" t="str">
        <f t="shared" si="0"/>
        <v>Translucent area</v>
      </c>
      <c r="N21" s="9">
        <v>400</v>
      </c>
      <c r="O21" s="7">
        <f>IF($A21="","",COUNTIF(attestations!$B$2:$B$2000,$A21))</f>
        <v>9</v>
      </c>
      <c r="P21" s="7">
        <f>IF($A21="","",COUNTIFS(attestations!$B$2:$B$2000,$A21,attestations!$R$2:$R$2000,"Map"))</f>
        <v>1</v>
      </c>
      <c r="Q21" s="7">
        <f>IF($A21="","",COUNTIFS(attestations!$B$2:$B$2000,$A21,attestations!$R$2:$R$2000,"Image"))</f>
        <v>0</v>
      </c>
      <c r="R21" s="7">
        <f>IF($A21="","",COUNTIFS(attestations!$B$2:$B$2000,$A21,attestations!$R$2:$R$2000,"Textual"))</f>
        <v>1</v>
      </c>
      <c r="S21" s="7">
        <f>IF($A21="","",COUNTIFS(attestations!$B$2:$B$2000,$A21,attestations!$D$2:$D$2000,"Geometry (Setting)"))</f>
        <v>0</v>
      </c>
      <c r="T21" s="7" t="str">
        <f t="shared" si="1"/>
        <v>High</v>
      </c>
      <c r="U21" s="7" t="str">
        <f>IF($A21="","",IF(COUNTIFS(attestations!$B$2:$B$2000,$A21,attestations!$I$2:$I$2000,"Georeferenced map GCP")&gt;0,"Y","N"))</f>
        <v>N</v>
      </c>
      <c r="V21" s="9" t="s">
        <v>210</v>
      </c>
      <c r="W21" s="9" t="s">
        <v>222</v>
      </c>
      <c r="X21" s="9" t="s">
        <v>311</v>
      </c>
      <c r="Y21" s="9" t="s">
        <v>312</v>
      </c>
      <c r="Z21" s="9" t="s">
        <v>252</v>
      </c>
    </row>
    <row r="22" spans="1:27" ht="15" customHeight="1" x14ac:dyDescent="0.2">
      <c r="A22" s="9" t="s">
        <v>313</v>
      </c>
      <c r="B22" s="9" t="s">
        <v>314</v>
      </c>
      <c r="D22" s="9" t="s">
        <v>308</v>
      </c>
      <c r="E22" s="9" t="s">
        <v>255</v>
      </c>
      <c r="F22" s="9" t="s">
        <v>256</v>
      </c>
      <c r="G22" s="9" t="s">
        <v>268</v>
      </c>
      <c r="H22" s="9" t="s">
        <v>269</v>
      </c>
      <c r="I22" s="9" t="s">
        <v>310</v>
      </c>
      <c r="J22" s="9" t="s">
        <v>292</v>
      </c>
      <c r="K22" s="9" t="s">
        <v>208</v>
      </c>
      <c r="L22" s="9" t="s">
        <v>228</v>
      </c>
      <c r="M22" s="7" t="str">
        <f t="shared" si="0"/>
        <v>Point + buffer</v>
      </c>
      <c r="N22" s="9">
        <v>400</v>
      </c>
      <c r="O22" s="7">
        <f>IF($A22="","",COUNTIF(attestations!$B$2:$B$2000,$A22))</f>
        <v>8</v>
      </c>
      <c r="P22" s="7">
        <f>IF($A22="","",COUNTIFS(attestations!$B$2:$B$2000,$A22,attestations!$R$2:$R$2000,"Map"))</f>
        <v>1</v>
      </c>
      <c r="Q22" s="7">
        <f>IF($A22="","",COUNTIFS(attestations!$B$2:$B$2000,$A22,attestations!$R$2:$R$2000,"Image"))</f>
        <v>0</v>
      </c>
      <c r="R22" s="7">
        <f>IF($A22="","",COUNTIFS(attestations!$B$2:$B$2000,$A22,attestations!$R$2:$R$2000,"Textual"))</f>
        <v>0</v>
      </c>
      <c r="S22" s="7">
        <f>IF($A22="","",COUNTIFS(attestations!$B$2:$B$2000,$A22,attestations!$D$2:$D$2000,"Geometry (Setting)"))</f>
        <v>1</v>
      </c>
      <c r="T22" s="7" t="str">
        <f t="shared" si="1"/>
        <v>High</v>
      </c>
      <c r="U22" s="7" t="str">
        <f>IF($A22="","",IF(COUNTIFS(attestations!$B$2:$B$2000,$A22,attestations!$I$2:$I$2000,"Georeferenced map GCP")&gt;0,"Y","N"))</f>
        <v>Y</v>
      </c>
      <c r="V22" s="9" t="s">
        <v>210</v>
      </c>
      <c r="W22" s="9"/>
      <c r="X22" s="9" t="s">
        <v>315</v>
      </c>
      <c r="Y22" s="9" t="s">
        <v>312</v>
      </c>
      <c r="Z22" s="9" t="s">
        <v>252</v>
      </c>
    </row>
    <row r="23" spans="1:27" ht="15" customHeight="1" x14ac:dyDescent="0.2">
      <c r="A23" s="9" t="s">
        <v>316</v>
      </c>
      <c r="B23" s="9" t="s">
        <v>317</v>
      </c>
      <c r="D23" s="9" t="s">
        <v>318</v>
      </c>
      <c r="E23" s="9" t="s">
        <v>255</v>
      </c>
      <c r="F23" s="9" t="s">
        <v>256</v>
      </c>
      <c r="G23" s="9" t="s">
        <v>319</v>
      </c>
      <c r="H23" s="9" t="s">
        <v>242</v>
      </c>
      <c r="I23" s="9" t="s">
        <v>320</v>
      </c>
      <c r="J23" s="9" t="s">
        <v>292</v>
      </c>
      <c r="K23" s="9" t="s">
        <v>208</v>
      </c>
      <c r="L23" s="9" t="s">
        <v>228</v>
      </c>
      <c r="M23" s="7" t="str">
        <f t="shared" si="0"/>
        <v>Point + buffer</v>
      </c>
      <c r="N23" s="9">
        <v>400</v>
      </c>
      <c r="O23" s="7">
        <f>IF($A23="","",COUNTIF(attestations!$B$2:$B$2000,$A23))</f>
        <v>0</v>
      </c>
      <c r="P23" s="7">
        <f>IF($A23="","",COUNTIFS(attestations!$B$2:$B$2000,$A23,attestations!$R$2:$R$2000,"Map"))</f>
        <v>0</v>
      </c>
      <c r="Q23" s="7">
        <f>IF($A23="","",COUNTIFS(attestations!$B$2:$B$2000,$A23,attestations!$R$2:$R$2000,"Image"))</f>
        <v>0</v>
      </c>
      <c r="R23" s="7">
        <f>IF($A23="","",COUNTIFS(attestations!$B$2:$B$2000,$A23,attestations!$R$2:$R$2000,"Textual"))</f>
        <v>0</v>
      </c>
      <c r="S23" s="7">
        <f>IF($A23="","",COUNTIFS(attestations!$B$2:$B$2000,$A23,attestations!$D$2:$D$2000,"Geometry (Setting)"))</f>
        <v>0</v>
      </c>
      <c r="T23" s="7" t="str">
        <f t="shared" si="1"/>
        <v>None</v>
      </c>
      <c r="U23" s="7" t="str">
        <f>IF($A23="","",IF(COUNTIFS(attestations!$B$2:$B$2000,$A23,attestations!$I$2:$I$2000,"Georeferenced map GCP")&gt;0,"Y","N"))</f>
        <v>N</v>
      </c>
      <c r="V23" s="9" t="s">
        <v>303</v>
      </c>
      <c r="W23" s="9"/>
      <c r="X23" s="9" t="s">
        <v>321</v>
      </c>
      <c r="Y23" s="9" t="s">
        <v>294</v>
      </c>
      <c r="Z23" s="9" t="s">
        <v>252</v>
      </c>
    </row>
    <row r="24" spans="1:27" ht="15" customHeight="1" x14ac:dyDescent="0.2">
      <c r="A24" s="9" t="s">
        <v>322</v>
      </c>
      <c r="B24" s="9" t="s">
        <v>323</v>
      </c>
      <c r="C24" t="s">
        <v>324</v>
      </c>
      <c r="D24" s="9" t="s">
        <v>325</v>
      </c>
      <c r="E24" s="9" t="s">
        <v>326</v>
      </c>
      <c r="F24" s="9" t="s">
        <v>319</v>
      </c>
      <c r="G24" s="9" t="s">
        <v>319</v>
      </c>
      <c r="H24" s="9" t="s">
        <v>242</v>
      </c>
      <c r="I24" s="9" t="s">
        <v>327</v>
      </c>
      <c r="J24" s="9"/>
      <c r="K24" s="9" t="s">
        <v>227</v>
      </c>
      <c r="L24" s="9" t="s">
        <v>227</v>
      </c>
      <c r="M24" s="7" t="str">
        <f t="shared" si="0"/>
        <v>Unplotted (unlocated panel)</v>
      </c>
      <c r="N24" s="9">
        <v>100</v>
      </c>
      <c r="O24" s="7">
        <f>IF($A24="","",COUNTIF(attestations!$B$2:$B$2000,$A24))</f>
        <v>1</v>
      </c>
      <c r="P24" s="7">
        <f>IF($A24="","",COUNTIFS(attestations!$B$2:$B$2000,$A24,attestations!$R$2:$R$2000,"Map"))</f>
        <v>0</v>
      </c>
      <c r="Q24" s="7">
        <f>IF($A24="","",COUNTIFS(attestations!$B$2:$B$2000,$A24,attestations!$R$2:$R$2000,"Image"))</f>
        <v>0</v>
      </c>
      <c r="R24" s="7">
        <f>IF($A24="","",COUNTIFS(attestations!$B$2:$B$2000,$A24,attestations!$R$2:$R$2000,"Textual"))</f>
        <v>0</v>
      </c>
      <c r="S24" s="7">
        <f>IF($A24="","",COUNTIFS(attestations!$B$2:$B$2000,$A24,attestations!$D$2:$D$2000,"Geometry (Setting)"))</f>
        <v>0</v>
      </c>
      <c r="T24" s="7" t="str">
        <f t="shared" si="1"/>
        <v>Low</v>
      </c>
      <c r="U24" s="7" t="str">
        <f>IF($A24="","",IF(COUNTIFS(attestations!$B$2:$B$2000,$A24,attestations!$I$2:$I$2000,"Georeferenced map GCP")&gt;0,"Y","N"))</f>
        <v>N</v>
      </c>
      <c r="V24" s="9" t="s">
        <v>210</v>
      </c>
      <c r="W24" s="9"/>
      <c r="X24" s="9" t="s">
        <v>328</v>
      </c>
      <c r="Y24" s="9" t="s">
        <v>212</v>
      </c>
      <c r="Z24" s="9" t="s">
        <v>252</v>
      </c>
      <c r="AA24" t="s">
        <v>329</v>
      </c>
    </row>
    <row r="25" spans="1:27" ht="15" customHeight="1" x14ac:dyDescent="0.2">
      <c r="A25" s="9" t="s">
        <v>330</v>
      </c>
      <c r="B25" s="9" t="s">
        <v>331</v>
      </c>
      <c r="D25" s="9" t="s">
        <v>332</v>
      </c>
      <c r="E25" s="9" t="s">
        <v>326</v>
      </c>
      <c r="F25" s="9" t="s">
        <v>319</v>
      </c>
      <c r="G25" s="9" t="s">
        <v>333</v>
      </c>
      <c r="H25" s="9" t="s">
        <v>242</v>
      </c>
      <c r="I25" s="9" t="s">
        <v>334</v>
      </c>
      <c r="J25" s="9"/>
      <c r="K25" s="9" t="s">
        <v>278</v>
      </c>
      <c r="L25" s="9" t="s">
        <v>228</v>
      </c>
      <c r="M25" s="7" t="str">
        <f t="shared" si="0"/>
        <v>Point + buffer</v>
      </c>
      <c r="N25" s="9">
        <v>100</v>
      </c>
      <c r="O25" s="7">
        <f>IF($A25="","",COUNTIF(attestations!$B$2:$B$2000,$A25))</f>
        <v>0</v>
      </c>
      <c r="P25" s="7">
        <f>IF($A25="","",COUNTIFS(attestations!$B$2:$B$2000,$A25,attestations!$R$2:$R$2000,"Map"))</f>
        <v>0</v>
      </c>
      <c r="Q25" s="7">
        <f>IF($A25="","",COUNTIFS(attestations!$B$2:$B$2000,$A25,attestations!$R$2:$R$2000,"Image"))</f>
        <v>0</v>
      </c>
      <c r="R25" s="7">
        <f>IF($A25="","",COUNTIFS(attestations!$B$2:$B$2000,$A25,attestations!$R$2:$R$2000,"Textual"))</f>
        <v>0</v>
      </c>
      <c r="S25" s="7">
        <f>IF($A25="","",COUNTIFS(attestations!$B$2:$B$2000,$A25,attestations!$D$2:$D$2000,"Geometry (Setting)"))</f>
        <v>0</v>
      </c>
      <c r="T25" s="7" t="str">
        <f t="shared" si="1"/>
        <v>None</v>
      </c>
      <c r="U25" s="7" t="str">
        <f>IF($A25="","",IF(COUNTIFS(attestations!$B$2:$B$2000,$A25,attestations!$I$2:$I$2000,"Georeferenced map GCP")&gt;0,"Y","N"))</f>
        <v>N</v>
      </c>
      <c r="V25" s="9" t="s">
        <v>303</v>
      </c>
      <c r="W25" s="9"/>
      <c r="X25" s="9" t="s">
        <v>335</v>
      </c>
      <c r="Y25" s="9" t="s">
        <v>333</v>
      </c>
      <c r="Z25" s="9" t="s">
        <v>252</v>
      </c>
    </row>
    <row r="26" spans="1:27" ht="15" customHeight="1" x14ac:dyDescent="0.2">
      <c r="A26" s="9" t="s">
        <v>336</v>
      </c>
      <c r="B26" s="9" t="s">
        <v>337</v>
      </c>
      <c r="D26" s="9" t="s">
        <v>338</v>
      </c>
      <c r="E26" s="9" t="s">
        <v>255</v>
      </c>
      <c r="F26" s="9" t="s">
        <v>256</v>
      </c>
      <c r="G26" s="9" t="s">
        <v>339</v>
      </c>
      <c r="H26" s="9" t="s">
        <v>309</v>
      </c>
      <c r="I26" s="9" t="s">
        <v>291</v>
      </c>
      <c r="J26" s="9" t="s">
        <v>292</v>
      </c>
      <c r="K26" s="9" t="s">
        <v>208</v>
      </c>
      <c r="L26" s="9" t="s">
        <v>228</v>
      </c>
      <c r="M26" s="7" t="str">
        <f t="shared" si="0"/>
        <v>Point + buffer</v>
      </c>
      <c r="N26" s="9">
        <v>400</v>
      </c>
      <c r="O26" s="7">
        <f>IF($A26="","",COUNTIF(attestations!$B$2:$B$2000,$A26))</f>
        <v>9</v>
      </c>
      <c r="P26" s="7">
        <f>IF($A26="","",COUNTIFS(attestations!$B$2:$B$2000,$A26,attestations!$R$2:$R$2000,"Map"))</f>
        <v>0</v>
      </c>
      <c r="Q26" s="7">
        <f>IF($A26="","",COUNTIFS(attestations!$B$2:$B$2000,$A26,attestations!$R$2:$R$2000,"Image"))</f>
        <v>0</v>
      </c>
      <c r="R26" s="7">
        <f>IF($A26="","",COUNTIFS(attestations!$B$2:$B$2000,$A26,attestations!$R$2:$R$2000,"Textual"))</f>
        <v>1</v>
      </c>
      <c r="S26" s="7">
        <f>IF($A26="","",COUNTIFS(attestations!$B$2:$B$2000,$A26,attestations!$D$2:$D$2000,"Geometry (Setting)"))</f>
        <v>1</v>
      </c>
      <c r="T26" s="7" t="str">
        <f t="shared" si="1"/>
        <v>High</v>
      </c>
      <c r="U26" s="7" t="str">
        <f>IF($A26="","",IF(COUNTIFS(attestations!$B$2:$B$2000,$A26,attestations!$I$2:$I$2000,"Georeferenced map GCP")&gt;0,"Y","N"))</f>
        <v>Y</v>
      </c>
      <c r="V26" s="9" t="s">
        <v>210</v>
      </c>
      <c r="W26" s="9"/>
      <c r="X26" s="9" t="s">
        <v>340</v>
      </c>
      <c r="Y26" s="9" t="s">
        <v>294</v>
      </c>
      <c r="Z26" s="9" t="s">
        <v>252</v>
      </c>
    </row>
    <row r="27" spans="1:27" ht="15" customHeight="1" x14ac:dyDescent="0.2">
      <c r="A27" s="9" t="s">
        <v>341</v>
      </c>
      <c r="B27" s="9" t="s">
        <v>342</v>
      </c>
      <c r="D27" s="9" t="s">
        <v>343</v>
      </c>
      <c r="E27" s="9" t="s">
        <v>255</v>
      </c>
      <c r="F27" s="9" t="s">
        <v>256</v>
      </c>
      <c r="G27" s="9" t="s">
        <v>339</v>
      </c>
      <c r="H27" s="9" t="s">
        <v>309</v>
      </c>
      <c r="I27" s="9" t="s">
        <v>310</v>
      </c>
      <c r="J27" s="9" t="s">
        <v>292</v>
      </c>
      <c r="K27" s="9" t="s">
        <v>278</v>
      </c>
      <c r="L27" s="9" t="s">
        <v>209</v>
      </c>
      <c r="M27" s="7" t="str">
        <f t="shared" si="0"/>
        <v>Translucent area</v>
      </c>
      <c r="N27" s="9">
        <v>400</v>
      </c>
      <c r="O27" s="7">
        <f>IF($A27="","",COUNTIF(attestations!$B$2:$B$2000,$A27))</f>
        <v>7</v>
      </c>
      <c r="P27" s="7">
        <f>IF($A27="","",COUNTIFS(attestations!$B$2:$B$2000,$A27,attestations!$R$2:$R$2000,"Map"))</f>
        <v>1</v>
      </c>
      <c r="Q27" s="7">
        <f>IF($A27="","",COUNTIFS(attestations!$B$2:$B$2000,$A27,attestations!$R$2:$R$2000,"Image"))</f>
        <v>0</v>
      </c>
      <c r="R27" s="7">
        <f>IF($A27="","",COUNTIFS(attestations!$B$2:$B$2000,$A27,attestations!$R$2:$R$2000,"Textual"))</f>
        <v>0</v>
      </c>
      <c r="S27" s="7">
        <f>IF($A27="","",COUNTIFS(attestations!$B$2:$B$2000,$A27,attestations!$D$2:$D$2000,"Geometry (Setting)"))</f>
        <v>0</v>
      </c>
      <c r="T27" s="7" t="str">
        <f t="shared" si="1"/>
        <v>High</v>
      </c>
      <c r="U27" s="7" t="str">
        <f>IF($A27="","",IF(COUNTIFS(attestations!$B$2:$B$2000,$A27,attestations!$I$2:$I$2000,"Georeferenced map GCP")&gt;0,"Y","N"))</f>
        <v>N</v>
      </c>
      <c r="V27" s="9" t="s">
        <v>210</v>
      </c>
      <c r="W27" s="9" t="s">
        <v>222</v>
      </c>
      <c r="X27" s="9" t="s">
        <v>344</v>
      </c>
      <c r="Y27" s="9" t="s">
        <v>294</v>
      </c>
      <c r="Z27" s="9" t="s">
        <v>252</v>
      </c>
    </row>
    <row r="28" spans="1:27" ht="15" customHeight="1" x14ac:dyDescent="0.2">
      <c r="A28" s="9" t="s">
        <v>345</v>
      </c>
      <c r="B28" s="9" t="s">
        <v>346</v>
      </c>
      <c r="D28" s="9" t="s">
        <v>347</v>
      </c>
      <c r="E28" s="9" t="s">
        <v>255</v>
      </c>
      <c r="F28" s="9" t="s">
        <v>256</v>
      </c>
      <c r="G28" s="9" t="s">
        <v>268</v>
      </c>
      <c r="H28" s="9" t="s">
        <v>242</v>
      </c>
      <c r="I28" s="9" t="s">
        <v>291</v>
      </c>
      <c r="J28" s="9" t="s">
        <v>292</v>
      </c>
      <c r="K28" s="9" t="s">
        <v>208</v>
      </c>
      <c r="L28" s="9" t="s">
        <v>228</v>
      </c>
      <c r="M28" s="7" t="str">
        <f t="shared" si="0"/>
        <v>Point + buffer</v>
      </c>
      <c r="N28" s="9">
        <v>400</v>
      </c>
      <c r="O28" s="7">
        <f>IF($A28="","",COUNTIF(attestations!$B$2:$B$2000,$A28))</f>
        <v>5</v>
      </c>
      <c r="P28" s="7">
        <f>IF($A28="","",COUNTIFS(attestations!$B$2:$B$2000,$A28,attestations!$R$2:$R$2000,"Map"))</f>
        <v>0</v>
      </c>
      <c r="Q28" s="7">
        <f>IF($A28="","",COUNTIFS(attestations!$B$2:$B$2000,$A28,attestations!$R$2:$R$2000,"Image"))</f>
        <v>0</v>
      </c>
      <c r="R28" s="7">
        <f>IF($A28="","",COUNTIFS(attestations!$B$2:$B$2000,$A28,attestations!$R$2:$R$2000,"Textual"))</f>
        <v>1</v>
      </c>
      <c r="S28" s="7">
        <f>IF($A28="","",COUNTIFS(attestations!$B$2:$B$2000,$A28,attestations!$D$2:$D$2000,"Geometry (Setting)"))</f>
        <v>1</v>
      </c>
      <c r="T28" s="7" t="str">
        <f t="shared" si="1"/>
        <v>Medium</v>
      </c>
      <c r="U28" s="7" t="str">
        <f>IF($A28="","",IF(COUNTIFS(attestations!$B$2:$B$2000,$A28,attestations!$I$2:$I$2000,"Georeferenced map GCP")&gt;0,"Y","N"))</f>
        <v>Y</v>
      </c>
      <c r="V28" s="9" t="s">
        <v>210</v>
      </c>
      <c r="W28" s="9"/>
      <c r="X28" s="9" t="s">
        <v>348</v>
      </c>
      <c r="Y28" s="9" t="s">
        <v>294</v>
      </c>
      <c r="Z28" s="9" t="s">
        <v>252</v>
      </c>
    </row>
    <row r="29" spans="1:27" ht="15" customHeight="1" x14ac:dyDescent="0.2">
      <c r="A29" s="9" t="s">
        <v>349</v>
      </c>
      <c r="B29" t="s">
        <v>350</v>
      </c>
      <c r="D29" t="s">
        <v>212</v>
      </c>
      <c r="E29" t="s">
        <v>326</v>
      </c>
      <c r="F29" t="s">
        <v>319</v>
      </c>
      <c r="G29" t="s">
        <v>268</v>
      </c>
      <c r="H29" t="s">
        <v>242</v>
      </c>
      <c r="I29" t="s">
        <v>351</v>
      </c>
      <c r="K29" t="s">
        <v>208</v>
      </c>
      <c r="L29" t="s">
        <v>228</v>
      </c>
      <c r="M29" s="7" t="str">
        <f t="shared" si="0"/>
        <v>Point + buffer</v>
      </c>
      <c r="N29">
        <v>300</v>
      </c>
      <c r="O29" s="7">
        <f>IF($A29="","",COUNTIF(attestations!$B$2:$B$2000,$A29))</f>
        <v>22</v>
      </c>
      <c r="P29" s="7">
        <f>IF($A29="","",COUNTIFS(attestations!$B$2:$B$2000,$A29,attestations!$R$2:$R$2000,"Map"))</f>
        <v>1</v>
      </c>
      <c r="Q29" s="7">
        <f>IF($A29="","",COUNTIFS(attestations!$B$2:$B$2000,$A29,attestations!$R$2:$R$2000,"Image"))</f>
        <v>3</v>
      </c>
      <c r="R29" s="7">
        <f>IF($A29="","",COUNTIFS(attestations!$B$2:$B$2000,$A29,attestations!$R$2:$R$2000,"Textual"))</f>
        <v>5</v>
      </c>
      <c r="S29" s="7">
        <f>IF($A29="","",COUNTIFS(attestations!$B$2:$B$2000,$A29,attestations!$D$2:$D$2000,"Geometry (Setting)"))</f>
        <v>6</v>
      </c>
      <c r="T29" s="7" t="str">
        <f t="shared" si="1"/>
        <v>High</v>
      </c>
      <c r="U29" s="7" t="str">
        <f>IF($A29="","",IF(COUNTIFS(attestations!$B$2:$B$2000,$A29,attestations!$I$2:$I$2000,"Georeferenced map GCP")&gt;0,"Y","N"))</f>
        <v>Y</v>
      </c>
      <c r="V29" t="s">
        <v>210</v>
      </c>
      <c r="W29" t="s">
        <v>228</v>
      </c>
      <c r="X29" t="s">
        <v>352</v>
      </c>
      <c r="Y29" t="s">
        <v>212</v>
      </c>
      <c r="AA29" t="s">
        <v>353</v>
      </c>
    </row>
    <row r="30" spans="1:27" ht="15" customHeight="1" x14ac:dyDescent="0.2">
      <c r="A30" s="9" t="s">
        <v>354</v>
      </c>
      <c r="B30" t="s">
        <v>355</v>
      </c>
      <c r="D30" t="s">
        <v>212</v>
      </c>
      <c r="E30" t="s">
        <v>326</v>
      </c>
      <c r="F30" t="s">
        <v>319</v>
      </c>
      <c r="G30" t="s">
        <v>268</v>
      </c>
      <c r="H30" t="s">
        <v>242</v>
      </c>
      <c r="I30" t="s">
        <v>356</v>
      </c>
      <c r="K30" t="s">
        <v>208</v>
      </c>
      <c r="L30" t="s">
        <v>228</v>
      </c>
      <c r="M30" s="7" t="str">
        <f t="shared" si="0"/>
        <v>Point + buffer</v>
      </c>
      <c r="N30">
        <v>300</v>
      </c>
      <c r="O30" s="7">
        <f>IF($A30="","",COUNTIF(attestations!$B$2:$B$2000,$A30))</f>
        <v>19</v>
      </c>
      <c r="P30" s="7">
        <f>IF($A30="","",COUNTIFS(attestations!$B$2:$B$2000,$A30,attestations!$R$2:$R$2000,"Map"))</f>
        <v>1</v>
      </c>
      <c r="Q30" s="7">
        <f>IF($A30="","",COUNTIFS(attestations!$B$2:$B$2000,$A30,attestations!$R$2:$R$2000,"Image"))</f>
        <v>1</v>
      </c>
      <c r="R30" s="7">
        <f>IF($A30="","",COUNTIFS(attestations!$B$2:$B$2000,$A30,attestations!$R$2:$R$2000,"Textual"))</f>
        <v>5</v>
      </c>
      <c r="S30" s="7">
        <f>IF($A30="","",COUNTIFS(attestations!$B$2:$B$2000,$A30,attestations!$D$2:$D$2000,"Geometry (Setting)"))</f>
        <v>5</v>
      </c>
      <c r="T30" s="7" t="str">
        <f t="shared" si="1"/>
        <v>High</v>
      </c>
      <c r="U30" s="7" t="str">
        <f>IF($A30="","",IF(COUNTIFS(attestations!$B$2:$B$2000,$A30,attestations!$I$2:$I$2000,"Georeferenced map GCP")&gt;0,"Y","N"))</f>
        <v>Y</v>
      </c>
      <c r="V30" t="s">
        <v>210</v>
      </c>
      <c r="W30" t="s">
        <v>228</v>
      </c>
      <c r="X30" t="s">
        <v>357</v>
      </c>
      <c r="Y30" t="s">
        <v>212</v>
      </c>
      <c r="AA30" t="s">
        <v>358</v>
      </c>
    </row>
    <row r="31" spans="1:27" ht="15" customHeight="1" x14ac:dyDescent="0.2">
      <c r="A31" s="9" t="s">
        <v>359</v>
      </c>
      <c r="B31" t="s">
        <v>360</v>
      </c>
      <c r="D31" t="s">
        <v>215</v>
      </c>
      <c r="E31" t="s">
        <v>255</v>
      </c>
      <c r="F31" t="s">
        <v>256</v>
      </c>
      <c r="G31" t="s">
        <v>204</v>
      </c>
      <c r="H31" t="s">
        <v>242</v>
      </c>
      <c r="I31" t="s">
        <v>276</v>
      </c>
      <c r="J31" t="s">
        <v>361</v>
      </c>
      <c r="K31" t="s">
        <v>208</v>
      </c>
      <c r="L31" t="s">
        <v>228</v>
      </c>
      <c r="M31" s="7" t="str">
        <f t="shared" si="0"/>
        <v>Point + buffer</v>
      </c>
      <c r="N31">
        <v>300</v>
      </c>
      <c r="O31" s="7">
        <f>IF($A31="","",COUNTIF(attestations!$B$2:$B$2000,$A31))</f>
        <v>16</v>
      </c>
      <c r="P31" s="7">
        <f>IF($A31="","",COUNTIFS(attestations!$B$2:$B$2000,$A31,attestations!$R$2:$R$2000,"Map"))</f>
        <v>1</v>
      </c>
      <c r="Q31" s="7">
        <f>IF($A31="","",COUNTIFS(attestations!$B$2:$B$2000,$A31,attestations!$R$2:$R$2000,"Image"))</f>
        <v>1</v>
      </c>
      <c r="R31" s="7">
        <f>IF($A31="","",COUNTIFS(attestations!$B$2:$B$2000,$A31,attestations!$R$2:$R$2000,"Textual"))</f>
        <v>5</v>
      </c>
      <c r="S31" s="7">
        <f>IF($A31="","",COUNTIFS(attestations!$B$2:$B$2000,$A31,attestations!$D$2:$D$2000,"Geometry (Setting)"))</f>
        <v>5</v>
      </c>
      <c r="T31" s="7" t="str">
        <f t="shared" si="1"/>
        <v>High</v>
      </c>
      <c r="U31" s="7" t="str">
        <f>IF($A31="","",IF(COUNTIFS(attestations!$B$2:$B$2000,$A31,attestations!$I$2:$I$2000,"Georeferenced map GCP")&gt;0,"Y","N"))</f>
        <v>Y</v>
      </c>
      <c r="V31" t="s">
        <v>210</v>
      </c>
      <c r="W31" t="s">
        <v>222</v>
      </c>
      <c r="X31" t="s">
        <v>362</v>
      </c>
      <c r="Y31" t="s">
        <v>212</v>
      </c>
    </row>
    <row r="32" spans="1:27" ht="15" customHeight="1" x14ac:dyDescent="0.2">
      <c r="A32" s="9" t="s">
        <v>363</v>
      </c>
      <c r="B32" t="s">
        <v>364</v>
      </c>
      <c r="D32" t="s">
        <v>212</v>
      </c>
      <c r="E32" t="s">
        <v>326</v>
      </c>
      <c r="F32" t="s">
        <v>319</v>
      </c>
      <c r="G32" t="s">
        <v>333</v>
      </c>
      <c r="H32" t="s">
        <v>242</v>
      </c>
      <c r="I32" t="s">
        <v>351</v>
      </c>
      <c r="K32" t="s">
        <v>208</v>
      </c>
      <c r="L32" t="s">
        <v>228</v>
      </c>
      <c r="M32" s="7" t="str">
        <f t="shared" si="0"/>
        <v>Point + buffer</v>
      </c>
      <c r="N32">
        <v>300</v>
      </c>
      <c r="O32" s="7">
        <f>IF($A32="","",COUNTIF(attestations!$B$2:$B$2000,$A32))</f>
        <v>24</v>
      </c>
      <c r="P32" s="7">
        <f>IF($A32="","",COUNTIFS(attestations!$B$2:$B$2000,$A32,attestations!$R$2:$R$2000,"Map"))</f>
        <v>2</v>
      </c>
      <c r="Q32" s="7">
        <f>IF($A32="","",COUNTIFS(attestations!$B$2:$B$2000,$A32,attestations!$R$2:$R$2000,"Image"))</f>
        <v>1</v>
      </c>
      <c r="R32" s="7">
        <f>IF($A32="","",COUNTIFS(attestations!$B$2:$B$2000,$A32,attestations!$R$2:$R$2000,"Textual"))</f>
        <v>6</v>
      </c>
      <c r="S32" s="7">
        <f>IF($A32="","",COUNTIFS(attestations!$B$2:$B$2000,$A32,attestations!$D$2:$D$2000,"Geometry (Setting)"))</f>
        <v>9</v>
      </c>
      <c r="T32" s="7" t="str">
        <f t="shared" si="1"/>
        <v>High</v>
      </c>
      <c r="U32" s="7" t="str">
        <f>IF($A32="","",IF(COUNTIFS(attestations!$B$2:$B$2000,$A32,attestations!$I$2:$I$2000,"Georeferenced map GCP")&gt;0,"Y","N"))</f>
        <v>Y</v>
      </c>
      <c r="V32" t="s">
        <v>210</v>
      </c>
      <c r="W32" t="s">
        <v>228</v>
      </c>
      <c r="X32" t="s">
        <v>365</v>
      </c>
      <c r="Y32" t="s">
        <v>212</v>
      </c>
      <c r="AA32" t="s">
        <v>366</v>
      </c>
    </row>
    <row r="33" spans="1:27" ht="15" customHeight="1" x14ac:dyDescent="0.2">
      <c r="A33" s="9" t="s">
        <v>367</v>
      </c>
      <c r="B33" t="s">
        <v>368</v>
      </c>
      <c r="D33" t="s">
        <v>212</v>
      </c>
      <c r="E33" t="s">
        <v>248</v>
      </c>
      <c r="F33" t="s">
        <v>319</v>
      </c>
      <c r="G33" t="s">
        <v>339</v>
      </c>
      <c r="H33" t="s">
        <v>309</v>
      </c>
      <c r="I33" t="s">
        <v>356</v>
      </c>
      <c r="K33" t="s">
        <v>208</v>
      </c>
      <c r="L33" t="s">
        <v>228</v>
      </c>
      <c r="M33" s="7" t="str">
        <f t="shared" si="0"/>
        <v>Point + buffer</v>
      </c>
      <c r="N33">
        <v>300</v>
      </c>
      <c r="O33" s="7">
        <f>IF($A33="","",COUNTIF(attestations!$B$2:$B$2000,$A33))</f>
        <v>22</v>
      </c>
      <c r="P33" s="7">
        <f>IF($A33="","",COUNTIFS(attestations!$B$2:$B$2000,$A33,attestations!$R$2:$R$2000,"Map"))</f>
        <v>2</v>
      </c>
      <c r="Q33" s="7">
        <f>IF($A33="","",COUNTIFS(attestations!$B$2:$B$2000,$A33,attestations!$R$2:$R$2000,"Image"))</f>
        <v>1</v>
      </c>
      <c r="R33" s="7">
        <f>IF($A33="","",COUNTIFS(attestations!$B$2:$B$2000,$A33,attestations!$R$2:$R$2000,"Textual"))</f>
        <v>6</v>
      </c>
      <c r="S33" s="7">
        <f>IF($A33="","",COUNTIFS(attestations!$B$2:$B$2000,$A33,attestations!$D$2:$D$2000,"Geometry (Setting)"))</f>
        <v>5</v>
      </c>
      <c r="T33" s="7" t="str">
        <f t="shared" si="1"/>
        <v>High</v>
      </c>
      <c r="U33" s="7" t="str">
        <f>IF($A33="","",IF(COUNTIFS(attestations!$B$2:$B$2000,$A33,attestations!$I$2:$I$2000,"Georeferenced map GCP")&gt;0,"Y","N"))</f>
        <v>Y</v>
      </c>
      <c r="V33" t="s">
        <v>210</v>
      </c>
      <c r="W33" t="s">
        <v>222</v>
      </c>
      <c r="X33" t="s">
        <v>369</v>
      </c>
      <c r="Y33" t="s">
        <v>212</v>
      </c>
    </row>
    <row r="34" spans="1:27" ht="15" customHeight="1" x14ac:dyDescent="0.2">
      <c r="A34" s="9" t="s">
        <v>370</v>
      </c>
      <c r="B34" t="s">
        <v>371</v>
      </c>
      <c r="D34" t="s">
        <v>212</v>
      </c>
      <c r="E34" t="s">
        <v>326</v>
      </c>
      <c r="F34" t="s">
        <v>319</v>
      </c>
      <c r="G34" t="s">
        <v>268</v>
      </c>
      <c r="H34" t="s">
        <v>242</v>
      </c>
      <c r="I34" t="s">
        <v>356</v>
      </c>
      <c r="K34" t="s">
        <v>208</v>
      </c>
      <c r="L34" t="s">
        <v>228</v>
      </c>
      <c r="M34" s="7" t="str">
        <f t="shared" si="0"/>
        <v>Point + buffer</v>
      </c>
      <c r="N34">
        <v>300</v>
      </c>
      <c r="O34" s="7">
        <f>IF($A34="","",COUNTIF(attestations!$B$2:$B$2000,$A34))</f>
        <v>20</v>
      </c>
      <c r="P34" s="7">
        <f>IF($A34="","",COUNTIFS(attestations!$B$2:$B$2000,$A34,attestations!$R$2:$R$2000,"Map"))</f>
        <v>2</v>
      </c>
      <c r="Q34" s="7">
        <f>IF($A34="","",COUNTIFS(attestations!$B$2:$B$2000,$A34,attestations!$R$2:$R$2000,"Image"))</f>
        <v>1</v>
      </c>
      <c r="R34" s="7">
        <f>IF($A34="","",COUNTIFS(attestations!$B$2:$B$2000,$A34,attestations!$R$2:$R$2000,"Textual"))</f>
        <v>6</v>
      </c>
      <c r="S34" s="7">
        <f>IF($A34="","",COUNTIFS(attestations!$B$2:$B$2000,$A34,attestations!$D$2:$D$2000,"Geometry (Setting)"))</f>
        <v>6</v>
      </c>
      <c r="T34" s="7" t="str">
        <f t="shared" si="1"/>
        <v>High</v>
      </c>
      <c r="U34" s="7" t="str">
        <f>IF($A34="","",IF(COUNTIFS(attestations!$B$2:$B$2000,$A34,attestations!$I$2:$I$2000,"Georeferenced map GCP")&gt;0,"Y","N"))</f>
        <v>Y</v>
      </c>
      <c r="V34" t="s">
        <v>210</v>
      </c>
      <c r="W34" t="s">
        <v>228</v>
      </c>
      <c r="X34" t="s">
        <v>372</v>
      </c>
      <c r="Y34" t="s">
        <v>212</v>
      </c>
    </row>
    <row r="35" spans="1:27" ht="15" customHeight="1" x14ac:dyDescent="0.2">
      <c r="A35" s="9" t="s">
        <v>373</v>
      </c>
      <c r="B35" t="s">
        <v>374</v>
      </c>
      <c r="D35" t="s">
        <v>201</v>
      </c>
      <c r="E35" t="s">
        <v>202</v>
      </c>
      <c r="F35" t="s">
        <v>203</v>
      </c>
      <c r="G35" t="s">
        <v>204</v>
      </c>
      <c r="H35" t="s">
        <v>205</v>
      </c>
      <c r="I35" t="s">
        <v>351</v>
      </c>
      <c r="J35" t="s">
        <v>207</v>
      </c>
      <c r="K35" t="s">
        <v>208</v>
      </c>
      <c r="L35" t="s">
        <v>228</v>
      </c>
      <c r="M35" s="7" t="str">
        <f t="shared" si="0"/>
        <v>Point + buffer</v>
      </c>
      <c r="N35">
        <v>250</v>
      </c>
      <c r="O35" s="7">
        <f>IF($A35="","",COUNTIF(attestations!$B$2:$B$2000,$A35))</f>
        <v>17</v>
      </c>
      <c r="P35" s="7">
        <f>IF($A35="","",COUNTIFS(attestations!$B$2:$B$2000,$A35,attestations!$R$2:$R$2000,"Map"))</f>
        <v>2</v>
      </c>
      <c r="Q35" s="7">
        <f>IF($A35="","",COUNTIFS(attestations!$B$2:$B$2000,$A35,attestations!$R$2:$R$2000,"Image"))</f>
        <v>1</v>
      </c>
      <c r="R35" s="7">
        <f>IF($A35="","",COUNTIFS(attestations!$B$2:$B$2000,$A35,attestations!$R$2:$R$2000,"Textual"))</f>
        <v>4</v>
      </c>
      <c r="S35" s="7">
        <f>IF($A35="","",COUNTIFS(attestations!$B$2:$B$2000,$A35,attestations!$D$2:$D$2000,"Geometry (Setting)"))</f>
        <v>6</v>
      </c>
      <c r="T35" s="7" t="str">
        <f t="shared" si="1"/>
        <v>High</v>
      </c>
      <c r="U35" s="7" t="str">
        <f>IF($A35="","",IF(COUNTIFS(attestations!$B$2:$B$2000,$A35,attestations!$I$2:$I$2000,"Georeferenced map GCP")&gt;0,"Y","N"))</f>
        <v>Y</v>
      </c>
      <c r="V35" t="s">
        <v>210</v>
      </c>
      <c r="W35" t="s">
        <v>222</v>
      </c>
      <c r="X35" t="s">
        <v>375</v>
      </c>
      <c r="Y35" t="s">
        <v>212</v>
      </c>
    </row>
    <row r="36" spans="1:27" ht="15" customHeight="1" x14ac:dyDescent="0.2">
      <c r="A36" s="9" t="s">
        <v>376</v>
      </c>
      <c r="B36" t="s">
        <v>377</v>
      </c>
      <c r="D36" t="s">
        <v>212</v>
      </c>
      <c r="E36" t="s">
        <v>326</v>
      </c>
      <c r="F36" t="s">
        <v>319</v>
      </c>
      <c r="G36" t="s">
        <v>257</v>
      </c>
      <c r="H36" t="s">
        <v>242</v>
      </c>
      <c r="I36" t="s">
        <v>276</v>
      </c>
      <c r="K36" t="s">
        <v>208</v>
      </c>
      <c r="L36" t="s">
        <v>228</v>
      </c>
      <c r="M36" s="7" t="str">
        <f t="shared" si="0"/>
        <v>Point + buffer</v>
      </c>
      <c r="N36">
        <v>300</v>
      </c>
      <c r="O36" s="7">
        <f>IF($A36="","",COUNTIF(attestations!$B$2:$B$2000,$A36))</f>
        <v>27</v>
      </c>
      <c r="P36" s="7">
        <f>IF($A36="","",COUNTIFS(attestations!$B$2:$B$2000,$A36,attestations!$R$2:$R$2000,"Map"))</f>
        <v>2</v>
      </c>
      <c r="Q36" s="7">
        <f>IF($A36="","",COUNTIFS(attestations!$B$2:$B$2000,$A36,attestations!$R$2:$R$2000,"Image"))</f>
        <v>1</v>
      </c>
      <c r="R36" s="7">
        <f>IF($A36="","",COUNTIFS(attestations!$B$2:$B$2000,$A36,attestations!$R$2:$R$2000,"Textual"))</f>
        <v>6</v>
      </c>
      <c r="S36" s="7">
        <f>IF($A36="","",COUNTIFS(attestations!$B$2:$B$2000,$A36,attestations!$D$2:$D$2000,"Geometry (Setting)"))</f>
        <v>8</v>
      </c>
      <c r="T36" s="7" t="str">
        <f t="shared" si="1"/>
        <v>High</v>
      </c>
      <c r="U36" s="7" t="str">
        <f>IF($A36="","",IF(COUNTIFS(attestations!$B$2:$B$2000,$A36,attestations!$I$2:$I$2000,"Georeferenced map GCP")&gt;0,"Y","N"))</f>
        <v>Y</v>
      </c>
      <c r="V36" t="s">
        <v>210</v>
      </c>
      <c r="W36" t="s">
        <v>228</v>
      </c>
      <c r="X36" t="s">
        <v>378</v>
      </c>
      <c r="Y36" t="s">
        <v>212</v>
      </c>
    </row>
    <row r="37" spans="1:27" ht="15" customHeight="1" x14ac:dyDescent="0.2">
      <c r="A37" s="9" t="s">
        <v>379</v>
      </c>
      <c r="B37" t="s">
        <v>380</v>
      </c>
      <c r="D37" t="s">
        <v>201</v>
      </c>
      <c r="E37" t="s">
        <v>202</v>
      </c>
      <c r="F37" t="s">
        <v>203</v>
      </c>
      <c r="G37" t="s">
        <v>204</v>
      </c>
      <c r="H37" t="s">
        <v>205</v>
      </c>
      <c r="I37" t="s">
        <v>351</v>
      </c>
      <c r="J37" t="s">
        <v>207</v>
      </c>
      <c r="K37" t="s">
        <v>208</v>
      </c>
      <c r="L37" t="s">
        <v>209</v>
      </c>
      <c r="M37" s="7" t="str">
        <f t="shared" si="0"/>
        <v>Translucent area</v>
      </c>
      <c r="N37">
        <v>400</v>
      </c>
      <c r="O37" s="7">
        <f>IF($A37="","",COUNTIF(attestations!$B$2:$B$2000,$A37))</f>
        <v>22</v>
      </c>
      <c r="P37" s="7">
        <f>IF($A37="","",COUNTIFS(attestations!$B$2:$B$2000,$A37,attestations!$R$2:$R$2000,"Map"))</f>
        <v>2</v>
      </c>
      <c r="Q37" s="7">
        <f>IF($A37="","",COUNTIFS(attestations!$B$2:$B$2000,$A37,attestations!$R$2:$R$2000,"Image"))</f>
        <v>1</v>
      </c>
      <c r="R37" s="7">
        <f>IF($A37="","",COUNTIFS(attestations!$B$2:$B$2000,$A37,attestations!$R$2:$R$2000,"Textual"))</f>
        <v>7</v>
      </c>
      <c r="S37" s="7">
        <f>IF($A37="","",COUNTIFS(attestations!$B$2:$B$2000,$A37,attestations!$D$2:$D$2000,"Geometry (Setting)"))</f>
        <v>6</v>
      </c>
      <c r="T37" s="7" t="str">
        <f t="shared" si="1"/>
        <v>High</v>
      </c>
      <c r="U37" s="7" t="str">
        <f>IF($A37="","",IF(COUNTIFS(attestations!$B$2:$B$2000,$A37,attestations!$I$2:$I$2000,"Georeferenced map GCP")&gt;0,"Y","N"))</f>
        <v>Y</v>
      </c>
      <c r="V37" t="s">
        <v>210</v>
      </c>
      <c r="W37" t="s">
        <v>222</v>
      </c>
      <c r="X37" t="s">
        <v>381</v>
      </c>
      <c r="Y37" t="s">
        <v>212</v>
      </c>
    </row>
    <row r="38" spans="1:27" ht="15" customHeight="1" x14ac:dyDescent="0.2">
      <c r="A38" s="9" t="s">
        <v>382</v>
      </c>
      <c r="B38" t="s">
        <v>383</v>
      </c>
      <c r="C38" t="s">
        <v>384</v>
      </c>
      <c r="D38" t="s">
        <v>201</v>
      </c>
      <c r="E38" t="s">
        <v>202</v>
      </c>
      <c r="F38" t="s">
        <v>203</v>
      </c>
      <c r="G38" t="s">
        <v>204</v>
      </c>
      <c r="H38" t="s">
        <v>205</v>
      </c>
      <c r="I38" t="s">
        <v>216</v>
      </c>
      <c r="J38" t="s">
        <v>385</v>
      </c>
      <c r="K38" t="s">
        <v>208</v>
      </c>
      <c r="L38" t="s">
        <v>386</v>
      </c>
      <c r="M38" s="7" t="str">
        <f t="shared" si="0"/>
        <v>Candidate points</v>
      </c>
      <c r="N38">
        <v>600</v>
      </c>
      <c r="O38" s="7">
        <f>IF($A38="","",COUNTIF(attestations!$B$2:$B$2000,$A38))</f>
        <v>24</v>
      </c>
      <c r="P38" s="7">
        <f>IF($A38="","",COUNTIFS(attestations!$B$2:$B$2000,$A38,attestations!$R$2:$R$2000,"Map"))</f>
        <v>2</v>
      </c>
      <c r="Q38" s="7">
        <f>IF($A38="","",COUNTIFS(attestations!$B$2:$B$2000,$A38,attestations!$R$2:$R$2000,"Image"))</f>
        <v>1</v>
      </c>
      <c r="R38" s="7">
        <f>IF($A38="","",COUNTIFS(attestations!$B$2:$B$2000,$A38,attestations!$R$2:$R$2000,"Textual"))</f>
        <v>7</v>
      </c>
      <c r="S38" s="7">
        <f>IF($A38="","",COUNTIFS(attestations!$B$2:$B$2000,$A38,attestations!$D$2:$D$2000,"Geometry (Setting)"))</f>
        <v>5</v>
      </c>
      <c r="T38" s="7" t="str">
        <f t="shared" si="1"/>
        <v>High</v>
      </c>
      <c r="U38" s="7" t="str">
        <f>IF($A38="","",IF(COUNTIFS(attestations!$B$2:$B$2000,$A38,attestations!$I$2:$I$2000,"Georeferenced map GCP")&gt;0,"Y","N"))</f>
        <v>Y</v>
      </c>
      <c r="V38" t="s">
        <v>210</v>
      </c>
      <c r="W38" t="s">
        <v>222</v>
      </c>
      <c r="X38" t="s">
        <v>387</v>
      </c>
      <c r="Y38" t="s">
        <v>212</v>
      </c>
    </row>
    <row r="39" spans="1:27" ht="15" customHeight="1" x14ac:dyDescent="0.2">
      <c r="A39" s="9" t="s">
        <v>388</v>
      </c>
      <c r="B39" t="s">
        <v>389</v>
      </c>
      <c r="D39" t="s">
        <v>212</v>
      </c>
      <c r="E39" t="s">
        <v>326</v>
      </c>
      <c r="F39" t="s">
        <v>319</v>
      </c>
      <c r="G39" t="s">
        <v>333</v>
      </c>
      <c r="H39" t="s">
        <v>242</v>
      </c>
      <c r="I39" t="s">
        <v>390</v>
      </c>
      <c r="K39" t="s">
        <v>208</v>
      </c>
      <c r="L39" t="s">
        <v>228</v>
      </c>
      <c r="M39" s="7" t="str">
        <f t="shared" si="0"/>
        <v>Point + buffer</v>
      </c>
      <c r="N39">
        <v>300</v>
      </c>
      <c r="O39" s="7">
        <f>IF($A39="","",COUNTIF(attestations!$B$2:$B$2000,$A39))</f>
        <v>16</v>
      </c>
      <c r="P39" s="7">
        <f>IF($A39="","",COUNTIFS(attestations!$B$2:$B$2000,$A39,attestations!$R$2:$R$2000,"Map"))</f>
        <v>1</v>
      </c>
      <c r="Q39" s="7">
        <f>IF($A39="","",COUNTIFS(attestations!$B$2:$B$2000,$A39,attestations!$R$2:$R$2000,"Image"))</f>
        <v>1</v>
      </c>
      <c r="R39" s="7">
        <f>IF($A39="","",COUNTIFS(attestations!$B$2:$B$2000,$A39,attestations!$R$2:$R$2000,"Textual"))</f>
        <v>6</v>
      </c>
      <c r="S39" s="7">
        <f>IF($A39="","",COUNTIFS(attestations!$B$2:$B$2000,$A39,attestations!$D$2:$D$2000,"Geometry (Setting)"))</f>
        <v>5</v>
      </c>
      <c r="T39" s="7" t="str">
        <f t="shared" si="1"/>
        <v>High</v>
      </c>
      <c r="U39" s="7" t="str">
        <f>IF($A39="","",IF(COUNTIFS(attestations!$B$2:$B$2000,$A39,attestations!$I$2:$I$2000,"Georeferenced map GCP")&gt;0,"Y","N"))</f>
        <v>Y</v>
      </c>
      <c r="V39" t="s">
        <v>210</v>
      </c>
      <c r="W39" t="s">
        <v>228</v>
      </c>
      <c r="X39" t="s">
        <v>391</v>
      </c>
      <c r="Y39" t="s">
        <v>212</v>
      </c>
      <c r="AA39" t="s">
        <v>392</v>
      </c>
    </row>
    <row r="40" spans="1:27" ht="15" customHeight="1" x14ac:dyDescent="0.2">
      <c r="A40" s="9" t="s">
        <v>393</v>
      </c>
      <c r="B40" t="s">
        <v>394</v>
      </c>
      <c r="D40" t="s">
        <v>215</v>
      </c>
      <c r="E40" t="s">
        <v>255</v>
      </c>
      <c r="F40" t="s">
        <v>319</v>
      </c>
      <c r="G40" t="s">
        <v>204</v>
      </c>
      <c r="H40" t="s">
        <v>205</v>
      </c>
      <c r="I40" t="s">
        <v>395</v>
      </c>
      <c r="J40" t="s">
        <v>385</v>
      </c>
      <c r="K40" t="s">
        <v>208</v>
      </c>
      <c r="L40" t="s">
        <v>228</v>
      </c>
      <c r="M40" s="7" t="str">
        <f t="shared" si="0"/>
        <v>Point + buffer</v>
      </c>
      <c r="N40">
        <v>300</v>
      </c>
      <c r="O40" s="7">
        <f>IF($A40="","",COUNTIF(attestations!$B$2:$B$2000,$A40))</f>
        <v>16</v>
      </c>
      <c r="P40" s="7">
        <f>IF($A40="","",COUNTIFS(attestations!$B$2:$B$2000,$A40,attestations!$R$2:$R$2000,"Map"))</f>
        <v>2</v>
      </c>
      <c r="Q40" s="7">
        <f>IF($A40="","",COUNTIFS(attestations!$B$2:$B$2000,$A40,attestations!$R$2:$R$2000,"Image"))</f>
        <v>1</v>
      </c>
      <c r="R40" s="7">
        <f>IF($A40="","",COUNTIFS(attestations!$B$2:$B$2000,$A40,attestations!$R$2:$R$2000,"Textual"))</f>
        <v>6</v>
      </c>
      <c r="S40" s="7">
        <f>IF($A40="","",COUNTIFS(attestations!$B$2:$B$2000,$A40,attestations!$D$2:$D$2000,"Geometry (Setting)"))</f>
        <v>3</v>
      </c>
      <c r="T40" s="7" t="str">
        <f t="shared" si="1"/>
        <v>High</v>
      </c>
      <c r="U40" s="7" t="str">
        <f>IF($A40="","",IF(COUNTIFS(attestations!$B$2:$B$2000,$A40,attestations!$I$2:$I$2000,"Georeferenced map GCP")&gt;0,"Y","N"))</f>
        <v>Y</v>
      </c>
      <c r="V40" t="s">
        <v>210</v>
      </c>
      <c r="W40" t="s">
        <v>222</v>
      </c>
      <c r="X40" t="s">
        <v>396</v>
      </c>
      <c r="Y40" t="s">
        <v>212</v>
      </c>
    </row>
    <row r="41" spans="1:27" ht="15" customHeight="1" x14ac:dyDescent="0.2">
      <c r="A41" s="9" t="s">
        <v>397</v>
      </c>
      <c r="B41" t="s">
        <v>398</v>
      </c>
      <c r="D41" t="s">
        <v>215</v>
      </c>
      <c r="E41" t="s">
        <v>255</v>
      </c>
      <c r="F41" t="s">
        <v>319</v>
      </c>
      <c r="G41" t="s">
        <v>257</v>
      </c>
      <c r="H41" t="s">
        <v>242</v>
      </c>
      <c r="I41" t="s">
        <v>399</v>
      </c>
      <c r="J41" t="s">
        <v>400</v>
      </c>
      <c r="K41" t="s">
        <v>227</v>
      </c>
      <c r="L41" t="s">
        <v>228</v>
      </c>
      <c r="M41" s="7" t="str">
        <f t="shared" si="0"/>
        <v>Point + buffer</v>
      </c>
      <c r="N41">
        <v>300</v>
      </c>
      <c r="O41" s="7">
        <f>IF($A41="","",COUNTIF(attestations!$B$2:$B$2000,$A41))</f>
        <v>18</v>
      </c>
      <c r="P41" s="7">
        <f>IF($A41="","",COUNTIFS(attestations!$B$2:$B$2000,$A41,attestations!$R$2:$R$2000,"Map"))</f>
        <v>1</v>
      </c>
      <c r="Q41" s="7">
        <f>IF($A41="","",COUNTIFS(attestations!$B$2:$B$2000,$A41,attestations!$R$2:$R$2000,"Image"))</f>
        <v>1</v>
      </c>
      <c r="R41" s="7">
        <f>IF($A41="","",COUNTIFS(attestations!$B$2:$B$2000,$A41,attestations!$R$2:$R$2000,"Textual"))</f>
        <v>5</v>
      </c>
      <c r="S41" s="7">
        <f>IF($A41="","",COUNTIFS(attestations!$B$2:$B$2000,$A41,attestations!$D$2:$D$2000,"Geometry (Setting)"))</f>
        <v>6</v>
      </c>
      <c r="T41" s="7" t="str">
        <f t="shared" si="1"/>
        <v>High</v>
      </c>
      <c r="U41" s="7" t="str">
        <f>IF($A41="","",IF(COUNTIFS(attestations!$B$2:$B$2000,$A41,attestations!$I$2:$I$2000,"Georeferenced map GCP")&gt;0,"Y","N"))</f>
        <v>Y</v>
      </c>
      <c r="V41" t="s">
        <v>210</v>
      </c>
      <c r="W41" t="s">
        <v>228</v>
      </c>
      <c r="X41" t="s">
        <v>401</v>
      </c>
      <c r="Y41" t="s">
        <v>212</v>
      </c>
    </row>
    <row r="42" spans="1:27" ht="15" customHeight="1" x14ac:dyDescent="0.2">
      <c r="A42" s="9" t="s">
        <v>402</v>
      </c>
      <c r="B42" t="s">
        <v>403</v>
      </c>
      <c r="D42" t="s">
        <v>201</v>
      </c>
      <c r="E42" t="s">
        <v>227</v>
      </c>
      <c r="F42" t="s">
        <v>227</v>
      </c>
      <c r="G42" t="s">
        <v>333</v>
      </c>
      <c r="H42" t="s">
        <v>205</v>
      </c>
      <c r="I42" t="s">
        <v>351</v>
      </c>
      <c r="K42" t="s">
        <v>208</v>
      </c>
      <c r="L42" t="s">
        <v>209</v>
      </c>
      <c r="M42" s="7" t="str">
        <f t="shared" si="0"/>
        <v>Translucent area</v>
      </c>
      <c r="N42">
        <v>400</v>
      </c>
      <c r="O42" s="7">
        <f>IF($A42="","",COUNTIF(attestations!$B$2:$B$2000,$A42))</f>
        <v>20</v>
      </c>
      <c r="P42" s="7">
        <f>IF($A42="","",COUNTIFS(attestations!$B$2:$B$2000,$A42,attestations!$R$2:$R$2000,"Map"))</f>
        <v>2</v>
      </c>
      <c r="Q42" s="7">
        <f>IF($A42="","",COUNTIFS(attestations!$B$2:$B$2000,$A42,attestations!$R$2:$R$2000,"Image"))</f>
        <v>1</v>
      </c>
      <c r="R42" s="7">
        <f>IF($A42="","",COUNTIFS(attestations!$B$2:$B$2000,$A42,attestations!$R$2:$R$2000,"Textual"))</f>
        <v>5</v>
      </c>
      <c r="S42" s="7">
        <f>IF($A42="","",COUNTIFS(attestations!$B$2:$B$2000,$A42,attestations!$D$2:$D$2000,"Geometry (Setting)"))</f>
        <v>3</v>
      </c>
      <c r="T42" s="7" t="str">
        <f t="shared" si="1"/>
        <v>High</v>
      </c>
      <c r="U42" s="7" t="str">
        <f>IF($A42="","",IF(COUNTIFS(attestations!$B$2:$B$2000,$A42,attestations!$I$2:$I$2000,"Georeferenced map GCP")&gt;0,"Y","N"))</f>
        <v>Y</v>
      </c>
      <c r="V42" t="s">
        <v>210</v>
      </c>
      <c r="W42" t="s">
        <v>228</v>
      </c>
      <c r="X42" t="s">
        <v>404</v>
      </c>
      <c r="Y42" t="s">
        <v>212</v>
      </c>
    </row>
    <row r="43" spans="1:27" ht="15" customHeight="1" x14ac:dyDescent="0.2">
      <c r="A43" s="9" t="s">
        <v>405</v>
      </c>
      <c r="B43" t="s">
        <v>406</v>
      </c>
      <c r="D43" t="s">
        <v>201</v>
      </c>
      <c r="E43" t="s">
        <v>202</v>
      </c>
      <c r="F43" t="s">
        <v>203</v>
      </c>
      <c r="G43" t="s">
        <v>204</v>
      </c>
      <c r="H43" t="s">
        <v>205</v>
      </c>
      <c r="I43" t="s">
        <v>351</v>
      </c>
      <c r="J43" t="s">
        <v>207</v>
      </c>
      <c r="K43" t="s">
        <v>208</v>
      </c>
      <c r="L43" t="s">
        <v>228</v>
      </c>
      <c r="M43" s="7" t="str">
        <f t="shared" si="0"/>
        <v>Point + buffer</v>
      </c>
      <c r="N43">
        <v>300</v>
      </c>
      <c r="O43" s="7">
        <f>IF($A43="","",COUNTIF(attestations!$B$2:$B$2000,$A43))</f>
        <v>21</v>
      </c>
      <c r="P43" s="7">
        <f>IF($A43="","",COUNTIFS(attestations!$B$2:$B$2000,$A43,attestations!$R$2:$R$2000,"Map"))</f>
        <v>1</v>
      </c>
      <c r="Q43" s="7">
        <f>IF($A43="","",COUNTIFS(attestations!$B$2:$B$2000,$A43,attestations!$R$2:$R$2000,"Image"))</f>
        <v>0</v>
      </c>
      <c r="R43" s="7">
        <f>IF($A43="","",COUNTIFS(attestations!$B$2:$B$2000,$A43,attestations!$R$2:$R$2000,"Textual"))</f>
        <v>4</v>
      </c>
      <c r="S43" s="7">
        <f>IF($A43="","",COUNTIFS(attestations!$B$2:$B$2000,$A43,attestations!$D$2:$D$2000,"Geometry (Setting)"))</f>
        <v>5</v>
      </c>
      <c r="T43" s="7" t="str">
        <f t="shared" si="1"/>
        <v>High</v>
      </c>
      <c r="U43" s="7" t="str">
        <f>IF($A43="","",IF(COUNTIFS(attestations!$B$2:$B$2000,$A43,attestations!$I$2:$I$2000,"Georeferenced map GCP")&gt;0,"Y","N"))</f>
        <v>Y</v>
      </c>
      <c r="V43" t="s">
        <v>210</v>
      </c>
      <c r="W43" t="s">
        <v>228</v>
      </c>
      <c r="X43" t="s">
        <v>407</v>
      </c>
      <c r="Y43" t="s">
        <v>212</v>
      </c>
    </row>
    <row r="44" spans="1:27" ht="15" customHeight="1" x14ac:dyDescent="0.2">
      <c r="A44" s="9" t="s">
        <v>408</v>
      </c>
      <c r="B44" t="s">
        <v>409</v>
      </c>
      <c r="D44" t="s">
        <v>201</v>
      </c>
      <c r="E44" t="s">
        <v>202</v>
      </c>
      <c r="F44" t="s">
        <v>203</v>
      </c>
      <c r="G44" t="s">
        <v>204</v>
      </c>
      <c r="H44" t="s">
        <v>205</v>
      </c>
      <c r="I44" t="s">
        <v>351</v>
      </c>
      <c r="J44" t="s">
        <v>207</v>
      </c>
      <c r="K44" t="s">
        <v>208</v>
      </c>
      <c r="L44" t="s">
        <v>228</v>
      </c>
      <c r="M44" s="7" t="str">
        <f t="shared" si="0"/>
        <v>Point + buffer</v>
      </c>
      <c r="N44">
        <v>250</v>
      </c>
      <c r="O44" s="7">
        <f>IF($A44="","",COUNTIF(attestations!$B$2:$B$2000,$A44))</f>
        <v>16</v>
      </c>
      <c r="P44" s="7">
        <f>IF($A44="","",COUNTIFS(attestations!$B$2:$B$2000,$A44,attestations!$R$2:$R$2000,"Map"))</f>
        <v>2</v>
      </c>
      <c r="Q44" s="7">
        <f>IF($A44="","",COUNTIFS(attestations!$B$2:$B$2000,$A44,attestations!$R$2:$R$2000,"Image"))</f>
        <v>0</v>
      </c>
      <c r="R44" s="7">
        <f>IF($A44="","",COUNTIFS(attestations!$B$2:$B$2000,$A44,attestations!$R$2:$R$2000,"Textual"))</f>
        <v>5</v>
      </c>
      <c r="S44" s="7">
        <f>IF($A44="","",COUNTIFS(attestations!$B$2:$B$2000,$A44,attestations!$D$2:$D$2000,"Geometry (Setting)"))</f>
        <v>5</v>
      </c>
      <c r="T44" s="7" t="str">
        <f t="shared" si="1"/>
        <v>High</v>
      </c>
      <c r="U44" s="7" t="str">
        <f>IF($A44="","",IF(COUNTIFS(attestations!$B$2:$B$2000,$A44,attestations!$I$2:$I$2000,"Georeferenced map GCP")&gt;0,"Y","N"))</f>
        <v>Y</v>
      </c>
      <c r="V44" t="s">
        <v>210</v>
      </c>
      <c r="W44" t="s">
        <v>228</v>
      </c>
      <c r="X44" t="s">
        <v>410</v>
      </c>
      <c r="Y44" t="s">
        <v>212</v>
      </c>
    </row>
    <row r="45" spans="1:27" ht="15" customHeight="1" x14ac:dyDescent="0.2">
      <c r="A45" s="9" t="s">
        <v>411</v>
      </c>
      <c r="B45" t="s">
        <v>412</v>
      </c>
      <c r="D45" t="s">
        <v>201</v>
      </c>
      <c r="E45" t="s">
        <v>202</v>
      </c>
      <c r="F45" t="s">
        <v>203</v>
      </c>
      <c r="G45" t="s">
        <v>204</v>
      </c>
      <c r="H45" t="s">
        <v>205</v>
      </c>
      <c r="I45" t="s">
        <v>351</v>
      </c>
      <c r="J45" t="s">
        <v>207</v>
      </c>
      <c r="K45" t="s">
        <v>208</v>
      </c>
      <c r="L45" t="s">
        <v>227</v>
      </c>
      <c r="M45" s="7" t="str">
        <f t="shared" si="0"/>
        <v>Unplotted (unlocated panel)</v>
      </c>
      <c r="O45" s="7">
        <f>IF($A45="","",COUNTIF(attestations!$B$2:$B$2000,$A45))</f>
        <v>15</v>
      </c>
      <c r="P45" s="7">
        <f>IF($A45="","",COUNTIFS(attestations!$B$2:$B$2000,$A45,attestations!$R$2:$R$2000,"Map"))</f>
        <v>1</v>
      </c>
      <c r="Q45" s="7">
        <f>IF($A45="","",COUNTIFS(attestations!$B$2:$B$2000,$A45,attestations!$R$2:$R$2000,"Image"))</f>
        <v>0</v>
      </c>
      <c r="R45" s="7">
        <f>IF($A45="","",COUNTIFS(attestations!$B$2:$B$2000,$A45,attestations!$R$2:$R$2000,"Textual"))</f>
        <v>5</v>
      </c>
      <c r="S45" s="7">
        <f>IF($A45="","",COUNTIFS(attestations!$B$2:$B$2000,$A45,attestations!$D$2:$D$2000,"Geometry (Setting)"))</f>
        <v>1</v>
      </c>
      <c r="T45" s="7" t="str">
        <f t="shared" si="1"/>
        <v>High</v>
      </c>
      <c r="U45" s="7" t="str">
        <f>IF($A45="","",IF(COUNTIFS(attestations!$B$2:$B$2000,$A45,attestations!$I$2:$I$2000,"Georeferenced map GCP")&gt;0,"Y","N"))</f>
        <v>N</v>
      </c>
      <c r="V45" t="s">
        <v>210</v>
      </c>
      <c r="W45" t="s">
        <v>228</v>
      </c>
      <c r="X45" t="s">
        <v>413</v>
      </c>
      <c r="Y45" t="s">
        <v>212</v>
      </c>
    </row>
    <row r="46" spans="1:27" ht="15" customHeight="1" x14ac:dyDescent="0.2">
      <c r="A46" s="9" t="s">
        <v>414</v>
      </c>
      <c r="B46" t="s">
        <v>415</v>
      </c>
      <c r="D46" t="s">
        <v>201</v>
      </c>
      <c r="E46" t="s">
        <v>202</v>
      </c>
      <c r="F46" t="s">
        <v>203</v>
      </c>
      <c r="G46" t="s">
        <v>204</v>
      </c>
      <c r="H46" t="s">
        <v>205</v>
      </c>
      <c r="I46" t="s">
        <v>351</v>
      </c>
      <c r="J46" t="s">
        <v>207</v>
      </c>
      <c r="K46" t="s">
        <v>208</v>
      </c>
      <c r="L46" t="s">
        <v>209</v>
      </c>
      <c r="M46" s="7" t="str">
        <f t="shared" si="0"/>
        <v>Translucent area</v>
      </c>
      <c r="N46">
        <v>600</v>
      </c>
      <c r="O46" s="7">
        <f>IF($A46="","",COUNTIF(attestations!$B$2:$B$2000,$A46))</f>
        <v>18</v>
      </c>
      <c r="P46" s="7">
        <f>IF($A46="","",COUNTIFS(attestations!$B$2:$B$2000,$A46,attestations!$R$2:$R$2000,"Map"))</f>
        <v>2</v>
      </c>
      <c r="Q46" s="7">
        <f>IF($A46="","",COUNTIFS(attestations!$B$2:$B$2000,$A46,attestations!$R$2:$R$2000,"Image"))</f>
        <v>1</v>
      </c>
      <c r="R46" s="7">
        <f>IF($A46="","",COUNTIFS(attestations!$B$2:$B$2000,$A46,attestations!$R$2:$R$2000,"Textual"))</f>
        <v>5</v>
      </c>
      <c r="S46" s="7">
        <f>IF($A46="","",COUNTIFS(attestations!$B$2:$B$2000,$A46,attestations!$D$2:$D$2000,"Geometry (Setting)"))</f>
        <v>4</v>
      </c>
      <c r="T46" s="7" t="str">
        <f t="shared" si="1"/>
        <v>High</v>
      </c>
      <c r="U46" s="7" t="str">
        <f>IF($A46="","",IF(COUNTIFS(attestations!$B$2:$B$2000,$A46,attestations!$I$2:$I$2000,"Georeferenced map GCP")&gt;0,"Y","N"))</f>
        <v>Y</v>
      </c>
      <c r="V46" t="s">
        <v>210</v>
      </c>
      <c r="W46" t="s">
        <v>228</v>
      </c>
      <c r="X46" t="s">
        <v>416</v>
      </c>
      <c r="Y46" t="s">
        <v>212</v>
      </c>
    </row>
    <row r="47" spans="1:27" ht="15" customHeight="1" x14ac:dyDescent="0.2">
      <c r="A47" s="9" t="s">
        <v>417</v>
      </c>
      <c r="B47" t="s">
        <v>418</v>
      </c>
      <c r="D47" t="s">
        <v>419</v>
      </c>
      <c r="E47" t="s">
        <v>255</v>
      </c>
      <c r="F47" t="s">
        <v>319</v>
      </c>
      <c r="G47" t="s">
        <v>268</v>
      </c>
      <c r="H47" t="s">
        <v>242</v>
      </c>
      <c r="I47" t="s">
        <v>420</v>
      </c>
      <c r="J47" t="s">
        <v>400</v>
      </c>
      <c r="K47" t="s">
        <v>208</v>
      </c>
      <c r="L47" t="s">
        <v>228</v>
      </c>
      <c r="M47" s="7" t="str">
        <f t="shared" si="0"/>
        <v>Point + buffer</v>
      </c>
      <c r="N47">
        <v>300</v>
      </c>
      <c r="O47" s="7">
        <f>IF($A47="","",COUNTIF(attestations!$B$2:$B$2000,$A47))</f>
        <v>14</v>
      </c>
      <c r="P47" s="7">
        <f>IF($A47="","",COUNTIFS(attestations!$B$2:$B$2000,$A47,attestations!$R$2:$R$2000,"Map"))</f>
        <v>0</v>
      </c>
      <c r="Q47" s="7">
        <f>IF($A47="","",COUNTIFS(attestations!$B$2:$B$2000,$A47,attestations!$R$2:$R$2000,"Image"))</f>
        <v>0</v>
      </c>
      <c r="R47" s="7">
        <f>IF($A47="","",COUNTIFS(attestations!$B$2:$B$2000,$A47,attestations!$R$2:$R$2000,"Textual"))</f>
        <v>5</v>
      </c>
      <c r="S47" s="7">
        <f>IF($A47="","",COUNTIFS(attestations!$B$2:$B$2000,$A47,attestations!$D$2:$D$2000,"Geometry (Setting)"))</f>
        <v>4</v>
      </c>
      <c r="T47" s="7" t="str">
        <f t="shared" si="1"/>
        <v>High</v>
      </c>
      <c r="U47" s="7" t="str">
        <f>IF($A47="","",IF(COUNTIFS(attestations!$B$2:$B$2000,$A47,attestations!$I$2:$I$2000,"Georeferenced map GCP")&gt;0,"Y","N"))</f>
        <v>Y</v>
      </c>
      <c r="V47" t="s">
        <v>210</v>
      </c>
      <c r="W47" t="s">
        <v>228</v>
      </c>
      <c r="X47" t="s">
        <v>421</v>
      </c>
      <c r="Y47" t="s">
        <v>212</v>
      </c>
    </row>
    <row r="48" spans="1:27" x14ac:dyDescent="0.2">
      <c r="A48" t="s">
        <v>422</v>
      </c>
      <c r="B48" t="s">
        <v>423</v>
      </c>
      <c r="D48" t="s">
        <v>215</v>
      </c>
      <c r="E48" t="s">
        <v>227</v>
      </c>
      <c r="F48" t="s">
        <v>227</v>
      </c>
      <c r="G48" t="s">
        <v>333</v>
      </c>
      <c r="H48" t="s">
        <v>242</v>
      </c>
      <c r="I48" t="s">
        <v>424</v>
      </c>
      <c r="K48" t="s">
        <v>208</v>
      </c>
      <c r="L48" t="s">
        <v>209</v>
      </c>
      <c r="M48" t="str">
        <f t="shared" si="0"/>
        <v>Translucent area</v>
      </c>
      <c r="N48">
        <v>500</v>
      </c>
      <c r="O48">
        <f>IF($A48="","",COUNTIF(attestations!$B$2:$B$2000,$A48))</f>
        <v>15</v>
      </c>
      <c r="P48">
        <f>IF($A48="","",COUNTIFS(attestations!$B$2:$B$2000,$A48,attestations!$R$2:$R$2000,"Map"))</f>
        <v>0</v>
      </c>
      <c r="Q48">
        <f>IF($A48="","",COUNTIFS(attestations!$B$2:$B$2000,$A48,attestations!$R$2:$R$2000,"Image"))</f>
        <v>1</v>
      </c>
      <c r="R48">
        <f>IF($A48="","",COUNTIFS(attestations!$B$2:$B$2000,$A48,attestations!$R$2:$R$2000,"Textual"))</f>
        <v>5</v>
      </c>
      <c r="S48">
        <f>IF($A48="","",COUNTIFS(attestations!$B$2:$B$2000,$A48,attestations!$D$2:$D$2000,"Geometry (Setting)"))</f>
        <v>3</v>
      </c>
      <c r="T48" t="str">
        <f t="shared" si="1"/>
        <v>High</v>
      </c>
      <c r="U48" t="str">
        <f>IF($A48="","",IF(COUNTIFS(attestations!$B$2:$B$2000,$A48,attestations!$I$2:$I$2000,"Georeferenced map GCP")&gt;0,"Y","N"))</f>
        <v>Y</v>
      </c>
      <c r="V48" t="s">
        <v>210</v>
      </c>
      <c r="W48" t="s">
        <v>228</v>
      </c>
      <c r="X48" t="s">
        <v>425</v>
      </c>
      <c r="Y48" t="s">
        <v>212</v>
      </c>
    </row>
    <row r="49" spans="1:27" x14ac:dyDescent="0.2">
      <c r="A49" t="s">
        <v>426</v>
      </c>
      <c r="B49" t="s">
        <v>427</v>
      </c>
      <c r="D49" t="s">
        <v>275</v>
      </c>
      <c r="E49" t="s">
        <v>255</v>
      </c>
      <c r="F49" t="s">
        <v>319</v>
      </c>
      <c r="G49" t="s">
        <v>333</v>
      </c>
      <c r="H49" t="s">
        <v>242</v>
      </c>
      <c r="I49" t="s">
        <v>428</v>
      </c>
      <c r="K49" t="s">
        <v>227</v>
      </c>
      <c r="L49" t="s">
        <v>228</v>
      </c>
      <c r="M49" t="str">
        <f t="shared" si="0"/>
        <v>Point + buffer</v>
      </c>
      <c r="N49">
        <v>300</v>
      </c>
      <c r="O49">
        <f>IF($A49="","",COUNTIF(attestations!$B$2:$B$2000,$A49))</f>
        <v>14</v>
      </c>
      <c r="P49">
        <f>IF($A49="","",COUNTIFS(attestations!$B$2:$B$2000,$A49,attestations!$R$2:$R$2000,"Map"))</f>
        <v>1</v>
      </c>
      <c r="Q49">
        <f>IF($A49="","",COUNTIFS(attestations!$B$2:$B$2000,$A49,attestations!$R$2:$R$2000,"Image"))</f>
        <v>1</v>
      </c>
      <c r="R49">
        <f>IF($A49="","",COUNTIFS(attestations!$B$2:$B$2000,$A49,attestations!$R$2:$R$2000,"Textual"))</f>
        <v>6</v>
      </c>
      <c r="S49">
        <f>IF($A49="","",COUNTIFS(attestations!$B$2:$B$2000,$A49,attestations!$D$2:$D$2000,"Geometry (Setting)"))</f>
        <v>2</v>
      </c>
      <c r="T49" t="str">
        <f t="shared" si="1"/>
        <v>High</v>
      </c>
      <c r="U49" t="str">
        <f>IF($A49="","",IF(COUNTIFS(attestations!$B$2:$B$2000,$A49,attestations!$I$2:$I$2000,"Georeferenced map GCP")&gt;0,"Y","N"))</f>
        <v>Y</v>
      </c>
      <c r="V49" t="s">
        <v>210</v>
      </c>
      <c r="W49" t="s">
        <v>228</v>
      </c>
      <c r="X49" t="s">
        <v>429</v>
      </c>
      <c r="Y49" t="s">
        <v>212</v>
      </c>
    </row>
    <row r="50" spans="1:27" x14ac:dyDescent="0.2">
      <c r="A50" t="s">
        <v>430</v>
      </c>
      <c r="B50" t="s">
        <v>431</v>
      </c>
      <c r="D50" t="s">
        <v>212</v>
      </c>
      <c r="E50" t="s">
        <v>326</v>
      </c>
      <c r="F50" t="s">
        <v>319</v>
      </c>
      <c r="G50" t="s">
        <v>268</v>
      </c>
      <c r="H50" t="s">
        <v>242</v>
      </c>
      <c r="I50" t="s">
        <v>424</v>
      </c>
      <c r="K50" t="s">
        <v>208</v>
      </c>
      <c r="L50" t="s">
        <v>227</v>
      </c>
      <c r="M50" t="str">
        <f t="shared" si="0"/>
        <v>Unplotted (unlocated panel)</v>
      </c>
      <c r="O50">
        <f>IF($A50="","",COUNTIF(attestations!$B$2:$B$2000,$A50))</f>
        <v>13</v>
      </c>
      <c r="P50">
        <f>IF($A50="","",COUNTIFS(attestations!$B$2:$B$2000,$A50,attestations!$R$2:$R$2000,"Map"))</f>
        <v>0</v>
      </c>
      <c r="Q50">
        <f>IF($A50="","",COUNTIFS(attestations!$B$2:$B$2000,$A50,attestations!$R$2:$R$2000,"Image"))</f>
        <v>1</v>
      </c>
      <c r="R50">
        <f>IF($A50="","",COUNTIFS(attestations!$B$2:$B$2000,$A50,attestations!$R$2:$R$2000,"Textual"))</f>
        <v>4</v>
      </c>
      <c r="S50">
        <f>IF($A50="","",COUNTIFS(attestations!$B$2:$B$2000,$A50,attestations!$D$2:$D$2000,"Geometry (Setting)"))</f>
        <v>4</v>
      </c>
      <c r="T50" t="str">
        <f t="shared" si="1"/>
        <v>High</v>
      </c>
      <c r="U50" t="str">
        <f>IF($A50="","",IF(COUNTIFS(attestations!$B$2:$B$2000,$A50,attestations!$I$2:$I$2000,"Georeferenced map GCP")&gt;0,"Y","N"))</f>
        <v>Y</v>
      </c>
      <c r="V50" t="s">
        <v>210</v>
      </c>
      <c r="X50" t="s">
        <v>432</v>
      </c>
      <c r="Y50" t="s">
        <v>212</v>
      </c>
      <c r="AA50" t="s">
        <v>433</v>
      </c>
    </row>
    <row r="51" spans="1:27" x14ac:dyDescent="0.2">
      <c r="A51" t="s">
        <v>434</v>
      </c>
      <c r="B51" t="s">
        <v>435</v>
      </c>
      <c r="C51" t="s">
        <v>436</v>
      </c>
      <c r="D51" t="s">
        <v>212</v>
      </c>
      <c r="E51" t="s">
        <v>326</v>
      </c>
      <c r="F51" t="s">
        <v>319</v>
      </c>
      <c r="G51" t="s">
        <v>268</v>
      </c>
      <c r="H51" t="s">
        <v>309</v>
      </c>
      <c r="I51" t="s">
        <v>356</v>
      </c>
      <c r="K51" t="s">
        <v>208</v>
      </c>
      <c r="L51" t="s">
        <v>209</v>
      </c>
      <c r="M51" t="str">
        <f t="shared" si="0"/>
        <v>Translucent area</v>
      </c>
      <c r="N51">
        <v>400</v>
      </c>
      <c r="O51">
        <f>IF($A51="","",COUNTIF(attestations!$B$2:$B$2000,$A51))</f>
        <v>23</v>
      </c>
      <c r="P51">
        <f>IF($A51="","",COUNTIFS(attestations!$B$2:$B$2000,$A51,attestations!$R$2:$R$2000,"Map"))</f>
        <v>2</v>
      </c>
      <c r="Q51">
        <f>IF($A51="","",COUNTIFS(attestations!$B$2:$B$2000,$A51,attestations!$R$2:$R$2000,"Image"))</f>
        <v>1</v>
      </c>
      <c r="R51">
        <f>IF($A51="","",COUNTIFS(attestations!$B$2:$B$2000,$A51,attestations!$R$2:$R$2000,"Textual"))</f>
        <v>5</v>
      </c>
      <c r="S51">
        <f>IF($A51="","",COUNTIFS(attestations!$B$2:$B$2000,$A51,attestations!$D$2:$D$2000,"Geometry (Setting)"))</f>
        <v>5</v>
      </c>
      <c r="T51" t="str">
        <f t="shared" si="1"/>
        <v>High</v>
      </c>
      <c r="U51" t="str">
        <f>IF($A51="","",IF(COUNTIFS(attestations!$B$2:$B$2000,$A51,attestations!$I$2:$I$2000,"Georeferenced map GCP")&gt;0,"Y","N"))</f>
        <v>Y</v>
      </c>
      <c r="V51" t="s">
        <v>210</v>
      </c>
      <c r="X51" t="s">
        <v>437</v>
      </c>
      <c r="Y51" t="s">
        <v>212</v>
      </c>
      <c r="AA51" t="s">
        <v>438</v>
      </c>
    </row>
    <row r="52" spans="1:27" x14ac:dyDescent="0.2">
      <c r="A52" t="s">
        <v>439</v>
      </c>
      <c r="B52" t="s">
        <v>440</v>
      </c>
      <c r="D52" t="s">
        <v>215</v>
      </c>
      <c r="E52" t="s">
        <v>326</v>
      </c>
      <c r="F52" t="s">
        <v>319</v>
      </c>
      <c r="G52" t="s">
        <v>319</v>
      </c>
      <c r="H52" t="s">
        <v>205</v>
      </c>
      <c r="I52" t="s">
        <v>216</v>
      </c>
      <c r="K52" t="s">
        <v>208</v>
      </c>
      <c r="L52" t="s">
        <v>228</v>
      </c>
      <c r="M52" t="str">
        <f t="shared" si="0"/>
        <v>Point + buffer</v>
      </c>
      <c r="N52">
        <v>300</v>
      </c>
      <c r="O52">
        <f>IF($A52="","",COUNTIF(attestations!$B$2:$B$2000,$A52))</f>
        <v>13</v>
      </c>
      <c r="P52">
        <f>IF($A52="","",COUNTIFS(attestations!$B$2:$B$2000,$A52,attestations!$R$2:$R$2000,"Map"))</f>
        <v>1</v>
      </c>
      <c r="Q52">
        <f>IF($A52="","",COUNTIFS(attestations!$B$2:$B$2000,$A52,attestations!$R$2:$R$2000,"Image"))</f>
        <v>2</v>
      </c>
      <c r="R52">
        <f>IF($A52="","",COUNTIFS(attestations!$B$2:$B$2000,$A52,attestations!$R$2:$R$2000,"Textual"))</f>
        <v>5</v>
      </c>
      <c r="S52">
        <f>IF($A52="","",COUNTIFS(attestations!$B$2:$B$2000,$A52,attestations!$D$2:$D$2000,"Geometry (Setting)"))</f>
        <v>1</v>
      </c>
      <c r="T52" t="str">
        <f t="shared" si="1"/>
        <v>High</v>
      </c>
      <c r="U52" t="str">
        <f>IF($A52="","",IF(COUNTIFS(attestations!$B$2:$B$2000,$A52,attestations!$I$2:$I$2000,"Georeferenced map GCP")&gt;0,"Y","N"))</f>
        <v>Y</v>
      </c>
      <c r="V52" t="s">
        <v>210</v>
      </c>
      <c r="X52" t="s">
        <v>441</v>
      </c>
      <c r="Y52" t="s">
        <v>212</v>
      </c>
      <c r="AA52" t="s">
        <v>442</v>
      </c>
    </row>
    <row r="53" spans="1:27" x14ac:dyDescent="0.2">
      <c r="A53" t="s">
        <v>443</v>
      </c>
      <c r="B53" t="s">
        <v>444</v>
      </c>
      <c r="C53" t="s">
        <v>445</v>
      </c>
      <c r="D53" t="s">
        <v>212</v>
      </c>
      <c r="E53" t="s">
        <v>326</v>
      </c>
      <c r="F53" t="s">
        <v>319</v>
      </c>
      <c r="G53" t="s">
        <v>257</v>
      </c>
      <c r="H53" t="s">
        <v>205</v>
      </c>
      <c r="I53" t="s">
        <v>206</v>
      </c>
      <c r="K53" t="s">
        <v>208</v>
      </c>
      <c r="L53" t="s">
        <v>228</v>
      </c>
      <c r="M53" t="str">
        <f t="shared" si="0"/>
        <v>Point + buffer</v>
      </c>
      <c r="N53">
        <v>300</v>
      </c>
      <c r="O53">
        <f>IF($A53="","",COUNTIF(attestations!$B$2:$B$2000,$A53))</f>
        <v>12</v>
      </c>
      <c r="P53">
        <f>IF($A53="","",COUNTIFS(attestations!$B$2:$B$2000,$A53,attestations!$R$2:$R$2000,"Map"))</f>
        <v>0</v>
      </c>
      <c r="Q53">
        <f>IF($A53="","",COUNTIFS(attestations!$B$2:$B$2000,$A53,attestations!$R$2:$R$2000,"Image"))</f>
        <v>1</v>
      </c>
      <c r="R53">
        <f>IF($A53="","",COUNTIFS(attestations!$B$2:$B$2000,$A53,attestations!$R$2:$R$2000,"Textual"))</f>
        <v>5</v>
      </c>
      <c r="S53">
        <f>IF($A53="","",COUNTIFS(attestations!$B$2:$B$2000,$A53,attestations!$D$2:$D$2000,"Geometry (Setting)"))</f>
        <v>1</v>
      </c>
      <c r="T53" t="str">
        <f t="shared" si="1"/>
        <v>High</v>
      </c>
      <c r="U53" t="str">
        <f>IF($A53="","",IF(COUNTIFS(attestations!$B$2:$B$2000,$A53,attestations!$I$2:$I$2000,"Georeferenced map GCP")&gt;0,"Y","N"))</f>
        <v>Y</v>
      </c>
      <c r="V53" t="s">
        <v>210</v>
      </c>
      <c r="X53" t="s">
        <v>446</v>
      </c>
      <c r="Y53" t="s">
        <v>212</v>
      </c>
      <c r="AA53" t="s">
        <v>447</v>
      </c>
    </row>
    <row r="54" spans="1:27" x14ac:dyDescent="0.2">
      <c r="A54" t="s">
        <v>448</v>
      </c>
      <c r="B54" t="s">
        <v>449</v>
      </c>
      <c r="D54" t="s">
        <v>226</v>
      </c>
      <c r="E54" t="s">
        <v>227</v>
      </c>
      <c r="F54" t="s">
        <v>227</v>
      </c>
      <c r="G54" t="s">
        <v>333</v>
      </c>
      <c r="H54" t="s">
        <v>205</v>
      </c>
      <c r="I54" t="s">
        <v>450</v>
      </c>
      <c r="K54" t="s">
        <v>227</v>
      </c>
      <c r="L54" t="s">
        <v>227</v>
      </c>
      <c r="M54" t="str">
        <f t="shared" si="0"/>
        <v>Unplotted (unlocated panel)</v>
      </c>
      <c r="O54">
        <f>IF($A54="","",COUNTIF(attestations!$B$2:$B$2000,$A54))</f>
        <v>13</v>
      </c>
      <c r="P54">
        <f>IF($A54="","",COUNTIFS(attestations!$B$2:$B$2000,$A54,attestations!$R$2:$R$2000,"Map"))</f>
        <v>1</v>
      </c>
      <c r="Q54">
        <f>IF($A54="","",COUNTIFS(attestations!$B$2:$B$2000,$A54,attestations!$R$2:$R$2000,"Image"))</f>
        <v>1</v>
      </c>
      <c r="R54">
        <f>IF($A54="","",COUNTIFS(attestations!$B$2:$B$2000,$A54,attestations!$R$2:$R$2000,"Textual"))</f>
        <v>5</v>
      </c>
      <c r="S54">
        <f>IF($A54="","",COUNTIFS(attestations!$B$2:$B$2000,$A54,attestations!$D$2:$D$2000,"Geometry (Setting)"))</f>
        <v>1</v>
      </c>
      <c r="T54" t="str">
        <f t="shared" si="1"/>
        <v>High</v>
      </c>
      <c r="U54" t="str">
        <f>IF($A54="","",IF(COUNTIFS(attestations!$B$2:$B$2000,$A54,attestations!$I$2:$I$2000,"Georeferenced map GCP")&gt;0,"Y","N"))</f>
        <v>Y</v>
      </c>
      <c r="V54" t="s">
        <v>210</v>
      </c>
      <c r="X54" t="s">
        <v>451</v>
      </c>
      <c r="Y54" t="s">
        <v>212</v>
      </c>
    </row>
    <row r="55" spans="1:27" x14ac:dyDescent="0.2">
      <c r="A55" t="s">
        <v>452</v>
      </c>
      <c r="B55" t="s">
        <v>453</v>
      </c>
      <c r="D55" t="s">
        <v>226</v>
      </c>
      <c r="E55" t="s">
        <v>227</v>
      </c>
      <c r="F55" t="s">
        <v>227</v>
      </c>
      <c r="G55" t="s">
        <v>319</v>
      </c>
      <c r="H55" t="s">
        <v>205</v>
      </c>
      <c r="K55" t="s">
        <v>227</v>
      </c>
      <c r="L55" t="s">
        <v>228</v>
      </c>
      <c r="M55" t="str">
        <f t="shared" si="0"/>
        <v>Point + buffer</v>
      </c>
      <c r="N55">
        <v>250</v>
      </c>
      <c r="O55">
        <f>IF($A55="","",COUNTIF(attestations!$B$2:$B$2000,$A55))</f>
        <v>20</v>
      </c>
      <c r="P55">
        <f>IF($A55="","",COUNTIFS(attestations!$B$2:$B$2000,$A55,attestations!$R$2:$R$2000,"Map"))</f>
        <v>1</v>
      </c>
      <c r="Q55">
        <f>IF($A55="","",COUNTIFS(attestations!$B$2:$B$2000,$A55,attestations!$R$2:$R$2000,"Image"))</f>
        <v>1</v>
      </c>
      <c r="R55">
        <f>IF($A55="","",COUNTIFS(attestations!$B$2:$B$2000,$A55,attestations!$R$2:$R$2000,"Textual"))</f>
        <v>5</v>
      </c>
      <c r="S55">
        <f>IF($A55="","",COUNTIFS(attestations!$B$2:$B$2000,$A55,attestations!$D$2:$D$2000,"Geometry (Setting)"))</f>
        <v>5</v>
      </c>
      <c r="T55" t="str">
        <f t="shared" si="1"/>
        <v>High</v>
      </c>
      <c r="U55" t="str">
        <f>IF($A55="","",IF(COUNTIFS(attestations!$B$2:$B$2000,$A55,attestations!$I$2:$I$2000,"Georeferenced map GCP")&gt;0,"Y","N"))</f>
        <v>Y</v>
      </c>
      <c r="V55" t="s">
        <v>210</v>
      </c>
      <c r="X55" t="s">
        <v>454</v>
      </c>
      <c r="Y55" t="s">
        <v>212</v>
      </c>
    </row>
    <row r="56" spans="1:27" x14ac:dyDescent="0.2">
      <c r="A56" t="s">
        <v>455</v>
      </c>
      <c r="B56" t="s">
        <v>456</v>
      </c>
      <c r="D56" t="s">
        <v>226</v>
      </c>
      <c r="E56" t="s">
        <v>227</v>
      </c>
      <c r="F56" t="s">
        <v>227</v>
      </c>
      <c r="G56" t="s">
        <v>319</v>
      </c>
      <c r="H56" t="s">
        <v>205</v>
      </c>
      <c r="K56" t="s">
        <v>227</v>
      </c>
      <c r="L56" t="s">
        <v>227</v>
      </c>
      <c r="M56" t="str">
        <f t="shared" si="0"/>
        <v>Unplotted (unlocated panel)</v>
      </c>
      <c r="O56">
        <f>IF($A56="","",COUNTIF(attestations!$B$2:$B$2000,$A56))</f>
        <v>14</v>
      </c>
      <c r="P56">
        <f>IF($A56="","",COUNTIFS(attestations!$B$2:$B$2000,$A56,attestations!$R$2:$R$2000,"Map"))</f>
        <v>1</v>
      </c>
      <c r="Q56">
        <f>IF($A56="","",COUNTIFS(attestations!$B$2:$B$2000,$A56,attestations!$R$2:$R$2000,"Image"))</f>
        <v>0</v>
      </c>
      <c r="R56">
        <f>IF($A56="","",COUNTIFS(attestations!$B$2:$B$2000,$A56,attestations!$R$2:$R$2000,"Textual"))</f>
        <v>5</v>
      </c>
      <c r="S56">
        <f>IF($A56="","",COUNTIFS(attestations!$B$2:$B$2000,$A56,attestations!$D$2:$D$2000,"Geometry (Setting)"))</f>
        <v>0</v>
      </c>
      <c r="T56" t="str">
        <f t="shared" si="1"/>
        <v>High</v>
      </c>
      <c r="U56" t="str">
        <f>IF($A56="","",IF(COUNTIFS(attestations!$B$2:$B$2000,$A56,attestations!$I$2:$I$2000,"Georeferenced map GCP")&gt;0,"Y","N"))</f>
        <v>N</v>
      </c>
      <c r="V56" t="s">
        <v>210</v>
      </c>
      <c r="X56" t="s">
        <v>457</v>
      </c>
      <c r="Y56" t="s">
        <v>212</v>
      </c>
    </row>
    <row r="57" spans="1:27" x14ac:dyDescent="0.2">
      <c r="A57" t="s">
        <v>458</v>
      </c>
      <c r="B57" t="s">
        <v>459</v>
      </c>
      <c r="D57" t="s">
        <v>212</v>
      </c>
      <c r="E57" t="s">
        <v>326</v>
      </c>
      <c r="F57" t="s">
        <v>319</v>
      </c>
      <c r="G57" t="s">
        <v>268</v>
      </c>
      <c r="H57" t="s">
        <v>269</v>
      </c>
      <c r="I57" t="s">
        <v>400</v>
      </c>
      <c r="K57" t="s">
        <v>208</v>
      </c>
      <c r="L57" t="s">
        <v>227</v>
      </c>
      <c r="M57" t="str">
        <f t="shared" si="0"/>
        <v>Unplotted (unlocated panel)</v>
      </c>
      <c r="O57">
        <f>IF($A57="","",COUNTIF(attestations!$B$2:$B$2000,$A57))</f>
        <v>8</v>
      </c>
      <c r="P57">
        <f>IF($A57="","",COUNTIFS(attestations!$B$2:$B$2000,$A57,attestations!$R$2:$R$2000,"Map"))</f>
        <v>0</v>
      </c>
      <c r="Q57">
        <f>IF($A57="","",COUNTIFS(attestations!$B$2:$B$2000,$A57,attestations!$R$2:$R$2000,"Image"))</f>
        <v>1</v>
      </c>
      <c r="R57">
        <f>IF($A57="","",COUNTIFS(attestations!$B$2:$B$2000,$A57,attestations!$R$2:$R$2000,"Textual"))</f>
        <v>3</v>
      </c>
      <c r="S57">
        <f>IF($A57="","",COUNTIFS(attestations!$B$2:$B$2000,$A57,attestations!$D$2:$D$2000,"Geometry (Setting)"))</f>
        <v>1</v>
      </c>
      <c r="T57" t="str">
        <f t="shared" si="1"/>
        <v>High</v>
      </c>
      <c r="U57" t="str">
        <f>IF($A57="","",IF(COUNTIFS(attestations!$B$2:$B$2000,$A57,attestations!$I$2:$I$2000,"Georeferenced map GCP")&gt;0,"Y","N"))</f>
        <v>N</v>
      </c>
      <c r="V57" t="s">
        <v>210</v>
      </c>
      <c r="W57" t="s">
        <v>228</v>
      </c>
      <c r="X57" t="s">
        <v>460</v>
      </c>
      <c r="Y57" t="s">
        <v>212</v>
      </c>
      <c r="AA57" t="s">
        <v>461</v>
      </c>
    </row>
    <row r="58" spans="1:27" x14ac:dyDescent="0.2">
      <c r="A58" t="s">
        <v>462</v>
      </c>
      <c r="B58" t="s">
        <v>463</v>
      </c>
      <c r="D58" t="s">
        <v>215</v>
      </c>
      <c r="E58" t="s">
        <v>255</v>
      </c>
      <c r="F58" t="s">
        <v>319</v>
      </c>
      <c r="G58" t="s">
        <v>204</v>
      </c>
      <c r="H58" t="s">
        <v>205</v>
      </c>
      <c r="I58" t="s">
        <v>216</v>
      </c>
      <c r="J58" t="s">
        <v>464</v>
      </c>
      <c r="K58" t="s">
        <v>208</v>
      </c>
      <c r="L58" t="s">
        <v>228</v>
      </c>
      <c r="M58" t="str">
        <f t="shared" si="0"/>
        <v>Point + buffer</v>
      </c>
      <c r="N58">
        <v>300</v>
      </c>
      <c r="O58">
        <f>IF($A58="","",COUNTIF(attestations!$B$2:$B$2000,$A58))</f>
        <v>14</v>
      </c>
      <c r="P58">
        <f>IF($A58="","",COUNTIFS(attestations!$B$2:$B$2000,$A58,attestations!$R$2:$R$2000,"Map"))</f>
        <v>2</v>
      </c>
      <c r="Q58">
        <f>IF($A58="","",COUNTIFS(attestations!$B$2:$B$2000,$A58,attestations!$R$2:$R$2000,"Image"))</f>
        <v>1</v>
      </c>
      <c r="R58">
        <f>IF($A58="","",COUNTIFS(attestations!$B$2:$B$2000,$A58,attestations!$R$2:$R$2000,"Textual"))</f>
        <v>3</v>
      </c>
      <c r="S58">
        <f>IF($A58="","",COUNTIFS(attestations!$B$2:$B$2000,$A58,attestations!$D$2:$D$2000,"Geometry (Setting)"))</f>
        <v>2</v>
      </c>
      <c r="T58" t="str">
        <f t="shared" si="1"/>
        <v>High</v>
      </c>
      <c r="U58" t="str">
        <f>IF($A58="","",IF(COUNTIFS(attestations!$B$2:$B$2000,$A58,attestations!$I$2:$I$2000,"Georeferenced map GCP")&gt;0,"Y","N"))</f>
        <v>Y</v>
      </c>
      <c r="V58" t="s">
        <v>210</v>
      </c>
      <c r="W58" t="s">
        <v>222</v>
      </c>
      <c r="X58" t="s">
        <v>465</v>
      </c>
      <c r="Y58" t="s">
        <v>212</v>
      </c>
    </row>
    <row r="59" spans="1:27" x14ac:dyDescent="0.2">
      <c r="A59" t="s">
        <v>466</v>
      </c>
      <c r="B59" t="s">
        <v>467</v>
      </c>
      <c r="C59" t="s">
        <v>468</v>
      </c>
      <c r="D59" t="s">
        <v>290</v>
      </c>
      <c r="E59" t="s">
        <v>326</v>
      </c>
      <c r="F59" t="s">
        <v>319</v>
      </c>
      <c r="G59" t="s">
        <v>268</v>
      </c>
      <c r="H59" t="s">
        <v>242</v>
      </c>
      <c r="I59" t="s">
        <v>428</v>
      </c>
      <c r="K59" t="s">
        <v>208</v>
      </c>
      <c r="L59" t="s">
        <v>228</v>
      </c>
      <c r="M59" t="str">
        <f t="shared" si="0"/>
        <v>Point + buffer</v>
      </c>
      <c r="N59">
        <v>300</v>
      </c>
      <c r="O59">
        <f>IF($A59="","",COUNTIF(attestations!$B$2:$B$2000,$A59))</f>
        <v>13</v>
      </c>
      <c r="P59">
        <f>IF($A59="","",COUNTIFS(attestations!$B$2:$B$2000,$A59,attestations!$R$2:$R$2000,"Map"))</f>
        <v>0</v>
      </c>
      <c r="Q59">
        <f>IF($A59="","",COUNTIFS(attestations!$B$2:$B$2000,$A59,attestations!$R$2:$R$2000,"Image"))</f>
        <v>1</v>
      </c>
      <c r="R59">
        <f>IF($A59="","",COUNTIFS(attestations!$B$2:$B$2000,$A59,attestations!$R$2:$R$2000,"Textual"))</f>
        <v>3</v>
      </c>
      <c r="S59">
        <f>IF($A59="","",COUNTIFS(attestations!$B$2:$B$2000,$A59,attestations!$D$2:$D$2000,"Geometry (Setting)"))</f>
        <v>1</v>
      </c>
      <c r="T59" t="str">
        <f t="shared" si="1"/>
        <v>High</v>
      </c>
      <c r="U59" t="str">
        <f>IF($A59="","",IF(COUNTIFS(attestations!$B$2:$B$2000,$A59,attestations!$I$2:$I$2000,"Georeferenced map GCP")&gt;0,"Y","N"))</f>
        <v>Y</v>
      </c>
      <c r="V59" t="s">
        <v>210</v>
      </c>
      <c r="W59" t="s">
        <v>228</v>
      </c>
      <c r="X59" t="s">
        <v>469</v>
      </c>
      <c r="Y59" t="s">
        <v>294</v>
      </c>
      <c r="AA59" t="s">
        <v>470</v>
      </c>
    </row>
    <row r="60" spans="1:27" x14ac:dyDescent="0.2">
      <c r="A60" t="s">
        <v>471</v>
      </c>
      <c r="B60" t="s">
        <v>472</v>
      </c>
      <c r="D60" t="s">
        <v>201</v>
      </c>
      <c r="E60" t="s">
        <v>227</v>
      </c>
      <c r="F60" t="s">
        <v>227</v>
      </c>
      <c r="G60" t="s">
        <v>333</v>
      </c>
      <c r="H60" t="s">
        <v>242</v>
      </c>
      <c r="I60" t="s">
        <v>473</v>
      </c>
      <c r="K60" t="s">
        <v>208</v>
      </c>
      <c r="L60" t="s">
        <v>228</v>
      </c>
      <c r="M60" t="str">
        <f t="shared" si="0"/>
        <v>Point + buffer</v>
      </c>
      <c r="N60">
        <v>150</v>
      </c>
      <c r="O60">
        <f>IF($A60="","",COUNTIF(attestations!$B$2:$B$2000,$A60))</f>
        <v>7</v>
      </c>
      <c r="P60">
        <f>IF($A60="","",COUNTIFS(attestations!$B$2:$B$2000,$A60,attestations!$R$2:$R$2000,"Map"))</f>
        <v>0</v>
      </c>
      <c r="Q60">
        <f>IF($A60="","",COUNTIFS(attestations!$B$2:$B$2000,$A60,attestations!$R$2:$R$2000,"Image"))</f>
        <v>1</v>
      </c>
      <c r="R60">
        <f>IF($A60="","",COUNTIFS(attestations!$B$2:$B$2000,$A60,attestations!$R$2:$R$2000,"Textual"))</f>
        <v>2</v>
      </c>
      <c r="S60">
        <f>IF($A60="","",COUNTIFS(attestations!$B$2:$B$2000,$A60,attestations!$D$2:$D$2000,"Geometry (Setting)"))</f>
        <v>1</v>
      </c>
      <c r="T60" t="str">
        <f t="shared" si="1"/>
        <v>High</v>
      </c>
      <c r="U60" t="str">
        <f>IF($A60="","",IF(COUNTIFS(attestations!$B$2:$B$2000,$A60,attestations!$I$2:$I$2000,"Georeferenced map GCP")&gt;0,"Y","N"))</f>
        <v>Y</v>
      </c>
      <c r="V60" t="s">
        <v>210</v>
      </c>
      <c r="W60" t="s">
        <v>228</v>
      </c>
      <c r="X60" t="s">
        <v>474</v>
      </c>
      <c r="Y60" t="s">
        <v>212</v>
      </c>
    </row>
    <row r="61" spans="1:27" x14ac:dyDescent="0.2">
      <c r="A61" t="s">
        <v>475</v>
      </c>
      <c r="B61" t="s">
        <v>476</v>
      </c>
      <c r="C61" t="s">
        <v>477</v>
      </c>
      <c r="D61" t="s">
        <v>201</v>
      </c>
      <c r="E61" t="s">
        <v>326</v>
      </c>
      <c r="F61" t="s">
        <v>319</v>
      </c>
      <c r="G61" t="s">
        <v>333</v>
      </c>
      <c r="H61" t="s">
        <v>242</v>
      </c>
      <c r="I61" t="s">
        <v>420</v>
      </c>
      <c r="K61" t="s">
        <v>208</v>
      </c>
      <c r="L61" t="s">
        <v>228</v>
      </c>
      <c r="M61" t="str">
        <f t="shared" si="0"/>
        <v>Point + buffer</v>
      </c>
      <c r="N61">
        <v>150</v>
      </c>
      <c r="O61">
        <f>IF($A61="","",COUNTIF(attestations!$B$2:$B$2000,$A61))</f>
        <v>11</v>
      </c>
      <c r="P61">
        <f>IF($A61="","",COUNTIFS(attestations!$B$2:$B$2000,$A61,attestations!$R$2:$R$2000,"Map"))</f>
        <v>0</v>
      </c>
      <c r="Q61">
        <f>IF($A61="","",COUNTIFS(attestations!$B$2:$B$2000,$A61,attestations!$R$2:$R$2000,"Image"))</f>
        <v>1</v>
      </c>
      <c r="R61">
        <f>IF($A61="","",COUNTIFS(attestations!$B$2:$B$2000,$A61,attestations!$R$2:$R$2000,"Textual"))</f>
        <v>2</v>
      </c>
      <c r="S61">
        <f>IF($A61="","",COUNTIFS(attestations!$B$2:$B$2000,$A61,attestations!$D$2:$D$2000,"Geometry (Setting)"))</f>
        <v>1</v>
      </c>
      <c r="T61" t="str">
        <f t="shared" si="1"/>
        <v>High</v>
      </c>
      <c r="U61" t="str">
        <f>IF($A61="","",IF(COUNTIFS(attestations!$B$2:$B$2000,$A61,attestations!$I$2:$I$2000,"Georeferenced map GCP")&gt;0,"Y","N"))</f>
        <v>Y</v>
      </c>
      <c r="V61" t="s">
        <v>210</v>
      </c>
      <c r="W61" t="s">
        <v>228</v>
      </c>
      <c r="X61" t="s">
        <v>478</v>
      </c>
      <c r="Y61" t="s">
        <v>212</v>
      </c>
      <c r="AA61" t="s">
        <v>479</v>
      </c>
    </row>
    <row r="62" spans="1:27" x14ac:dyDescent="0.2">
      <c r="A62" t="s">
        <v>480</v>
      </c>
      <c r="B62" t="s">
        <v>481</v>
      </c>
      <c r="D62" t="s">
        <v>215</v>
      </c>
      <c r="E62" t="s">
        <v>255</v>
      </c>
      <c r="F62" t="s">
        <v>319</v>
      </c>
      <c r="G62" t="s">
        <v>339</v>
      </c>
      <c r="H62" t="s">
        <v>309</v>
      </c>
      <c r="I62" t="s">
        <v>482</v>
      </c>
      <c r="K62" t="s">
        <v>208</v>
      </c>
      <c r="L62" t="s">
        <v>228</v>
      </c>
      <c r="M62" t="str">
        <f t="shared" si="0"/>
        <v>Point + buffer</v>
      </c>
      <c r="N62">
        <v>250</v>
      </c>
      <c r="O62">
        <f>IF($A62="","",COUNTIF(attestations!$B$2:$B$2000,$A62))</f>
        <v>8</v>
      </c>
      <c r="P62">
        <f>IF($A62="","",COUNTIFS(attestations!$B$2:$B$2000,$A62,attestations!$R$2:$R$2000,"Map"))</f>
        <v>0</v>
      </c>
      <c r="Q62">
        <f>IF($A62="","",COUNTIFS(attestations!$B$2:$B$2000,$A62,attestations!$R$2:$R$2000,"Image"))</f>
        <v>1</v>
      </c>
      <c r="R62">
        <f>IF($A62="","",COUNTIFS(attestations!$B$2:$B$2000,$A62,attestations!$R$2:$R$2000,"Textual"))</f>
        <v>3</v>
      </c>
      <c r="S62">
        <f>IF($A62="","",COUNTIFS(attestations!$B$2:$B$2000,$A62,attestations!$D$2:$D$2000,"Geometry (Setting)"))</f>
        <v>1</v>
      </c>
      <c r="T62" t="str">
        <f t="shared" si="1"/>
        <v>High</v>
      </c>
      <c r="U62" t="str">
        <f>IF($A62="","",IF(COUNTIFS(attestations!$B$2:$B$2000,$A62,attestations!$I$2:$I$2000,"Georeferenced map GCP")&gt;0,"Y","N"))</f>
        <v>Y</v>
      </c>
      <c r="V62" t="s">
        <v>210</v>
      </c>
      <c r="W62" t="s">
        <v>222</v>
      </c>
      <c r="X62" t="s">
        <v>483</v>
      </c>
      <c r="Y62" t="s">
        <v>212</v>
      </c>
    </row>
    <row r="63" spans="1:27" x14ac:dyDescent="0.2">
      <c r="A63" t="s">
        <v>484</v>
      </c>
      <c r="B63" t="s">
        <v>485</v>
      </c>
      <c r="D63" t="s">
        <v>215</v>
      </c>
      <c r="E63" t="s">
        <v>255</v>
      </c>
      <c r="F63" t="s">
        <v>319</v>
      </c>
      <c r="G63" t="s">
        <v>257</v>
      </c>
      <c r="H63" t="s">
        <v>242</v>
      </c>
      <c r="I63" t="s">
        <v>428</v>
      </c>
      <c r="K63" t="s">
        <v>227</v>
      </c>
      <c r="L63" t="s">
        <v>209</v>
      </c>
      <c r="M63" t="str">
        <f t="shared" si="0"/>
        <v>Translucent area</v>
      </c>
      <c r="N63">
        <v>400</v>
      </c>
      <c r="O63">
        <f>IF($A63="","",COUNTIF(attestations!$B$2:$B$2000,$A63))</f>
        <v>12</v>
      </c>
      <c r="P63">
        <f>IF($A63="","",COUNTIFS(attestations!$B$2:$B$2000,$A63,attestations!$R$2:$R$2000,"Map"))</f>
        <v>1</v>
      </c>
      <c r="Q63">
        <f>IF($A63="","",COUNTIFS(attestations!$B$2:$B$2000,$A63,attestations!$R$2:$R$2000,"Image"))</f>
        <v>1</v>
      </c>
      <c r="R63">
        <f>IF($A63="","",COUNTIFS(attestations!$B$2:$B$2000,$A63,attestations!$R$2:$R$2000,"Textual"))</f>
        <v>3</v>
      </c>
      <c r="S63">
        <f>IF($A63="","",COUNTIFS(attestations!$B$2:$B$2000,$A63,attestations!$D$2:$D$2000,"Geometry (Setting)"))</f>
        <v>2</v>
      </c>
      <c r="T63" t="str">
        <f t="shared" si="1"/>
        <v>High</v>
      </c>
      <c r="U63" t="str">
        <f>IF($A63="","",IF(COUNTIFS(attestations!$B$2:$B$2000,$A63,attestations!$I$2:$I$2000,"Georeferenced map GCP")&gt;0,"Y","N"))</f>
        <v>Y</v>
      </c>
      <c r="V63" t="s">
        <v>210</v>
      </c>
      <c r="W63" t="s">
        <v>228</v>
      </c>
      <c r="X63" t="s">
        <v>486</v>
      </c>
      <c r="Y63" t="s">
        <v>212</v>
      </c>
    </row>
    <row r="64" spans="1:27" x14ac:dyDescent="0.2">
      <c r="A64" t="s">
        <v>487</v>
      </c>
      <c r="B64" t="s">
        <v>488</v>
      </c>
      <c r="D64" t="s">
        <v>275</v>
      </c>
      <c r="E64" t="s">
        <v>255</v>
      </c>
      <c r="F64" t="s">
        <v>319</v>
      </c>
      <c r="G64" t="s">
        <v>257</v>
      </c>
      <c r="H64" t="s">
        <v>309</v>
      </c>
      <c r="I64" t="s">
        <v>489</v>
      </c>
      <c r="K64" t="s">
        <v>208</v>
      </c>
      <c r="L64" t="s">
        <v>209</v>
      </c>
      <c r="M64" t="str">
        <f t="shared" si="0"/>
        <v>Translucent area</v>
      </c>
      <c r="N64">
        <v>400</v>
      </c>
      <c r="O64">
        <f>IF($A64="","",COUNTIF(attestations!$B$2:$B$2000,$A64))</f>
        <v>12</v>
      </c>
      <c r="P64">
        <f>IF($A64="","",COUNTIFS(attestations!$B$2:$B$2000,$A64,attestations!$R$2:$R$2000,"Map"))</f>
        <v>2</v>
      </c>
      <c r="Q64">
        <f>IF($A64="","",COUNTIFS(attestations!$B$2:$B$2000,$A64,attestations!$R$2:$R$2000,"Image"))</f>
        <v>1</v>
      </c>
      <c r="R64">
        <f>IF($A64="","",COUNTIFS(attestations!$B$2:$B$2000,$A64,attestations!$R$2:$R$2000,"Textual"))</f>
        <v>3</v>
      </c>
      <c r="S64">
        <f>IF($A64="","",COUNTIFS(attestations!$B$2:$B$2000,$A64,attestations!$D$2:$D$2000,"Geometry (Setting)"))</f>
        <v>3</v>
      </c>
      <c r="T64" t="str">
        <f t="shared" si="1"/>
        <v>High</v>
      </c>
      <c r="U64" t="str">
        <f>IF($A64="","",IF(COUNTIFS(attestations!$B$2:$B$2000,$A64,attestations!$I$2:$I$2000,"Georeferenced map GCP")&gt;0,"Y","N"))</f>
        <v>Y</v>
      </c>
      <c r="V64" t="s">
        <v>210</v>
      </c>
      <c r="W64" t="s">
        <v>228</v>
      </c>
      <c r="X64" t="s">
        <v>490</v>
      </c>
      <c r="Y64" t="s">
        <v>212</v>
      </c>
    </row>
    <row r="65" spans="1:27" x14ac:dyDescent="0.2">
      <c r="A65" t="s">
        <v>491</v>
      </c>
      <c r="B65" t="s">
        <v>492</v>
      </c>
      <c r="D65" t="s">
        <v>201</v>
      </c>
      <c r="E65" t="s">
        <v>227</v>
      </c>
      <c r="F65" t="s">
        <v>227</v>
      </c>
      <c r="G65" t="s">
        <v>333</v>
      </c>
      <c r="H65" t="s">
        <v>205</v>
      </c>
      <c r="K65" t="s">
        <v>227</v>
      </c>
      <c r="L65" t="s">
        <v>227</v>
      </c>
      <c r="M65" t="str">
        <f t="shared" si="0"/>
        <v>Unplotted (unlocated panel)</v>
      </c>
      <c r="O65">
        <f>IF($A65="","",COUNTIF(attestations!$B$2:$B$2000,$A65))</f>
        <v>13</v>
      </c>
      <c r="P65">
        <f>IF($A65="","",COUNTIFS(attestations!$B$2:$B$2000,$A65,attestations!$R$2:$R$2000,"Map"))</f>
        <v>0</v>
      </c>
      <c r="Q65">
        <f>IF($A65="","",COUNTIFS(attestations!$B$2:$B$2000,$A65,attestations!$R$2:$R$2000,"Image"))</f>
        <v>0</v>
      </c>
      <c r="R65">
        <f>IF($A65="","",COUNTIFS(attestations!$B$2:$B$2000,$A65,attestations!$R$2:$R$2000,"Textual"))</f>
        <v>3</v>
      </c>
      <c r="S65">
        <f>IF($A65="","",COUNTIFS(attestations!$B$2:$B$2000,$A65,attestations!$D$2:$D$2000,"Geometry (Setting)"))</f>
        <v>1</v>
      </c>
      <c r="T65" t="str">
        <f t="shared" si="1"/>
        <v>High</v>
      </c>
      <c r="U65" t="str">
        <f>IF($A65="","",IF(COUNTIFS(attestations!$B$2:$B$2000,$A65,attestations!$I$2:$I$2000,"Georeferenced map GCP")&gt;0,"Y","N"))</f>
        <v>Y</v>
      </c>
      <c r="V65" t="s">
        <v>210</v>
      </c>
      <c r="X65" t="s">
        <v>493</v>
      </c>
      <c r="Y65" t="s">
        <v>212</v>
      </c>
    </row>
    <row r="66" spans="1:27" x14ac:dyDescent="0.2">
      <c r="A66" t="s">
        <v>494</v>
      </c>
      <c r="B66" t="s">
        <v>495</v>
      </c>
      <c r="C66" t="s">
        <v>496</v>
      </c>
      <c r="D66" t="s">
        <v>215</v>
      </c>
      <c r="E66" t="s">
        <v>255</v>
      </c>
      <c r="F66" t="s">
        <v>319</v>
      </c>
      <c r="G66" t="s">
        <v>204</v>
      </c>
      <c r="H66" t="s">
        <v>242</v>
      </c>
      <c r="I66" t="s">
        <v>489</v>
      </c>
      <c r="J66" t="s">
        <v>497</v>
      </c>
      <c r="K66" t="s">
        <v>208</v>
      </c>
      <c r="L66" t="s">
        <v>228</v>
      </c>
      <c r="M66" t="str">
        <f t="shared" ref="M66:M129" si="2">IF($A66="","",IF($L66="High","Solid point",IF($L66="Medium","Point + buffer",IF($L66="Low","Translucent area",IF($L66="Disputed","Candidate points",IF($L66="Unknown","Unplotted (unlocated panel)","-"))))))</f>
        <v>Point + buffer</v>
      </c>
      <c r="N66">
        <v>250</v>
      </c>
      <c r="O66">
        <f>IF($A66="","",COUNTIF(attestations!$B$2:$B$2000,$A66))</f>
        <v>7</v>
      </c>
      <c r="P66">
        <f>IF($A66="","",COUNTIFS(attestations!$B$2:$B$2000,$A66,attestations!$R$2:$R$2000,"Map"))</f>
        <v>0</v>
      </c>
      <c r="Q66">
        <f>IF($A66="","",COUNTIFS(attestations!$B$2:$B$2000,$A66,attestations!$R$2:$R$2000,"Image"))</f>
        <v>0</v>
      </c>
      <c r="R66">
        <f>IF($A66="","",COUNTIFS(attestations!$B$2:$B$2000,$A66,attestations!$R$2:$R$2000,"Textual"))</f>
        <v>2</v>
      </c>
      <c r="S66">
        <f>IF($A66="","",COUNTIFS(attestations!$B$2:$B$2000,$A66,attestations!$D$2:$D$2000,"Geometry (Setting)"))</f>
        <v>2</v>
      </c>
      <c r="T66" t="str">
        <f t="shared" ref="T66:T129" si="3">IF($A66="","",IF($O66&gt;=6,"High",IF($O66&gt;=3,"Medium",IF($O66&gt;=1,"Low","None"))))</f>
        <v>High</v>
      </c>
      <c r="U66" t="str">
        <f>IF($A66="","",IF(COUNTIFS(attestations!$B$2:$B$2000,$A66,attestations!$I$2:$I$2000,"Georeferenced map GCP")&gt;0,"Y","N"))</f>
        <v>Y</v>
      </c>
      <c r="V66" t="s">
        <v>210</v>
      </c>
      <c r="W66" t="s">
        <v>222</v>
      </c>
      <c r="X66" t="s">
        <v>498</v>
      </c>
      <c r="Y66" t="s">
        <v>212</v>
      </c>
    </row>
    <row r="67" spans="1:27" x14ac:dyDescent="0.2">
      <c r="A67" t="s">
        <v>499</v>
      </c>
      <c r="B67" t="s">
        <v>500</v>
      </c>
      <c r="D67" t="s">
        <v>215</v>
      </c>
      <c r="E67" t="s">
        <v>202</v>
      </c>
      <c r="F67" t="s">
        <v>203</v>
      </c>
      <c r="G67" t="s">
        <v>204</v>
      </c>
      <c r="H67" t="s">
        <v>205</v>
      </c>
      <c r="J67" t="s">
        <v>501</v>
      </c>
      <c r="K67" t="s">
        <v>208</v>
      </c>
      <c r="L67" t="s">
        <v>227</v>
      </c>
      <c r="M67" t="str">
        <f t="shared" si="2"/>
        <v>Unplotted (unlocated panel)</v>
      </c>
      <c r="O67">
        <f>IF($A67="","",COUNTIF(attestations!$B$2:$B$2000,$A67))</f>
        <v>13</v>
      </c>
      <c r="P67">
        <f>IF($A67="","",COUNTIFS(attestations!$B$2:$B$2000,$A67,attestations!$R$2:$R$2000,"Map"))</f>
        <v>1</v>
      </c>
      <c r="Q67">
        <f>IF($A67="","",COUNTIFS(attestations!$B$2:$B$2000,$A67,attestations!$R$2:$R$2000,"Image"))</f>
        <v>1</v>
      </c>
      <c r="R67">
        <f>IF($A67="","",COUNTIFS(attestations!$B$2:$B$2000,$A67,attestations!$R$2:$R$2000,"Textual"))</f>
        <v>2</v>
      </c>
      <c r="S67">
        <f>IF($A67="","",COUNTIFS(attestations!$B$2:$B$2000,$A67,attestations!$D$2:$D$2000,"Geometry (Setting)"))</f>
        <v>0</v>
      </c>
      <c r="T67" t="str">
        <f t="shared" si="3"/>
        <v>High</v>
      </c>
      <c r="U67" t="str">
        <f>IF($A67="","",IF(COUNTIFS(attestations!$B$2:$B$2000,$A67,attestations!$I$2:$I$2000,"Georeferenced map GCP")&gt;0,"Y","N"))</f>
        <v>N</v>
      </c>
      <c r="V67" t="s">
        <v>210</v>
      </c>
      <c r="W67" t="s">
        <v>222</v>
      </c>
      <c r="X67" t="s">
        <v>502</v>
      </c>
      <c r="Y67" t="s">
        <v>212</v>
      </c>
    </row>
    <row r="68" spans="1:27" x14ac:dyDescent="0.2">
      <c r="A68" t="s">
        <v>503</v>
      </c>
      <c r="B68" t="s">
        <v>504</v>
      </c>
      <c r="D68" t="s">
        <v>215</v>
      </c>
      <c r="E68" t="s">
        <v>255</v>
      </c>
      <c r="F68" t="s">
        <v>319</v>
      </c>
      <c r="G68" t="s">
        <v>204</v>
      </c>
      <c r="H68" t="s">
        <v>205</v>
      </c>
      <c r="K68" t="s">
        <v>227</v>
      </c>
      <c r="L68" t="s">
        <v>227</v>
      </c>
      <c r="M68" t="str">
        <f t="shared" si="2"/>
        <v>Unplotted (unlocated panel)</v>
      </c>
      <c r="O68">
        <f>IF($A68="","",COUNTIF(attestations!$B$2:$B$2000,$A68))</f>
        <v>15</v>
      </c>
      <c r="P68">
        <f>IF($A68="","",COUNTIFS(attestations!$B$2:$B$2000,$A68,attestations!$R$2:$R$2000,"Map"))</f>
        <v>1</v>
      </c>
      <c r="Q68">
        <f>IF($A68="","",COUNTIFS(attestations!$B$2:$B$2000,$A68,attestations!$R$2:$R$2000,"Image"))</f>
        <v>0</v>
      </c>
      <c r="R68">
        <f>IF($A68="","",COUNTIFS(attestations!$B$2:$B$2000,$A68,attestations!$R$2:$R$2000,"Textual"))</f>
        <v>2</v>
      </c>
      <c r="S68">
        <f>IF($A68="","",COUNTIFS(attestations!$B$2:$B$2000,$A68,attestations!$D$2:$D$2000,"Geometry (Setting)"))</f>
        <v>1</v>
      </c>
      <c r="T68" t="str">
        <f t="shared" si="3"/>
        <v>High</v>
      </c>
      <c r="U68" t="str">
        <f>IF($A68="","",IF(COUNTIFS(attestations!$B$2:$B$2000,$A68,attestations!$I$2:$I$2000,"Georeferenced map GCP")&gt;0,"Y","N"))</f>
        <v>Y</v>
      </c>
      <c r="V68" t="s">
        <v>210</v>
      </c>
      <c r="W68" t="s">
        <v>222</v>
      </c>
      <c r="X68" t="s">
        <v>505</v>
      </c>
      <c r="Y68" t="s">
        <v>212</v>
      </c>
    </row>
    <row r="69" spans="1:27" x14ac:dyDescent="0.2">
      <c r="A69" t="s">
        <v>506</v>
      </c>
      <c r="B69" t="s">
        <v>507</v>
      </c>
      <c r="D69" t="s">
        <v>226</v>
      </c>
      <c r="E69" t="s">
        <v>227</v>
      </c>
      <c r="F69" t="s">
        <v>227</v>
      </c>
      <c r="G69" t="s">
        <v>257</v>
      </c>
      <c r="H69" t="s">
        <v>242</v>
      </c>
      <c r="I69" t="s">
        <v>258</v>
      </c>
      <c r="K69" t="s">
        <v>227</v>
      </c>
      <c r="L69" t="s">
        <v>209</v>
      </c>
      <c r="M69" t="str">
        <f t="shared" si="2"/>
        <v>Translucent area</v>
      </c>
      <c r="N69">
        <v>400</v>
      </c>
      <c r="O69">
        <f>IF($A69="","",COUNTIF(attestations!$B$2:$B$2000,$A69))</f>
        <v>11</v>
      </c>
      <c r="P69">
        <f>IF($A69="","",COUNTIFS(attestations!$B$2:$B$2000,$A69,attestations!$R$2:$R$2000,"Map"))</f>
        <v>0</v>
      </c>
      <c r="Q69">
        <f>IF($A69="","",COUNTIFS(attestations!$B$2:$B$2000,$A69,attestations!$R$2:$R$2000,"Image"))</f>
        <v>0</v>
      </c>
      <c r="R69">
        <f>IF($A69="","",COUNTIFS(attestations!$B$2:$B$2000,$A69,attestations!$R$2:$R$2000,"Textual"))</f>
        <v>2</v>
      </c>
      <c r="S69">
        <f>IF($A69="","",COUNTIFS(attestations!$B$2:$B$2000,$A69,attestations!$D$2:$D$2000,"Geometry (Setting)"))</f>
        <v>3</v>
      </c>
      <c r="T69" t="str">
        <f t="shared" si="3"/>
        <v>High</v>
      </c>
      <c r="U69" t="str">
        <f>IF($A69="","",IF(COUNTIFS(attestations!$B$2:$B$2000,$A69,attestations!$I$2:$I$2000,"Georeferenced map GCP")&gt;0,"Y","N"))</f>
        <v>Y</v>
      </c>
      <c r="V69" t="s">
        <v>210</v>
      </c>
      <c r="W69" t="s">
        <v>228</v>
      </c>
      <c r="X69" t="s">
        <v>508</v>
      </c>
      <c r="Y69" t="s">
        <v>212</v>
      </c>
    </row>
    <row r="70" spans="1:27" x14ac:dyDescent="0.2">
      <c r="A70" t="s">
        <v>509</v>
      </c>
      <c r="B70" t="s">
        <v>510</v>
      </c>
      <c r="C70" t="s">
        <v>511</v>
      </c>
      <c r="D70" t="s">
        <v>226</v>
      </c>
      <c r="E70" t="s">
        <v>227</v>
      </c>
      <c r="F70" t="s">
        <v>227</v>
      </c>
      <c r="G70" t="s">
        <v>257</v>
      </c>
      <c r="H70" t="s">
        <v>242</v>
      </c>
      <c r="I70" t="s">
        <v>512</v>
      </c>
      <c r="K70" t="s">
        <v>227</v>
      </c>
      <c r="L70" t="s">
        <v>228</v>
      </c>
      <c r="M70" t="str">
        <f t="shared" si="2"/>
        <v>Point + buffer</v>
      </c>
      <c r="N70">
        <v>300</v>
      </c>
      <c r="O70">
        <f>IF($A70="","",COUNTIF(attestations!$B$2:$B$2000,$A70))</f>
        <v>19</v>
      </c>
      <c r="P70">
        <f>IF($A70="","",COUNTIFS(attestations!$B$2:$B$2000,$A70,attestations!$R$2:$R$2000,"Map"))</f>
        <v>1</v>
      </c>
      <c r="Q70">
        <f>IF($A70="","",COUNTIFS(attestations!$B$2:$B$2000,$A70,attestations!$R$2:$R$2000,"Image"))</f>
        <v>0</v>
      </c>
      <c r="R70">
        <f>IF($A70="","",COUNTIFS(attestations!$B$2:$B$2000,$A70,attestations!$R$2:$R$2000,"Textual"))</f>
        <v>2</v>
      </c>
      <c r="S70">
        <f>IF($A70="","",COUNTIFS(attestations!$B$2:$B$2000,$A70,attestations!$D$2:$D$2000,"Geometry (Setting)"))</f>
        <v>5</v>
      </c>
      <c r="T70" t="str">
        <f t="shared" si="3"/>
        <v>High</v>
      </c>
      <c r="U70" t="str">
        <f>IF($A70="","",IF(COUNTIFS(attestations!$B$2:$B$2000,$A70,attestations!$I$2:$I$2000,"Georeferenced map GCP")&gt;0,"Y","N"))</f>
        <v>Y</v>
      </c>
      <c r="V70" t="s">
        <v>210</v>
      </c>
      <c r="W70" t="s">
        <v>228</v>
      </c>
      <c r="X70" t="s">
        <v>513</v>
      </c>
      <c r="Y70" t="s">
        <v>212</v>
      </c>
    </row>
    <row r="71" spans="1:27" x14ac:dyDescent="0.2">
      <c r="A71" t="s">
        <v>514</v>
      </c>
      <c r="B71" t="s">
        <v>515</v>
      </c>
      <c r="D71" t="s">
        <v>226</v>
      </c>
      <c r="E71" t="s">
        <v>202</v>
      </c>
      <c r="F71" t="s">
        <v>203</v>
      </c>
      <c r="G71" t="s">
        <v>204</v>
      </c>
      <c r="H71" t="s">
        <v>205</v>
      </c>
      <c r="I71" t="s">
        <v>216</v>
      </c>
      <c r="J71" t="s">
        <v>207</v>
      </c>
      <c r="K71" t="s">
        <v>208</v>
      </c>
      <c r="L71" t="s">
        <v>227</v>
      </c>
      <c r="M71" t="str">
        <f t="shared" si="2"/>
        <v>Unplotted (unlocated panel)</v>
      </c>
      <c r="O71">
        <f>IF($A71="","",COUNTIF(attestations!$B$2:$B$2000,$A71))</f>
        <v>18</v>
      </c>
      <c r="P71">
        <f>IF($A71="","",COUNTIFS(attestations!$B$2:$B$2000,$A71,attestations!$R$2:$R$2000,"Map"))</f>
        <v>1</v>
      </c>
      <c r="Q71">
        <f>IF($A71="","",COUNTIFS(attestations!$B$2:$B$2000,$A71,attestations!$R$2:$R$2000,"Image"))</f>
        <v>0</v>
      </c>
      <c r="R71">
        <f>IF($A71="","",COUNTIFS(attestations!$B$2:$B$2000,$A71,attestations!$R$2:$R$2000,"Textual"))</f>
        <v>2</v>
      </c>
      <c r="S71">
        <f>IF($A71="","",COUNTIFS(attestations!$B$2:$B$2000,$A71,attestations!$D$2:$D$2000,"Geometry (Setting)"))</f>
        <v>2</v>
      </c>
      <c r="T71" t="str">
        <f t="shared" si="3"/>
        <v>High</v>
      </c>
      <c r="U71" t="str">
        <f>IF($A71="","",IF(COUNTIFS(attestations!$B$2:$B$2000,$A71,attestations!$I$2:$I$2000,"Georeferenced map GCP")&gt;0,"Y","N"))</f>
        <v>Y</v>
      </c>
      <c r="V71" t="s">
        <v>210</v>
      </c>
      <c r="W71" t="s">
        <v>222</v>
      </c>
      <c r="X71" t="s">
        <v>516</v>
      </c>
      <c r="Y71" t="s">
        <v>212</v>
      </c>
    </row>
    <row r="72" spans="1:27" x14ac:dyDescent="0.2">
      <c r="A72" t="s">
        <v>517</v>
      </c>
      <c r="B72" t="s">
        <v>518</v>
      </c>
      <c r="C72" t="s">
        <v>519</v>
      </c>
      <c r="D72" t="s">
        <v>226</v>
      </c>
      <c r="E72" t="s">
        <v>202</v>
      </c>
      <c r="F72" t="s">
        <v>203</v>
      </c>
      <c r="G72" t="s">
        <v>204</v>
      </c>
      <c r="H72" t="s">
        <v>205</v>
      </c>
      <c r="I72" t="s">
        <v>520</v>
      </c>
      <c r="J72" t="s">
        <v>207</v>
      </c>
      <c r="K72" t="s">
        <v>208</v>
      </c>
      <c r="L72" t="s">
        <v>228</v>
      </c>
      <c r="M72" t="str">
        <f t="shared" si="2"/>
        <v>Point + buffer</v>
      </c>
      <c r="N72">
        <v>300</v>
      </c>
      <c r="O72">
        <f>IF($A72="","",COUNTIF(attestations!$B$2:$B$2000,$A72))</f>
        <v>16</v>
      </c>
      <c r="P72">
        <f>IF($A72="","",COUNTIFS(attestations!$B$2:$B$2000,$A72,attestations!$R$2:$R$2000,"Map"))</f>
        <v>1</v>
      </c>
      <c r="Q72">
        <f>IF($A72="","",COUNTIFS(attestations!$B$2:$B$2000,$A72,attestations!$R$2:$R$2000,"Image"))</f>
        <v>0</v>
      </c>
      <c r="R72">
        <f>IF($A72="","",COUNTIFS(attestations!$B$2:$B$2000,$A72,attestations!$R$2:$R$2000,"Textual"))</f>
        <v>2</v>
      </c>
      <c r="S72">
        <f>IF($A72="","",COUNTIFS(attestations!$B$2:$B$2000,$A72,attestations!$D$2:$D$2000,"Geometry (Setting)"))</f>
        <v>4</v>
      </c>
      <c r="T72" t="str">
        <f t="shared" si="3"/>
        <v>High</v>
      </c>
      <c r="U72" t="str">
        <f>IF($A72="","",IF(COUNTIFS(attestations!$B$2:$B$2000,$A72,attestations!$I$2:$I$2000,"Georeferenced map GCP")&gt;0,"Y","N"))</f>
        <v>Y</v>
      </c>
      <c r="V72" t="s">
        <v>210</v>
      </c>
      <c r="W72" t="s">
        <v>222</v>
      </c>
      <c r="X72" t="s">
        <v>521</v>
      </c>
      <c r="Y72" t="s">
        <v>212</v>
      </c>
    </row>
    <row r="73" spans="1:27" x14ac:dyDescent="0.2">
      <c r="A73" t="s">
        <v>522</v>
      </c>
      <c r="B73" t="s">
        <v>523</v>
      </c>
      <c r="C73" t="s">
        <v>524</v>
      </c>
      <c r="D73" t="s">
        <v>226</v>
      </c>
      <c r="E73" t="s">
        <v>227</v>
      </c>
      <c r="F73" t="s">
        <v>227</v>
      </c>
      <c r="G73" t="s">
        <v>257</v>
      </c>
      <c r="H73" t="s">
        <v>242</v>
      </c>
      <c r="K73" t="s">
        <v>227</v>
      </c>
      <c r="L73" t="s">
        <v>228</v>
      </c>
      <c r="M73" t="str">
        <f t="shared" si="2"/>
        <v>Point + buffer</v>
      </c>
      <c r="N73">
        <v>300</v>
      </c>
      <c r="O73">
        <f>IF($A73="","",COUNTIF(attestations!$B$2:$B$2000,$A73))</f>
        <v>18</v>
      </c>
      <c r="P73">
        <f>IF($A73="","",COUNTIFS(attestations!$B$2:$B$2000,$A73,attestations!$R$2:$R$2000,"Map"))</f>
        <v>1</v>
      </c>
      <c r="Q73">
        <f>IF($A73="","",COUNTIFS(attestations!$B$2:$B$2000,$A73,attestations!$R$2:$R$2000,"Image"))</f>
        <v>0</v>
      </c>
      <c r="R73">
        <f>IF($A73="","",COUNTIFS(attestations!$B$2:$B$2000,$A73,attestations!$R$2:$R$2000,"Textual"))</f>
        <v>2</v>
      </c>
      <c r="S73">
        <f>IF($A73="","",COUNTIFS(attestations!$B$2:$B$2000,$A73,attestations!$D$2:$D$2000,"Geometry (Setting)"))</f>
        <v>4</v>
      </c>
      <c r="T73" t="str">
        <f t="shared" si="3"/>
        <v>High</v>
      </c>
      <c r="U73" t="str">
        <f>IF($A73="","",IF(COUNTIFS(attestations!$B$2:$B$2000,$A73,attestations!$I$2:$I$2000,"Georeferenced map GCP")&gt;0,"Y","N"))</f>
        <v>Y</v>
      </c>
      <c r="V73" t="s">
        <v>210</v>
      </c>
      <c r="W73" t="s">
        <v>228</v>
      </c>
      <c r="X73" t="s">
        <v>525</v>
      </c>
      <c r="Y73" t="s">
        <v>212</v>
      </c>
    </row>
    <row r="74" spans="1:27" x14ac:dyDescent="0.2">
      <c r="A74" t="s">
        <v>526</v>
      </c>
      <c r="B74" t="s">
        <v>527</v>
      </c>
      <c r="D74" t="s">
        <v>226</v>
      </c>
      <c r="E74" t="s">
        <v>227</v>
      </c>
      <c r="F74" t="s">
        <v>227</v>
      </c>
      <c r="G74" t="s">
        <v>319</v>
      </c>
      <c r="H74" t="s">
        <v>205</v>
      </c>
      <c r="K74" t="s">
        <v>227</v>
      </c>
      <c r="L74" t="s">
        <v>227</v>
      </c>
      <c r="M74" t="str">
        <f t="shared" si="2"/>
        <v>Unplotted (unlocated panel)</v>
      </c>
      <c r="O74">
        <f>IF($A74="","",COUNTIF(attestations!$B$2:$B$2000,$A74))</f>
        <v>15</v>
      </c>
      <c r="P74">
        <f>IF($A74="","",COUNTIFS(attestations!$B$2:$B$2000,$A74,attestations!$R$2:$R$2000,"Map"))</f>
        <v>1</v>
      </c>
      <c r="Q74">
        <f>IF($A74="","",COUNTIFS(attestations!$B$2:$B$2000,$A74,attestations!$R$2:$R$2000,"Image"))</f>
        <v>0</v>
      </c>
      <c r="R74">
        <f>IF($A74="","",COUNTIFS(attestations!$B$2:$B$2000,$A74,attestations!$R$2:$R$2000,"Textual"))</f>
        <v>2</v>
      </c>
      <c r="S74">
        <f>IF($A74="","",COUNTIFS(attestations!$B$2:$B$2000,$A74,attestations!$D$2:$D$2000,"Geometry (Setting)"))</f>
        <v>2</v>
      </c>
      <c r="T74" t="str">
        <f t="shared" si="3"/>
        <v>High</v>
      </c>
      <c r="U74" t="str">
        <f>IF($A74="","",IF(COUNTIFS(attestations!$B$2:$B$2000,$A74,attestations!$I$2:$I$2000,"Georeferenced map GCP")&gt;0,"Y","N"))</f>
        <v>Y</v>
      </c>
      <c r="V74" t="s">
        <v>210</v>
      </c>
      <c r="W74" t="s">
        <v>228</v>
      </c>
      <c r="X74" t="s">
        <v>528</v>
      </c>
      <c r="Y74" t="s">
        <v>212</v>
      </c>
    </row>
    <row r="75" spans="1:27" x14ac:dyDescent="0.2">
      <c r="A75" t="s">
        <v>529</v>
      </c>
      <c r="B75" t="s">
        <v>530</v>
      </c>
      <c r="D75" t="s">
        <v>215</v>
      </c>
      <c r="E75" t="s">
        <v>326</v>
      </c>
      <c r="F75" t="s">
        <v>319</v>
      </c>
      <c r="G75" t="s">
        <v>333</v>
      </c>
      <c r="H75" t="s">
        <v>242</v>
      </c>
      <c r="I75" t="s">
        <v>531</v>
      </c>
      <c r="K75" t="s">
        <v>208</v>
      </c>
      <c r="L75" t="s">
        <v>209</v>
      </c>
      <c r="M75" t="str">
        <f t="shared" si="2"/>
        <v>Translucent area</v>
      </c>
      <c r="N75">
        <v>400</v>
      </c>
      <c r="O75">
        <f>IF($A75="","",COUNTIF(attestations!$B$2:$B$2000,$A75))</f>
        <v>16</v>
      </c>
      <c r="P75">
        <f>IF($A75="","",COUNTIFS(attestations!$B$2:$B$2000,$A75,attestations!$R$2:$R$2000,"Map"))</f>
        <v>1</v>
      </c>
      <c r="Q75">
        <f>IF($A75="","",COUNTIFS(attestations!$B$2:$B$2000,$A75,attestations!$R$2:$R$2000,"Image"))</f>
        <v>0</v>
      </c>
      <c r="R75">
        <f>IF($A75="","",COUNTIFS(attestations!$B$2:$B$2000,$A75,attestations!$R$2:$R$2000,"Textual"))</f>
        <v>2</v>
      </c>
      <c r="S75">
        <f>IF($A75="","",COUNTIFS(attestations!$B$2:$B$2000,$A75,attestations!$D$2:$D$2000,"Geometry (Setting)"))</f>
        <v>1</v>
      </c>
      <c r="T75" t="str">
        <f t="shared" si="3"/>
        <v>High</v>
      </c>
      <c r="U75" t="str">
        <f>IF($A75="","",IF(COUNTIFS(attestations!$B$2:$B$2000,$A75,attestations!$I$2:$I$2000,"Georeferenced map GCP")&gt;0,"Y","N"))</f>
        <v>Y</v>
      </c>
      <c r="V75" t="s">
        <v>210</v>
      </c>
      <c r="W75" t="s">
        <v>228</v>
      </c>
      <c r="X75" t="s">
        <v>532</v>
      </c>
      <c r="Y75" t="s">
        <v>212</v>
      </c>
      <c r="AA75" t="s">
        <v>533</v>
      </c>
    </row>
    <row r="76" spans="1:27" x14ac:dyDescent="0.2">
      <c r="A76" t="s">
        <v>534</v>
      </c>
      <c r="B76" t="s">
        <v>535</v>
      </c>
      <c r="D76" t="s">
        <v>212</v>
      </c>
      <c r="E76" t="s">
        <v>326</v>
      </c>
      <c r="F76" t="s">
        <v>319</v>
      </c>
      <c r="G76" t="s">
        <v>333</v>
      </c>
      <c r="H76" t="s">
        <v>242</v>
      </c>
      <c r="I76" t="s">
        <v>536</v>
      </c>
      <c r="K76" t="s">
        <v>208</v>
      </c>
      <c r="L76" t="s">
        <v>228</v>
      </c>
      <c r="M76" t="str">
        <f t="shared" si="2"/>
        <v>Point + buffer</v>
      </c>
      <c r="N76">
        <v>250</v>
      </c>
      <c r="O76">
        <f>IF($A76="","",COUNTIF(attestations!$B$2:$B$2000,$A76))</f>
        <v>10</v>
      </c>
      <c r="P76">
        <f>IF($A76="","",COUNTIFS(attestations!$B$2:$B$2000,$A76,attestations!$R$2:$R$2000,"Map"))</f>
        <v>0</v>
      </c>
      <c r="Q76">
        <f>IF($A76="","",COUNTIFS(attestations!$B$2:$B$2000,$A76,attestations!$R$2:$R$2000,"Image"))</f>
        <v>0</v>
      </c>
      <c r="R76">
        <f>IF($A76="","",COUNTIFS(attestations!$B$2:$B$2000,$A76,attestations!$R$2:$R$2000,"Textual"))</f>
        <v>2</v>
      </c>
      <c r="S76">
        <f>IF($A76="","",COUNTIFS(attestations!$B$2:$B$2000,$A76,attestations!$D$2:$D$2000,"Geometry (Setting)"))</f>
        <v>2</v>
      </c>
      <c r="T76" t="str">
        <f t="shared" si="3"/>
        <v>High</v>
      </c>
      <c r="U76" t="str">
        <f>IF($A76="","",IF(COUNTIFS(attestations!$B$2:$B$2000,$A76,attestations!$I$2:$I$2000,"Georeferenced map GCP")&gt;0,"Y","N"))</f>
        <v>Y</v>
      </c>
      <c r="V76" t="s">
        <v>210</v>
      </c>
      <c r="W76" t="s">
        <v>228</v>
      </c>
      <c r="X76" t="s">
        <v>537</v>
      </c>
      <c r="Y76" t="s">
        <v>212</v>
      </c>
      <c r="AA76" t="s">
        <v>538</v>
      </c>
    </row>
    <row r="77" spans="1:27" x14ac:dyDescent="0.2">
      <c r="A77" t="s">
        <v>539</v>
      </c>
      <c r="B77" t="s">
        <v>540</v>
      </c>
      <c r="D77" t="s">
        <v>419</v>
      </c>
      <c r="E77" t="s">
        <v>326</v>
      </c>
      <c r="F77" t="s">
        <v>319</v>
      </c>
      <c r="G77" t="s">
        <v>268</v>
      </c>
      <c r="H77" t="s">
        <v>242</v>
      </c>
      <c r="I77" t="s">
        <v>541</v>
      </c>
      <c r="K77" t="s">
        <v>208</v>
      </c>
      <c r="L77" t="s">
        <v>228</v>
      </c>
      <c r="M77" t="str">
        <f t="shared" si="2"/>
        <v>Point + buffer</v>
      </c>
      <c r="N77">
        <v>250</v>
      </c>
      <c r="O77">
        <f>IF($A77="","",COUNTIF(attestations!$B$2:$B$2000,$A77))</f>
        <v>10</v>
      </c>
      <c r="P77">
        <f>IF($A77="","",COUNTIFS(attestations!$B$2:$B$2000,$A77,attestations!$R$2:$R$2000,"Map"))</f>
        <v>0</v>
      </c>
      <c r="Q77">
        <f>IF($A77="","",COUNTIFS(attestations!$B$2:$B$2000,$A77,attestations!$R$2:$R$2000,"Image"))</f>
        <v>0</v>
      </c>
      <c r="R77">
        <f>IF($A77="","",COUNTIFS(attestations!$B$2:$B$2000,$A77,attestations!$R$2:$R$2000,"Textual"))</f>
        <v>3</v>
      </c>
      <c r="S77">
        <f>IF($A77="","",COUNTIFS(attestations!$B$2:$B$2000,$A77,attestations!$D$2:$D$2000,"Geometry (Setting)"))</f>
        <v>1</v>
      </c>
      <c r="T77" t="str">
        <f t="shared" si="3"/>
        <v>High</v>
      </c>
      <c r="U77" t="str">
        <f>IF($A77="","",IF(COUNTIFS(attestations!$B$2:$B$2000,$A77,attestations!$I$2:$I$2000,"Georeferenced map GCP")&gt;0,"Y","N"))</f>
        <v>Y</v>
      </c>
      <c r="V77" t="s">
        <v>210</v>
      </c>
      <c r="W77" t="s">
        <v>228</v>
      </c>
      <c r="X77" t="s">
        <v>542</v>
      </c>
      <c r="Y77" t="s">
        <v>212</v>
      </c>
      <c r="AA77" t="s">
        <v>543</v>
      </c>
    </row>
    <row r="78" spans="1:27" x14ac:dyDescent="0.2">
      <c r="A78" t="s">
        <v>544</v>
      </c>
      <c r="B78" t="s">
        <v>545</v>
      </c>
      <c r="D78" t="s">
        <v>419</v>
      </c>
      <c r="E78" t="s">
        <v>326</v>
      </c>
      <c r="F78" t="s">
        <v>319</v>
      </c>
      <c r="G78" t="s">
        <v>268</v>
      </c>
      <c r="H78" t="s">
        <v>242</v>
      </c>
      <c r="I78" t="s">
        <v>546</v>
      </c>
      <c r="K78" t="s">
        <v>208</v>
      </c>
      <c r="L78" t="s">
        <v>228</v>
      </c>
      <c r="M78" t="str">
        <f t="shared" si="2"/>
        <v>Point + buffer</v>
      </c>
      <c r="N78">
        <v>250</v>
      </c>
      <c r="O78">
        <f>IF($A78="","",COUNTIF(attestations!$B$2:$B$2000,$A78))</f>
        <v>10</v>
      </c>
      <c r="P78">
        <f>IF($A78="","",COUNTIFS(attestations!$B$2:$B$2000,$A78,attestations!$R$2:$R$2000,"Map"))</f>
        <v>0</v>
      </c>
      <c r="Q78">
        <f>IF($A78="","",COUNTIFS(attestations!$B$2:$B$2000,$A78,attestations!$R$2:$R$2000,"Image"))</f>
        <v>0</v>
      </c>
      <c r="R78">
        <f>IF($A78="","",COUNTIFS(attestations!$B$2:$B$2000,$A78,attestations!$R$2:$R$2000,"Textual"))</f>
        <v>2</v>
      </c>
      <c r="S78">
        <f>IF($A78="","",COUNTIFS(attestations!$B$2:$B$2000,$A78,attestations!$D$2:$D$2000,"Geometry (Setting)"))</f>
        <v>1</v>
      </c>
      <c r="T78" t="str">
        <f t="shared" si="3"/>
        <v>High</v>
      </c>
      <c r="U78" t="str">
        <f>IF($A78="","",IF(COUNTIFS(attestations!$B$2:$B$2000,$A78,attestations!$I$2:$I$2000,"Georeferenced map GCP")&gt;0,"Y","N"))</f>
        <v>Y</v>
      </c>
      <c r="V78" t="s">
        <v>210</v>
      </c>
      <c r="W78" t="s">
        <v>209</v>
      </c>
      <c r="X78" t="s">
        <v>547</v>
      </c>
      <c r="Y78" t="s">
        <v>212</v>
      </c>
      <c r="AA78" t="s">
        <v>548</v>
      </c>
    </row>
    <row r="79" spans="1:27" x14ac:dyDescent="0.2">
      <c r="A79" t="s">
        <v>549</v>
      </c>
      <c r="B79" t="s">
        <v>550</v>
      </c>
      <c r="D79" t="s">
        <v>419</v>
      </c>
      <c r="E79" t="s">
        <v>326</v>
      </c>
      <c r="F79" t="s">
        <v>319</v>
      </c>
      <c r="G79" t="s">
        <v>268</v>
      </c>
      <c r="H79" t="s">
        <v>242</v>
      </c>
      <c r="I79" t="s">
        <v>546</v>
      </c>
      <c r="K79" t="s">
        <v>208</v>
      </c>
      <c r="L79" t="s">
        <v>228</v>
      </c>
      <c r="M79" t="str">
        <f t="shared" si="2"/>
        <v>Point + buffer</v>
      </c>
      <c r="N79">
        <v>250</v>
      </c>
      <c r="O79">
        <f>IF($A79="","",COUNTIF(attestations!$B$2:$B$2000,$A79))</f>
        <v>9</v>
      </c>
      <c r="P79">
        <f>IF($A79="","",COUNTIFS(attestations!$B$2:$B$2000,$A79,attestations!$R$2:$R$2000,"Map"))</f>
        <v>0</v>
      </c>
      <c r="Q79">
        <f>IF($A79="","",COUNTIFS(attestations!$B$2:$B$2000,$A79,attestations!$R$2:$R$2000,"Image"))</f>
        <v>0</v>
      </c>
      <c r="R79">
        <f>IF($A79="","",COUNTIFS(attestations!$B$2:$B$2000,$A79,attestations!$R$2:$R$2000,"Textual"))</f>
        <v>2</v>
      </c>
      <c r="S79">
        <f>IF($A79="","",COUNTIFS(attestations!$B$2:$B$2000,$A79,attestations!$D$2:$D$2000,"Geometry (Setting)"))</f>
        <v>1</v>
      </c>
      <c r="T79" t="str">
        <f t="shared" si="3"/>
        <v>High</v>
      </c>
      <c r="U79" t="str">
        <f>IF($A79="","",IF(COUNTIFS(attestations!$B$2:$B$2000,$A79,attestations!$I$2:$I$2000,"Georeferenced map GCP")&gt;0,"Y","N"))</f>
        <v>Y</v>
      </c>
      <c r="V79" t="s">
        <v>210</v>
      </c>
      <c r="W79" t="s">
        <v>209</v>
      </c>
      <c r="X79" t="s">
        <v>551</v>
      </c>
      <c r="Y79" t="s">
        <v>212</v>
      </c>
      <c r="AA79" t="s">
        <v>552</v>
      </c>
    </row>
    <row r="80" spans="1:27" x14ac:dyDescent="0.2">
      <c r="A80" t="s">
        <v>553</v>
      </c>
      <c r="B80" t="s">
        <v>554</v>
      </c>
      <c r="D80" t="s">
        <v>419</v>
      </c>
      <c r="E80" t="s">
        <v>326</v>
      </c>
      <c r="F80" t="s">
        <v>319</v>
      </c>
      <c r="G80" t="s">
        <v>268</v>
      </c>
      <c r="H80" t="s">
        <v>242</v>
      </c>
      <c r="I80" t="s">
        <v>473</v>
      </c>
      <c r="K80" t="s">
        <v>208</v>
      </c>
      <c r="L80" t="s">
        <v>228</v>
      </c>
      <c r="M80" t="str">
        <f t="shared" si="2"/>
        <v>Point + buffer</v>
      </c>
      <c r="N80">
        <v>300</v>
      </c>
      <c r="O80">
        <f>IF($A80="","",COUNTIF(attestations!$B$2:$B$2000,$A80))</f>
        <v>9</v>
      </c>
      <c r="P80">
        <f>IF($A80="","",COUNTIFS(attestations!$B$2:$B$2000,$A80,attestations!$R$2:$R$2000,"Map"))</f>
        <v>0</v>
      </c>
      <c r="Q80">
        <f>IF($A80="","",COUNTIFS(attestations!$B$2:$B$2000,$A80,attestations!$R$2:$R$2000,"Image"))</f>
        <v>0</v>
      </c>
      <c r="R80">
        <f>IF($A80="","",COUNTIFS(attestations!$B$2:$B$2000,$A80,attestations!$R$2:$R$2000,"Textual"))</f>
        <v>1</v>
      </c>
      <c r="S80">
        <f>IF($A80="","",COUNTIFS(attestations!$B$2:$B$2000,$A80,attestations!$D$2:$D$2000,"Geometry (Setting)"))</f>
        <v>1</v>
      </c>
      <c r="T80" t="str">
        <f t="shared" si="3"/>
        <v>High</v>
      </c>
      <c r="U80" t="str">
        <f>IF($A80="","",IF(COUNTIFS(attestations!$B$2:$B$2000,$A80,attestations!$I$2:$I$2000,"Georeferenced map GCP")&gt;0,"Y","N"))</f>
        <v>Y</v>
      </c>
      <c r="V80" t="s">
        <v>210</v>
      </c>
      <c r="W80" t="s">
        <v>209</v>
      </c>
      <c r="X80" t="s">
        <v>555</v>
      </c>
      <c r="Y80" t="s">
        <v>212</v>
      </c>
      <c r="AA80" t="s">
        <v>556</v>
      </c>
    </row>
    <row r="81" spans="1:27" x14ac:dyDescent="0.2">
      <c r="A81" t="s">
        <v>557</v>
      </c>
      <c r="B81" t="s">
        <v>558</v>
      </c>
      <c r="D81" t="s">
        <v>419</v>
      </c>
      <c r="E81" t="s">
        <v>326</v>
      </c>
      <c r="F81" t="s">
        <v>319</v>
      </c>
      <c r="G81" t="s">
        <v>268</v>
      </c>
      <c r="H81" t="s">
        <v>242</v>
      </c>
      <c r="I81" t="s">
        <v>385</v>
      </c>
      <c r="K81" t="s">
        <v>208</v>
      </c>
      <c r="L81" t="s">
        <v>228</v>
      </c>
      <c r="M81" t="str">
        <f t="shared" si="2"/>
        <v>Point + buffer</v>
      </c>
      <c r="N81">
        <v>250</v>
      </c>
      <c r="O81">
        <f>IF($A81="","",COUNTIF(attestations!$B$2:$B$2000,$A81))</f>
        <v>12</v>
      </c>
      <c r="P81">
        <f>IF($A81="","",COUNTIFS(attestations!$B$2:$B$2000,$A81,attestations!$R$2:$R$2000,"Map"))</f>
        <v>0</v>
      </c>
      <c r="Q81">
        <f>IF($A81="","",COUNTIFS(attestations!$B$2:$B$2000,$A81,attestations!$R$2:$R$2000,"Image"))</f>
        <v>0</v>
      </c>
      <c r="R81">
        <f>IF($A81="","",COUNTIFS(attestations!$B$2:$B$2000,$A81,attestations!$R$2:$R$2000,"Textual"))</f>
        <v>3</v>
      </c>
      <c r="S81">
        <f>IF($A81="","",COUNTIFS(attestations!$B$2:$B$2000,$A81,attestations!$D$2:$D$2000,"Geometry (Setting)"))</f>
        <v>1</v>
      </c>
      <c r="T81" t="str">
        <f t="shared" si="3"/>
        <v>High</v>
      </c>
      <c r="U81" t="str">
        <f>IF($A81="","",IF(COUNTIFS(attestations!$B$2:$B$2000,$A81,attestations!$I$2:$I$2000,"Georeferenced map GCP")&gt;0,"Y","N"))</f>
        <v>Y</v>
      </c>
      <c r="V81" t="s">
        <v>210</v>
      </c>
      <c r="W81" t="s">
        <v>209</v>
      </c>
      <c r="X81" t="s">
        <v>559</v>
      </c>
      <c r="Y81" t="s">
        <v>212</v>
      </c>
      <c r="AA81" t="s">
        <v>560</v>
      </c>
    </row>
    <row r="82" spans="1:27" x14ac:dyDescent="0.2">
      <c r="A82" t="s">
        <v>561</v>
      </c>
      <c r="B82" t="s">
        <v>562</v>
      </c>
      <c r="D82" t="s">
        <v>419</v>
      </c>
      <c r="E82" t="s">
        <v>326</v>
      </c>
      <c r="F82" t="s">
        <v>319</v>
      </c>
      <c r="G82" t="s">
        <v>268</v>
      </c>
      <c r="H82" t="s">
        <v>242</v>
      </c>
      <c r="I82" t="s">
        <v>563</v>
      </c>
      <c r="K82" t="s">
        <v>208</v>
      </c>
      <c r="L82" t="s">
        <v>228</v>
      </c>
      <c r="M82" t="str">
        <f t="shared" si="2"/>
        <v>Point + buffer</v>
      </c>
      <c r="N82">
        <v>250</v>
      </c>
      <c r="O82">
        <f>IF($A82="","",COUNTIF(attestations!$B$2:$B$2000,$A82))</f>
        <v>9</v>
      </c>
      <c r="P82">
        <f>IF($A82="","",COUNTIFS(attestations!$B$2:$B$2000,$A82,attestations!$R$2:$R$2000,"Map"))</f>
        <v>0</v>
      </c>
      <c r="Q82">
        <f>IF($A82="","",COUNTIFS(attestations!$B$2:$B$2000,$A82,attestations!$R$2:$R$2000,"Image"))</f>
        <v>0</v>
      </c>
      <c r="R82">
        <f>IF($A82="","",COUNTIFS(attestations!$B$2:$B$2000,$A82,attestations!$R$2:$R$2000,"Textual"))</f>
        <v>2</v>
      </c>
      <c r="S82">
        <f>IF($A82="","",COUNTIFS(attestations!$B$2:$B$2000,$A82,attestations!$D$2:$D$2000,"Geometry (Setting)"))</f>
        <v>2</v>
      </c>
      <c r="T82" t="str">
        <f t="shared" si="3"/>
        <v>High</v>
      </c>
      <c r="U82" t="str">
        <f>IF($A82="","",IF(COUNTIFS(attestations!$B$2:$B$2000,$A82,attestations!$I$2:$I$2000,"Georeferenced map GCP")&gt;0,"Y","N"))</f>
        <v>Y</v>
      </c>
      <c r="V82" t="s">
        <v>210</v>
      </c>
      <c r="W82" t="s">
        <v>209</v>
      </c>
      <c r="X82" t="s">
        <v>564</v>
      </c>
      <c r="Y82" t="s">
        <v>212</v>
      </c>
      <c r="AA82" t="s">
        <v>565</v>
      </c>
    </row>
    <row r="83" spans="1:27" x14ac:dyDescent="0.2">
      <c r="A83" t="s">
        <v>566</v>
      </c>
      <c r="B83" t="s">
        <v>567</v>
      </c>
      <c r="D83" t="s">
        <v>419</v>
      </c>
      <c r="E83" t="s">
        <v>326</v>
      </c>
      <c r="F83" t="s">
        <v>319</v>
      </c>
      <c r="G83" t="s">
        <v>268</v>
      </c>
      <c r="H83" t="s">
        <v>242</v>
      </c>
      <c r="I83" t="s">
        <v>568</v>
      </c>
      <c r="K83" t="s">
        <v>208</v>
      </c>
      <c r="L83" t="s">
        <v>227</v>
      </c>
      <c r="M83" t="str">
        <f t="shared" si="2"/>
        <v>Unplotted (unlocated panel)</v>
      </c>
      <c r="O83">
        <f>IF($A83="","",COUNTIF(attestations!$B$2:$B$2000,$A83))</f>
        <v>11</v>
      </c>
      <c r="P83">
        <f>IF($A83="","",COUNTIFS(attestations!$B$2:$B$2000,$A83,attestations!$R$2:$R$2000,"Map"))</f>
        <v>0</v>
      </c>
      <c r="Q83">
        <f>IF($A83="","",COUNTIFS(attestations!$B$2:$B$2000,$A83,attestations!$R$2:$R$2000,"Image"))</f>
        <v>0</v>
      </c>
      <c r="R83">
        <f>IF($A83="","",COUNTIFS(attestations!$B$2:$B$2000,$A83,attestations!$R$2:$R$2000,"Textual"))</f>
        <v>1</v>
      </c>
      <c r="S83">
        <f>IF($A83="","",COUNTIFS(attestations!$B$2:$B$2000,$A83,attestations!$D$2:$D$2000,"Geometry (Setting)"))</f>
        <v>1</v>
      </c>
      <c r="T83" t="str">
        <f t="shared" si="3"/>
        <v>High</v>
      </c>
      <c r="U83" t="str">
        <f>IF($A83="","",IF(COUNTIFS(attestations!$B$2:$B$2000,$A83,attestations!$I$2:$I$2000,"Georeferenced map GCP")&gt;0,"Y","N"))</f>
        <v>N</v>
      </c>
      <c r="V83" t="s">
        <v>210</v>
      </c>
      <c r="W83" t="s">
        <v>209</v>
      </c>
      <c r="X83" t="s">
        <v>569</v>
      </c>
      <c r="Y83" t="s">
        <v>212</v>
      </c>
      <c r="AA83" t="s">
        <v>570</v>
      </c>
    </row>
    <row r="84" spans="1:27" x14ac:dyDescent="0.2">
      <c r="A84" t="s">
        <v>571</v>
      </c>
      <c r="B84" t="s">
        <v>572</v>
      </c>
      <c r="C84" t="s">
        <v>573</v>
      </c>
      <c r="D84" t="s">
        <v>574</v>
      </c>
      <c r="E84" t="s">
        <v>326</v>
      </c>
      <c r="F84" t="s">
        <v>575</v>
      </c>
      <c r="G84" t="s">
        <v>204</v>
      </c>
      <c r="I84" t="s">
        <v>400</v>
      </c>
      <c r="K84" t="s">
        <v>208</v>
      </c>
      <c r="L84" t="s">
        <v>228</v>
      </c>
      <c r="M84" t="str">
        <f t="shared" si="2"/>
        <v>Point + buffer</v>
      </c>
      <c r="N84">
        <v>150</v>
      </c>
      <c r="O84">
        <f>IF($A84="","",COUNTIF(attestations!$B$2:$B$2000,$A84))</f>
        <v>7</v>
      </c>
      <c r="P84">
        <f>IF($A84="","",COUNTIFS(attestations!$B$2:$B$2000,$A84,attestations!$R$2:$R$2000,"Map"))</f>
        <v>0</v>
      </c>
      <c r="Q84">
        <f>IF($A84="","",COUNTIFS(attestations!$B$2:$B$2000,$A84,attestations!$R$2:$R$2000,"Image"))</f>
        <v>0</v>
      </c>
      <c r="R84">
        <f>IF($A84="","",COUNTIFS(attestations!$B$2:$B$2000,$A84,attestations!$R$2:$R$2000,"Textual"))</f>
        <v>2</v>
      </c>
      <c r="S84">
        <f>IF($A84="","",COUNTIFS(attestations!$B$2:$B$2000,$A84,attestations!$D$2:$D$2000,"Geometry (Setting)"))</f>
        <v>1</v>
      </c>
      <c r="T84" t="str">
        <f t="shared" si="3"/>
        <v>High</v>
      </c>
      <c r="U84" t="str">
        <f>IF($A84="","",IF(COUNTIFS(attestations!$B$2:$B$2000,$A84,attestations!$I$2:$I$2000,"Georeferenced map GCP")&gt;0,"Y","N"))</f>
        <v>Y</v>
      </c>
      <c r="V84" t="s">
        <v>210</v>
      </c>
      <c r="W84" t="s">
        <v>209</v>
      </c>
      <c r="X84" t="s">
        <v>576</v>
      </c>
      <c r="Y84" t="s">
        <v>294</v>
      </c>
      <c r="AA84" t="s">
        <v>577</v>
      </c>
    </row>
    <row r="85" spans="1:27" x14ac:dyDescent="0.2">
      <c r="A85" t="s">
        <v>578</v>
      </c>
      <c r="B85" t="s">
        <v>579</v>
      </c>
      <c r="C85" t="s">
        <v>580</v>
      </c>
      <c r="D85" t="s">
        <v>215</v>
      </c>
      <c r="E85" t="s">
        <v>202</v>
      </c>
      <c r="F85" t="s">
        <v>203</v>
      </c>
      <c r="G85" t="s">
        <v>204</v>
      </c>
      <c r="H85" t="s">
        <v>205</v>
      </c>
      <c r="I85" t="s">
        <v>581</v>
      </c>
      <c r="J85" t="s">
        <v>582</v>
      </c>
      <c r="K85" t="s">
        <v>278</v>
      </c>
      <c r="L85" t="s">
        <v>209</v>
      </c>
      <c r="M85" t="str">
        <f t="shared" si="2"/>
        <v>Translucent area</v>
      </c>
      <c r="N85">
        <v>800</v>
      </c>
      <c r="O85">
        <f>IF($A85="","",COUNTIF(attestations!$B$2:$B$2000,$A85))</f>
        <v>0</v>
      </c>
      <c r="P85">
        <f>IF($A85="","",COUNTIFS(attestations!$B$2:$B$2000,$A85,attestations!$R$2:$R$2000,"Map"))</f>
        <v>0</v>
      </c>
      <c r="Q85">
        <f>IF($A85="","",COUNTIFS(attestations!$B$2:$B$2000,$A85,attestations!$R$2:$R$2000,"Image"))</f>
        <v>0</v>
      </c>
      <c r="R85">
        <f>IF($A85="","",COUNTIFS(attestations!$B$2:$B$2000,$A85,attestations!$R$2:$R$2000,"Textual"))</f>
        <v>0</v>
      </c>
      <c r="S85">
        <f>IF($A85="","",COUNTIFS(attestations!$B$2:$B$2000,$A85,attestations!$D$2:$D$2000,"Geometry (Setting)"))</f>
        <v>0</v>
      </c>
      <c r="T85" t="str">
        <f t="shared" si="3"/>
        <v>None</v>
      </c>
      <c r="U85" t="str">
        <f>IF($A85="","",IF(COUNTIFS(attestations!$B$2:$B$2000,$A85,attestations!$I$2:$I$2000,"Georeferenced map GCP")&gt;0,"Y","N"))</f>
        <v>N</v>
      </c>
      <c r="V85" t="s">
        <v>303</v>
      </c>
      <c r="X85" t="s">
        <v>583</v>
      </c>
      <c r="Y85" t="s">
        <v>212</v>
      </c>
    </row>
    <row r="86" spans="1:27" x14ac:dyDescent="0.2">
      <c r="A86" t="s">
        <v>584</v>
      </c>
      <c r="B86" t="s">
        <v>585</v>
      </c>
      <c r="C86" t="s">
        <v>586</v>
      </c>
      <c r="D86" t="s">
        <v>226</v>
      </c>
      <c r="E86" t="s">
        <v>255</v>
      </c>
      <c r="F86" t="s">
        <v>256</v>
      </c>
      <c r="G86" t="s">
        <v>204</v>
      </c>
      <c r="H86" t="s">
        <v>205</v>
      </c>
      <c r="I86" t="s">
        <v>276</v>
      </c>
      <c r="J86" t="s">
        <v>587</v>
      </c>
      <c r="K86" t="s">
        <v>278</v>
      </c>
      <c r="L86" t="s">
        <v>228</v>
      </c>
      <c r="M86" t="str">
        <f t="shared" si="2"/>
        <v>Point + buffer</v>
      </c>
      <c r="N86">
        <v>250</v>
      </c>
      <c r="O86">
        <f>IF($A86="","",COUNTIF(attestations!$B$2:$B$2000,$A86))</f>
        <v>16</v>
      </c>
      <c r="P86">
        <f>IF($A86="","",COUNTIFS(attestations!$B$2:$B$2000,$A86,attestations!$R$2:$R$2000,"Map"))</f>
        <v>0</v>
      </c>
      <c r="Q86">
        <f>IF($A86="","",COUNTIFS(attestations!$B$2:$B$2000,$A86,attestations!$R$2:$R$2000,"Image"))</f>
        <v>0</v>
      </c>
      <c r="R86">
        <f>IF($A86="","",COUNTIFS(attestations!$B$2:$B$2000,$A86,attestations!$R$2:$R$2000,"Textual"))</f>
        <v>0</v>
      </c>
      <c r="S86">
        <f>IF($A86="","",COUNTIFS(attestations!$B$2:$B$2000,$A86,attestations!$D$2:$D$2000,"Geometry (Setting)"))</f>
        <v>4</v>
      </c>
      <c r="T86" t="str">
        <f t="shared" si="3"/>
        <v>High</v>
      </c>
      <c r="U86" t="str">
        <f>IF($A86="","",IF(COUNTIFS(attestations!$B$2:$B$2000,$A86,attestations!$I$2:$I$2000,"Georeferenced map GCP")&gt;0,"Y","N"))</f>
        <v>Y</v>
      </c>
      <c r="V86" t="s">
        <v>210</v>
      </c>
      <c r="X86" t="s">
        <v>588</v>
      </c>
      <c r="Y86" t="s">
        <v>212</v>
      </c>
    </row>
    <row r="87" spans="1:27" x14ac:dyDescent="0.2">
      <c r="A87" t="s">
        <v>589</v>
      </c>
      <c r="B87" t="s">
        <v>590</v>
      </c>
      <c r="D87" t="s">
        <v>226</v>
      </c>
      <c r="E87" t="s">
        <v>255</v>
      </c>
      <c r="F87" t="s">
        <v>319</v>
      </c>
      <c r="G87" t="s">
        <v>204</v>
      </c>
      <c r="H87" t="s">
        <v>205</v>
      </c>
      <c r="I87" t="s">
        <v>591</v>
      </c>
      <c r="J87" t="s">
        <v>592</v>
      </c>
      <c r="K87" t="s">
        <v>278</v>
      </c>
      <c r="L87" t="s">
        <v>209</v>
      </c>
      <c r="M87" t="str">
        <f t="shared" si="2"/>
        <v>Translucent area</v>
      </c>
      <c r="N87">
        <v>400</v>
      </c>
      <c r="O87">
        <f>IF($A87="","",COUNTIF(attestations!$B$2:$B$2000,$A87))</f>
        <v>10</v>
      </c>
      <c r="P87">
        <f>IF($A87="","",COUNTIFS(attestations!$B$2:$B$2000,$A87,attestations!$R$2:$R$2000,"Map"))</f>
        <v>0</v>
      </c>
      <c r="Q87">
        <f>IF($A87="","",COUNTIFS(attestations!$B$2:$B$2000,$A87,attestations!$R$2:$R$2000,"Image"))</f>
        <v>0</v>
      </c>
      <c r="R87">
        <f>IF($A87="","",COUNTIFS(attestations!$B$2:$B$2000,$A87,attestations!$R$2:$R$2000,"Textual"))</f>
        <v>0</v>
      </c>
      <c r="S87">
        <f>IF($A87="","",COUNTIFS(attestations!$B$2:$B$2000,$A87,attestations!$D$2:$D$2000,"Geometry (Setting)"))</f>
        <v>1</v>
      </c>
      <c r="T87" t="str">
        <f t="shared" si="3"/>
        <v>High</v>
      </c>
      <c r="U87" t="str">
        <f>IF($A87="","",IF(COUNTIFS(attestations!$B$2:$B$2000,$A87,attestations!$I$2:$I$2000,"Georeferenced map GCP")&gt;0,"Y","N"))</f>
        <v>Y</v>
      </c>
      <c r="V87" t="s">
        <v>210</v>
      </c>
      <c r="X87" t="s">
        <v>593</v>
      </c>
      <c r="Y87" t="s">
        <v>312</v>
      </c>
      <c r="Z87" t="s">
        <v>252</v>
      </c>
    </row>
    <row r="88" spans="1:27" x14ac:dyDescent="0.2">
      <c r="A88" t="s">
        <v>594</v>
      </c>
      <c r="B88" t="s">
        <v>595</v>
      </c>
      <c r="C88" t="s">
        <v>596</v>
      </c>
      <c r="D88" t="s">
        <v>275</v>
      </c>
      <c r="E88" t="s">
        <v>255</v>
      </c>
      <c r="F88" t="s">
        <v>319</v>
      </c>
      <c r="G88" t="s">
        <v>257</v>
      </c>
      <c r="H88" t="s">
        <v>242</v>
      </c>
      <c r="I88" t="s">
        <v>597</v>
      </c>
      <c r="J88" t="s">
        <v>385</v>
      </c>
      <c r="K88" t="s">
        <v>278</v>
      </c>
      <c r="L88" t="s">
        <v>228</v>
      </c>
      <c r="M88" t="str">
        <f t="shared" si="2"/>
        <v>Point + buffer</v>
      </c>
      <c r="N88">
        <v>200</v>
      </c>
      <c r="O88">
        <f>IF($A88="","",COUNTIF(attestations!$B$2:$B$2000,$A88))</f>
        <v>11</v>
      </c>
      <c r="P88">
        <f>IF($A88="","",COUNTIFS(attestations!$B$2:$B$2000,$A88,attestations!$R$2:$R$2000,"Map"))</f>
        <v>0</v>
      </c>
      <c r="Q88">
        <f>IF($A88="","",COUNTIFS(attestations!$B$2:$B$2000,$A88,attestations!$R$2:$R$2000,"Image"))</f>
        <v>0</v>
      </c>
      <c r="R88">
        <f>IF($A88="","",COUNTIFS(attestations!$B$2:$B$2000,$A88,attestations!$R$2:$R$2000,"Textual"))</f>
        <v>0</v>
      </c>
      <c r="S88">
        <f>IF($A88="","",COUNTIFS(attestations!$B$2:$B$2000,$A88,attestations!$D$2:$D$2000,"Geometry (Setting)"))</f>
        <v>1</v>
      </c>
      <c r="T88" t="str">
        <f t="shared" si="3"/>
        <v>High</v>
      </c>
      <c r="U88" t="str">
        <f>IF($A88="","",IF(COUNTIFS(attestations!$B$2:$B$2000,$A88,attestations!$I$2:$I$2000,"Georeferenced map GCP")&gt;0,"Y","N"))</f>
        <v>Y</v>
      </c>
      <c r="V88" t="s">
        <v>210</v>
      </c>
      <c r="X88" t="s">
        <v>598</v>
      </c>
      <c r="Y88" t="s">
        <v>212</v>
      </c>
    </row>
    <row r="89" spans="1:27" x14ac:dyDescent="0.2">
      <c r="A89" t="s">
        <v>599</v>
      </c>
      <c r="B89" t="s">
        <v>600</v>
      </c>
      <c r="C89" t="s">
        <v>601</v>
      </c>
      <c r="D89" t="s">
        <v>275</v>
      </c>
      <c r="E89" t="s">
        <v>255</v>
      </c>
      <c r="F89" t="s">
        <v>319</v>
      </c>
      <c r="G89" t="s">
        <v>257</v>
      </c>
      <c r="H89" t="s">
        <v>242</v>
      </c>
      <c r="I89" t="s">
        <v>597</v>
      </c>
      <c r="J89" t="s">
        <v>385</v>
      </c>
      <c r="K89" t="s">
        <v>278</v>
      </c>
      <c r="L89" t="s">
        <v>209</v>
      </c>
      <c r="M89" t="str">
        <f t="shared" si="2"/>
        <v>Translucent area</v>
      </c>
      <c r="N89">
        <v>400</v>
      </c>
      <c r="O89">
        <f>IF($A89="","",COUNTIF(attestations!$B$2:$B$2000,$A89))</f>
        <v>15</v>
      </c>
      <c r="P89">
        <f>IF($A89="","",COUNTIFS(attestations!$B$2:$B$2000,$A89,attestations!$R$2:$R$2000,"Map"))</f>
        <v>0</v>
      </c>
      <c r="Q89">
        <f>IF($A89="","",COUNTIFS(attestations!$B$2:$B$2000,$A89,attestations!$R$2:$R$2000,"Image"))</f>
        <v>0</v>
      </c>
      <c r="R89">
        <f>IF($A89="","",COUNTIFS(attestations!$B$2:$B$2000,$A89,attestations!$R$2:$R$2000,"Textual"))</f>
        <v>0</v>
      </c>
      <c r="S89">
        <f>IF($A89="","",COUNTIFS(attestations!$B$2:$B$2000,$A89,attestations!$D$2:$D$2000,"Geometry (Setting)"))</f>
        <v>6</v>
      </c>
      <c r="T89" t="str">
        <f t="shared" si="3"/>
        <v>High</v>
      </c>
      <c r="U89" t="str">
        <f>IF($A89="","",IF(COUNTIFS(attestations!$B$2:$B$2000,$A89,attestations!$I$2:$I$2000,"Georeferenced map GCP")&gt;0,"Y","N"))</f>
        <v>Y</v>
      </c>
      <c r="V89" t="s">
        <v>210</v>
      </c>
      <c r="X89" t="s">
        <v>602</v>
      </c>
      <c r="Y89" t="s">
        <v>212</v>
      </c>
    </row>
    <row r="90" spans="1:27" x14ac:dyDescent="0.2">
      <c r="A90" t="s">
        <v>603</v>
      </c>
      <c r="B90" t="s">
        <v>604</v>
      </c>
      <c r="C90" t="s">
        <v>605</v>
      </c>
      <c r="D90" t="s">
        <v>275</v>
      </c>
      <c r="E90" t="s">
        <v>255</v>
      </c>
      <c r="F90" t="s">
        <v>319</v>
      </c>
      <c r="G90" t="s">
        <v>257</v>
      </c>
      <c r="H90" t="s">
        <v>242</v>
      </c>
      <c r="I90" t="s">
        <v>597</v>
      </c>
      <c r="J90" t="s">
        <v>464</v>
      </c>
      <c r="K90" t="s">
        <v>278</v>
      </c>
      <c r="L90" t="s">
        <v>228</v>
      </c>
      <c r="M90" t="str">
        <f t="shared" si="2"/>
        <v>Point + buffer</v>
      </c>
      <c r="N90">
        <v>200</v>
      </c>
      <c r="O90">
        <f>IF($A90="","",COUNTIF(attestations!$B$2:$B$2000,$A90))</f>
        <v>9</v>
      </c>
      <c r="P90">
        <f>IF($A90="","",COUNTIFS(attestations!$B$2:$B$2000,$A90,attestations!$R$2:$R$2000,"Map"))</f>
        <v>0</v>
      </c>
      <c r="Q90">
        <f>IF($A90="","",COUNTIFS(attestations!$B$2:$B$2000,$A90,attestations!$R$2:$R$2000,"Image"))</f>
        <v>0</v>
      </c>
      <c r="R90">
        <f>IF($A90="","",COUNTIFS(attestations!$B$2:$B$2000,$A90,attestations!$R$2:$R$2000,"Textual"))</f>
        <v>0</v>
      </c>
      <c r="S90">
        <f>IF($A90="","",COUNTIFS(attestations!$B$2:$B$2000,$A90,attestations!$D$2:$D$2000,"Geometry (Setting)"))</f>
        <v>2</v>
      </c>
      <c r="T90" t="str">
        <f t="shared" si="3"/>
        <v>High</v>
      </c>
      <c r="U90" t="str">
        <f>IF($A90="","",IF(COUNTIFS(attestations!$B$2:$B$2000,$A90,attestations!$I$2:$I$2000,"Georeferenced map GCP")&gt;0,"Y","N"))</f>
        <v>Y</v>
      </c>
      <c r="V90" t="s">
        <v>210</v>
      </c>
      <c r="X90" t="s">
        <v>606</v>
      </c>
      <c r="Y90" t="s">
        <v>212</v>
      </c>
    </row>
    <row r="91" spans="1:27" x14ac:dyDescent="0.2">
      <c r="A91" t="s">
        <v>607</v>
      </c>
      <c r="B91" t="s">
        <v>608</v>
      </c>
      <c r="C91" t="s">
        <v>609</v>
      </c>
      <c r="D91" t="s">
        <v>275</v>
      </c>
      <c r="E91" t="s">
        <v>255</v>
      </c>
      <c r="F91" t="s">
        <v>319</v>
      </c>
      <c r="G91" t="s">
        <v>257</v>
      </c>
      <c r="H91" t="s">
        <v>242</v>
      </c>
      <c r="I91" t="s">
        <v>597</v>
      </c>
      <c r="J91" t="s">
        <v>464</v>
      </c>
      <c r="K91" t="s">
        <v>278</v>
      </c>
      <c r="L91" t="s">
        <v>228</v>
      </c>
      <c r="M91" t="str">
        <f t="shared" si="2"/>
        <v>Point + buffer</v>
      </c>
      <c r="N91">
        <v>200</v>
      </c>
      <c r="O91">
        <f>IF($A91="","",COUNTIF(attestations!$B$2:$B$2000,$A91))</f>
        <v>8</v>
      </c>
      <c r="P91">
        <f>IF($A91="","",COUNTIFS(attestations!$B$2:$B$2000,$A91,attestations!$R$2:$R$2000,"Map"))</f>
        <v>0</v>
      </c>
      <c r="Q91">
        <f>IF($A91="","",COUNTIFS(attestations!$B$2:$B$2000,$A91,attestations!$R$2:$R$2000,"Image"))</f>
        <v>0</v>
      </c>
      <c r="R91">
        <f>IF($A91="","",COUNTIFS(attestations!$B$2:$B$2000,$A91,attestations!$R$2:$R$2000,"Textual"))</f>
        <v>0</v>
      </c>
      <c r="S91">
        <f>IF($A91="","",COUNTIFS(attestations!$B$2:$B$2000,$A91,attestations!$D$2:$D$2000,"Geometry (Setting)"))</f>
        <v>4</v>
      </c>
      <c r="T91" t="str">
        <f t="shared" si="3"/>
        <v>High</v>
      </c>
      <c r="U91" t="str">
        <f>IF($A91="","",IF(COUNTIFS(attestations!$B$2:$B$2000,$A91,attestations!$I$2:$I$2000,"Georeferenced map GCP")&gt;0,"Y","N"))</f>
        <v>Y</v>
      </c>
      <c r="V91" t="s">
        <v>210</v>
      </c>
      <c r="X91" t="s">
        <v>610</v>
      </c>
      <c r="Y91" t="s">
        <v>212</v>
      </c>
    </row>
    <row r="92" spans="1:27" x14ac:dyDescent="0.2">
      <c r="A92" t="s">
        <v>611</v>
      </c>
      <c r="B92" t="s">
        <v>612</v>
      </c>
      <c r="D92" t="s">
        <v>215</v>
      </c>
      <c r="E92" t="s">
        <v>202</v>
      </c>
      <c r="F92" t="s">
        <v>203</v>
      </c>
      <c r="G92" t="s">
        <v>204</v>
      </c>
      <c r="H92" t="s">
        <v>205</v>
      </c>
      <c r="I92" t="s">
        <v>591</v>
      </c>
      <c r="J92" t="s">
        <v>207</v>
      </c>
      <c r="K92" t="s">
        <v>278</v>
      </c>
      <c r="L92" t="s">
        <v>228</v>
      </c>
      <c r="M92" t="str">
        <f t="shared" si="2"/>
        <v>Point + buffer</v>
      </c>
      <c r="N92">
        <v>250</v>
      </c>
      <c r="O92">
        <f>IF($A92="","",COUNTIF(attestations!$B$2:$B$2000,$A92))</f>
        <v>14</v>
      </c>
      <c r="P92">
        <f>IF($A92="","",COUNTIFS(attestations!$B$2:$B$2000,$A92,attestations!$R$2:$R$2000,"Map"))</f>
        <v>0</v>
      </c>
      <c r="Q92">
        <f>IF($A92="","",COUNTIFS(attestations!$B$2:$B$2000,$A92,attestations!$R$2:$R$2000,"Image"))</f>
        <v>0</v>
      </c>
      <c r="R92">
        <f>IF($A92="","",COUNTIFS(attestations!$B$2:$B$2000,$A92,attestations!$R$2:$R$2000,"Textual"))</f>
        <v>0</v>
      </c>
      <c r="S92">
        <f>IF($A92="","",COUNTIFS(attestations!$B$2:$B$2000,$A92,attestations!$D$2:$D$2000,"Geometry (Setting)"))</f>
        <v>4</v>
      </c>
      <c r="T92" t="str">
        <f t="shared" si="3"/>
        <v>High</v>
      </c>
      <c r="U92" t="str">
        <f>IF($A92="","",IF(COUNTIFS(attestations!$B$2:$B$2000,$A92,attestations!$I$2:$I$2000,"Georeferenced map GCP")&gt;0,"Y","N"))</f>
        <v>Y</v>
      </c>
      <c r="V92" t="s">
        <v>210</v>
      </c>
      <c r="X92" t="s">
        <v>613</v>
      </c>
      <c r="Y92" t="s">
        <v>212</v>
      </c>
    </row>
    <row r="93" spans="1:27" x14ac:dyDescent="0.2">
      <c r="A93" t="s">
        <v>614</v>
      </c>
      <c r="B93" t="s">
        <v>615</v>
      </c>
      <c r="D93" t="s">
        <v>226</v>
      </c>
      <c r="E93" t="s">
        <v>202</v>
      </c>
      <c r="F93" t="s">
        <v>203</v>
      </c>
      <c r="G93" t="s">
        <v>204</v>
      </c>
      <c r="H93" t="s">
        <v>205</v>
      </c>
      <c r="I93" t="s">
        <v>616</v>
      </c>
      <c r="J93" t="s">
        <v>207</v>
      </c>
      <c r="K93" t="s">
        <v>278</v>
      </c>
      <c r="L93" t="s">
        <v>209</v>
      </c>
      <c r="M93" t="str">
        <f t="shared" si="2"/>
        <v>Translucent area</v>
      </c>
      <c r="N93">
        <v>400</v>
      </c>
      <c r="O93">
        <f>IF($A93="","",COUNTIF(attestations!$B$2:$B$2000,$A93))</f>
        <v>8</v>
      </c>
      <c r="P93">
        <f>IF($A93="","",COUNTIFS(attestations!$B$2:$B$2000,$A93,attestations!$R$2:$R$2000,"Map"))</f>
        <v>0</v>
      </c>
      <c r="Q93">
        <f>IF($A93="","",COUNTIFS(attestations!$B$2:$B$2000,$A93,attestations!$R$2:$R$2000,"Image"))</f>
        <v>0</v>
      </c>
      <c r="R93">
        <f>IF($A93="","",COUNTIFS(attestations!$B$2:$B$2000,$A93,attestations!$R$2:$R$2000,"Textual"))</f>
        <v>0</v>
      </c>
      <c r="S93">
        <f>IF($A93="","",COUNTIFS(attestations!$B$2:$B$2000,$A93,attestations!$D$2:$D$2000,"Geometry (Setting)"))</f>
        <v>2</v>
      </c>
      <c r="T93" t="str">
        <f t="shared" si="3"/>
        <v>High</v>
      </c>
      <c r="U93" t="str">
        <f>IF($A93="","",IF(COUNTIFS(attestations!$B$2:$B$2000,$A93,attestations!$I$2:$I$2000,"Georeferenced map GCP")&gt;0,"Y","N"))</f>
        <v>Y</v>
      </c>
      <c r="V93" t="s">
        <v>210</v>
      </c>
      <c r="X93" t="s">
        <v>617</v>
      </c>
      <c r="Y93" t="s">
        <v>212</v>
      </c>
    </row>
    <row r="94" spans="1:27" x14ac:dyDescent="0.2">
      <c r="A94" t="s">
        <v>618</v>
      </c>
      <c r="B94" t="s">
        <v>619</v>
      </c>
      <c r="D94" t="s">
        <v>226</v>
      </c>
      <c r="E94" t="s">
        <v>202</v>
      </c>
      <c r="F94" t="s">
        <v>203</v>
      </c>
      <c r="G94" t="s">
        <v>204</v>
      </c>
      <c r="H94" t="s">
        <v>205</v>
      </c>
      <c r="I94" t="s">
        <v>620</v>
      </c>
      <c r="J94" t="s">
        <v>207</v>
      </c>
      <c r="K94" t="s">
        <v>278</v>
      </c>
      <c r="L94" t="s">
        <v>209</v>
      </c>
      <c r="M94" t="str">
        <f t="shared" si="2"/>
        <v>Translucent area</v>
      </c>
      <c r="N94">
        <v>400</v>
      </c>
      <c r="O94">
        <f>IF($A94="","",COUNTIF(attestations!$B$2:$B$2000,$A94))</f>
        <v>12</v>
      </c>
      <c r="P94">
        <f>IF($A94="","",COUNTIFS(attestations!$B$2:$B$2000,$A94,attestations!$R$2:$R$2000,"Map"))</f>
        <v>0</v>
      </c>
      <c r="Q94">
        <f>IF($A94="","",COUNTIFS(attestations!$B$2:$B$2000,$A94,attestations!$R$2:$R$2000,"Image"))</f>
        <v>0</v>
      </c>
      <c r="R94">
        <f>IF($A94="","",COUNTIFS(attestations!$B$2:$B$2000,$A94,attestations!$R$2:$R$2000,"Textual"))</f>
        <v>0</v>
      </c>
      <c r="S94">
        <f>IF($A94="","",COUNTIFS(attestations!$B$2:$B$2000,$A94,attestations!$D$2:$D$2000,"Geometry (Setting)"))</f>
        <v>2</v>
      </c>
      <c r="T94" t="str">
        <f t="shared" si="3"/>
        <v>High</v>
      </c>
      <c r="U94" t="str">
        <f>IF($A94="","",IF(COUNTIFS(attestations!$B$2:$B$2000,$A94,attestations!$I$2:$I$2000,"Georeferenced map GCP")&gt;0,"Y","N"))</f>
        <v>Y</v>
      </c>
      <c r="V94" t="s">
        <v>210</v>
      </c>
      <c r="X94" t="s">
        <v>621</v>
      </c>
      <c r="Y94" t="s">
        <v>212</v>
      </c>
    </row>
    <row r="95" spans="1:27" x14ac:dyDescent="0.2">
      <c r="A95" t="s">
        <v>622</v>
      </c>
      <c r="B95" t="s">
        <v>623</v>
      </c>
      <c r="C95" t="s">
        <v>623</v>
      </c>
      <c r="D95" t="s">
        <v>226</v>
      </c>
      <c r="E95" t="s">
        <v>202</v>
      </c>
      <c r="F95" t="s">
        <v>203</v>
      </c>
      <c r="G95" t="s">
        <v>204</v>
      </c>
      <c r="H95" t="s">
        <v>205</v>
      </c>
      <c r="I95" t="s">
        <v>624</v>
      </c>
      <c r="J95" t="s">
        <v>207</v>
      </c>
      <c r="K95" t="s">
        <v>278</v>
      </c>
      <c r="L95" t="s">
        <v>209</v>
      </c>
      <c r="M95" t="str">
        <f t="shared" si="2"/>
        <v>Translucent area</v>
      </c>
      <c r="N95">
        <v>400</v>
      </c>
      <c r="O95">
        <f>IF($A95="","",COUNTIF(attestations!$B$2:$B$2000,$A95))</f>
        <v>10</v>
      </c>
      <c r="P95">
        <f>IF($A95="","",COUNTIFS(attestations!$B$2:$B$2000,$A95,attestations!$R$2:$R$2000,"Map"))</f>
        <v>0</v>
      </c>
      <c r="Q95">
        <f>IF($A95="","",COUNTIFS(attestations!$B$2:$B$2000,$A95,attestations!$R$2:$R$2000,"Image"))</f>
        <v>0</v>
      </c>
      <c r="R95">
        <f>IF($A95="","",COUNTIFS(attestations!$B$2:$B$2000,$A95,attestations!$R$2:$R$2000,"Textual"))</f>
        <v>0</v>
      </c>
      <c r="S95">
        <f>IF($A95="","",COUNTIFS(attestations!$B$2:$B$2000,$A95,attestations!$D$2:$D$2000,"Geometry (Setting)"))</f>
        <v>2</v>
      </c>
      <c r="T95" t="str">
        <f t="shared" si="3"/>
        <v>High</v>
      </c>
      <c r="U95" t="str">
        <f>IF($A95="","",IF(COUNTIFS(attestations!$B$2:$B$2000,$A95,attestations!$I$2:$I$2000,"Georeferenced map GCP")&gt;0,"Y","N"))</f>
        <v>Y</v>
      </c>
      <c r="V95" t="s">
        <v>210</v>
      </c>
      <c r="X95" t="s">
        <v>625</v>
      </c>
      <c r="Y95" t="s">
        <v>212</v>
      </c>
    </row>
    <row r="96" spans="1:27" x14ac:dyDescent="0.2">
      <c r="A96" t="s">
        <v>626</v>
      </c>
      <c r="B96" t="s">
        <v>627</v>
      </c>
      <c r="C96" t="s">
        <v>628</v>
      </c>
      <c r="D96" t="s">
        <v>226</v>
      </c>
      <c r="E96" t="s">
        <v>202</v>
      </c>
      <c r="F96" t="s">
        <v>203</v>
      </c>
      <c r="G96" t="s">
        <v>204</v>
      </c>
      <c r="H96" t="s">
        <v>205</v>
      </c>
      <c r="I96" t="s">
        <v>276</v>
      </c>
      <c r="J96" t="s">
        <v>207</v>
      </c>
      <c r="K96" t="s">
        <v>278</v>
      </c>
      <c r="L96" t="s">
        <v>209</v>
      </c>
      <c r="M96" t="str">
        <f t="shared" si="2"/>
        <v>Translucent area</v>
      </c>
      <c r="N96">
        <v>400</v>
      </c>
      <c r="O96">
        <f>IF($A96="","",COUNTIF(attestations!$B$2:$B$2000,$A96))</f>
        <v>12</v>
      </c>
      <c r="P96">
        <f>IF($A96="","",COUNTIFS(attestations!$B$2:$B$2000,$A96,attestations!$R$2:$R$2000,"Map"))</f>
        <v>0</v>
      </c>
      <c r="Q96">
        <f>IF($A96="","",COUNTIFS(attestations!$B$2:$B$2000,$A96,attestations!$R$2:$R$2000,"Image"))</f>
        <v>0</v>
      </c>
      <c r="R96">
        <f>IF($A96="","",COUNTIFS(attestations!$B$2:$B$2000,$A96,attestations!$R$2:$R$2000,"Textual"))</f>
        <v>0</v>
      </c>
      <c r="S96">
        <f>IF($A96="","",COUNTIFS(attestations!$B$2:$B$2000,$A96,attestations!$D$2:$D$2000,"Geometry (Setting)"))</f>
        <v>4</v>
      </c>
      <c r="T96" t="str">
        <f t="shared" si="3"/>
        <v>High</v>
      </c>
      <c r="U96" t="str">
        <f>IF($A96="","",IF(COUNTIFS(attestations!$B$2:$B$2000,$A96,attestations!$I$2:$I$2000,"Georeferenced map GCP")&gt;0,"Y","N"))</f>
        <v>Y</v>
      </c>
      <c r="V96" t="s">
        <v>210</v>
      </c>
      <c r="X96" t="s">
        <v>629</v>
      </c>
      <c r="Y96" t="s">
        <v>212</v>
      </c>
    </row>
    <row r="97" spans="1:26" x14ac:dyDescent="0.2">
      <c r="A97" t="s">
        <v>630</v>
      </c>
      <c r="B97" t="s">
        <v>510</v>
      </c>
      <c r="C97" t="s">
        <v>631</v>
      </c>
      <c r="D97" t="s">
        <v>275</v>
      </c>
      <c r="E97" t="s">
        <v>255</v>
      </c>
      <c r="F97" t="s">
        <v>319</v>
      </c>
      <c r="G97" t="s">
        <v>257</v>
      </c>
      <c r="H97" t="s">
        <v>242</v>
      </c>
      <c r="I97" t="s">
        <v>632</v>
      </c>
      <c r="J97" t="s">
        <v>385</v>
      </c>
      <c r="K97" t="s">
        <v>278</v>
      </c>
      <c r="L97" t="s">
        <v>228</v>
      </c>
      <c r="M97" t="str">
        <f t="shared" si="2"/>
        <v>Point + buffer</v>
      </c>
      <c r="N97">
        <v>200</v>
      </c>
      <c r="O97">
        <f>IF($A97="","",COUNTIF(attestations!$B$2:$B$2000,$A97))</f>
        <v>2</v>
      </c>
      <c r="P97">
        <f>IF($A97="","",COUNTIFS(attestations!$B$2:$B$2000,$A97,attestations!$R$2:$R$2000,"Map"))</f>
        <v>0</v>
      </c>
      <c r="Q97">
        <f>IF($A97="","",COUNTIFS(attestations!$B$2:$B$2000,$A97,attestations!$R$2:$R$2000,"Image"))</f>
        <v>0</v>
      </c>
      <c r="R97">
        <f>IF($A97="","",COUNTIFS(attestations!$B$2:$B$2000,$A97,attestations!$R$2:$R$2000,"Textual"))</f>
        <v>0</v>
      </c>
      <c r="S97">
        <f>IF($A97="","",COUNTIFS(attestations!$B$2:$B$2000,$A97,attestations!$D$2:$D$2000,"Geometry (Setting)"))</f>
        <v>0</v>
      </c>
      <c r="T97" t="str">
        <f t="shared" si="3"/>
        <v>Low</v>
      </c>
      <c r="U97" t="str">
        <f>IF($A97="","",IF(COUNTIFS(attestations!$B$2:$B$2000,$A97,attestations!$I$2:$I$2000,"Georeferenced map GCP")&gt;0,"Y","N"))</f>
        <v>N</v>
      </c>
      <c r="V97" t="s">
        <v>303</v>
      </c>
      <c r="X97" t="s">
        <v>633</v>
      </c>
      <c r="Y97" t="s">
        <v>212</v>
      </c>
    </row>
    <row r="98" spans="1:26" x14ac:dyDescent="0.2">
      <c r="A98" t="s">
        <v>634</v>
      </c>
      <c r="B98" t="s">
        <v>524</v>
      </c>
      <c r="C98" t="s">
        <v>523</v>
      </c>
      <c r="D98" t="s">
        <v>226</v>
      </c>
      <c r="E98" t="s">
        <v>255</v>
      </c>
      <c r="F98" t="s">
        <v>319</v>
      </c>
      <c r="G98" t="s">
        <v>204</v>
      </c>
      <c r="H98" t="s">
        <v>205</v>
      </c>
      <c r="I98" t="s">
        <v>635</v>
      </c>
      <c r="J98" t="s">
        <v>636</v>
      </c>
      <c r="K98" t="s">
        <v>227</v>
      </c>
      <c r="L98" t="s">
        <v>228</v>
      </c>
      <c r="M98" t="str">
        <f t="shared" si="2"/>
        <v>Point + buffer</v>
      </c>
      <c r="N98">
        <v>250</v>
      </c>
      <c r="O98">
        <f>IF($A98="","",COUNTIF(attestations!$B$2:$B$2000,$A98))</f>
        <v>2</v>
      </c>
      <c r="P98">
        <f>IF($A98="","",COUNTIFS(attestations!$B$2:$B$2000,$A98,attestations!$R$2:$R$2000,"Map"))</f>
        <v>0</v>
      </c>
      <c r="Q98">
        <f>IF($A98="","",COUNTIFS(attestations!$B$2:$B$2000,$A98,attestations!$R$2:$R$2000,"Image"))</f>
        <v>0</v>
      </c>
      <c r="R98">
        <f>IF($A98="","",COUNTIFS(attestations!$B$2:$B$2000,$A98,attestations!$R$2:$R$2000,"Textual"))</f>
        <v>0</v>
      </c>
      <c r="S98">
        <f>IF($A98="","",COUNTIFS(attestations!$B$2:$B$2000,$A98,attestations!$D$2:$D$2000,"Geometry (Setting)"))</f>
        <v>0</v>
      </c>
      <c r="T98" t="str">
        <f t="shared" si="3"/>
        <v>Low</v>
      </c>
      <c r="U98" t="str">
        <f>IF($A98="","",IF(COUNTIFS(attestations!$B$2:$B$2000,$A98,attestations!$I$2:$I$2000,"Georeferenced map GCP")&gt;0,"Y","N"))</f>
        <v>N</v>
      </c>
      <c r="V98" t="s">
        <v>303</v>
      </c>
      <c r="X98" t="s">
        <v>637</v>
      </c>
      <c r="Y98" t="s">
        <v>212</v>
      </c>
    </row>
    <row r="99" spans="1:26" x14ac:dyDescent="0.2">
      <c r="A99" t="s">
        <v>638</v>
      </c>
      <c r="B99" t="s">
        <v>639</v>
      </c>
      <c r="D99" t="s">
        <v>640</v>
      </c>
      <c r="E99" t="s">
        <v>255</v>
      </c>
      <c r="F99" t="s">
        <v>319</v>
      </c>
      <c r="G99" t="s">
        <v>257</v>
      </c>
      <c r="H99" t="s">
        <v>242</v>
      </c>
      <c r="I99" t="s">
        <v>641</v>
      </c>
      <c r="J99" t="s">
        <v>642</v>
      </c>
      <c r="K99" t="s">
        <v>227</v>
      </c>
      <c r="L99" t="s">
        <v>228</v>
      </c>
      <c r="M99" t="str">
        <f t="shared" si="2"/>
        <v>Point + buffer</v>
      </c>
      <c r="N99">
        <v>350</v>
      </c>
      <c r="O99">
        <f>IF($A99="","",COUNTIF(attestations!$B$2:$B$2000,$A99))</f>
        <v>10</v>
      </c>
      <c r="P99">
        <f>IF($A99="","",COUNTIFS(attestations!$B$2:$B$2000,$A99,attestations!$R$2:$R$2000,"Map"))</f>
        <v>0</v>
      </c>
      <c r="Q99">
        <f>IF($A99="","",COUNTIFS(attestations!$B$2:$B$2000,$A99,attestations!$R$2:$R$2000,"Image"))</f>
        <v>0</v>
      </c>
      <c r="R99">
        <f>IF($A99="","",COUNTIFS(attestations!$B$2:$B$2000,$A99,attestations!$R$2:$R$2000,"Textual"))</f>
        <v>0</v>
      </c>
      <c r="S99">
        <f>IF($A99="","",COUNTIFS(attestations!$B$2:$B$2000,$A99,attestations!$D$2:$D$2000,"Geometry (Setting)"))</f>
        <v>1</v>
      </c>
      <c r="T99" t="str">
        <f t="shared" si="3"/>
        <v>High</v>
      </c>
      <c r="U99" t="str">
        <f>IF($A99="","",IF(COUNTIFS(attestations!$B$2:$B$2000,$A99,attestations!$I$2:$I$2000,"Georeferenced map GCP")&gt;0,"Y","N"))</f>
        <v>Y</v>
      </c>
      <c r="V99" t="s">
        <v>210</v>
      </c>
      <c r="W99" t="s">
        <v>222</v>
      </c>
      <c r="X99" t="s">
        <v>643</v>
      </c>
      <c r="Y99" t="s">
        <v>212</v>
      </c>
    </row>
    <row r="100" spans="1:26" x14ac:dyDescent="0.2">
      <c r="A100" t="s">
        <v>644</v>
      </c>
      <c r="B100" t="s">
        <v>645</v>
      </c>
      <c r="D100" t="s">
        <v>275</v>
      </c>
      <c r="E100" t="s">
        <v>255</v>
      </c>
      <c r="F100" t="s">
        <v>319</v>
      </c>
      <c r="G100" t="s">
        <v>257</v>
      </c>
      <c r="H100" t="s">
        <v>242</v>
      </c>
      <c r="I100" t="s">
        <v>646</v>
      </c>
      <c r="J100" t="s">
        <v>647</v>
      </c>
      <c r="K100" t="s">
        <v>227</v>
      </c>
      <c r="L100" t="s">
        <v>228</v>
      </c>
      <c r="M100" t="str">
        <f t="shared" si="2"/>
        <v>Point + buffer</v>
      </c>
      <c r="N100">
        <v>350</v>
      </c>
      <c r="O100">
        <f>IF($A100="","",COUNTIF(attestations!$B$2:$B$2000,$A100))</f>
        <v>11</v>
      </c>
      <c r="P100">
        <f>IF($A100="","",COUNTIFS(attestations!$B$2:$B$2000,$A100,attestations!$R$2:$R$2000,"Map"))</f>
        <v>0</v>
      </c>
      <c r="Q100">
        <f>IF($A100="","",COUNTIFS(attestations!$B$2:$B$2000,$A100,attestations!$R$2:$R$2000,"Image"))</f>
        <v>0</v>
      </c>
      <c r="R100">
        <f>IF($A100="","",COUNTIFS(attestations!$B$2:$B$2000,$A100,attestations!$R$2:$R$2000,"Textual"))</f>
        <v>0</v>
      </c>
      <c r="S100">
        <f>IF($A100="","",COUNTIFS(attestations!$B$2:$B$2000,$A100,attestations!$D$2:$D$2000,"Geometry (Setting)"))</f>
        <v>1</v>
      </c>
      <c r="T100" t="str">
        <f t="shared" si="3"/>
        <v>High</v>
      </c>
      <c r="U100" t="str">
        <f>IF($A100="","",IF(COUNTIFS(attestations!$B$2:$B$2000,$A100,attestations!$I$2:$I$2000,"Georeferenced map GCP")&gt;0,"Y","N"))</f>
        <v>Y</v>
      </c>
      <c r="V100" t="s">
        <v>210</v>
      </c>
      <c r="W100" t="s">
        <v>222</v>
      </c>
      <c r="X100" t="s">
        <v>648</v>
      </c>
      <c r="Y100" t="s">
        <v>212</v>
      </c>
    </row>
    <row r="101" spans="1:26" x14ac:dyDescent="0.2">
      <c r="A101" t="s">
        <v>649</v>
      </c>
      <c r="B101" t="s">
        <v>650</v>
      </c>
      <c r="C101" t="s">
        <v>651</v>
      </c>
      <c r="D101" t="s">
        <v>226</v>
      </c>
      <c r="E101" t="s">
        <v>227</v>
      </c>
      <c r="F101" t="s">
        <v>227</v>
      </c>
      <c r="G101" t="s">
        <v>339</v>
      </c>
      <c r="H101" t="s">
        <v>205</v>
      </c>
      <c r="I101" t="s">
        <v>652</v>
      </c>
      <c r="K101" t="s">
        <v>227</v>
      </c>
      <c r="L101" t="s">
        <v>209</v>
      </c>
      <c r="M101" t="str">
        <f t="shared" si="2"/>
        <v>Translucent area</v>
      </c>
      <c r="N101">
        <v>500</v>
      </c>
      <c r="O101">
        <f>IF($A101="","",COUNTIF(attestations!$B$2:$B$2000,$A101))</f>
        <v>19</v>
      </c>
      <c r="P101">
        <f>IF($A101="","",COUNTIFS(attestations!$B$2:$B$2000,$A101,attestations!$R$2:$R$2000,"Map"))</f>
        <v>0</v>
      </c>
      <c r="Q101">
        <f>IF($A101="","",COUNTIFS(attestations!$B$2:$B$2000,$A101,attestations!$R$2:$R$2000,"Image"))</f>
        <v>0</v>
      </c>
      <c r="R101">
        <f>IF($A101="","",COUNTIFS(attestations!$B$2:$B$2000,$A101,attestations!$R$2:$R$2000,"Textual"))</f>
        <v>0</v>
      </c>
      <c r="S101">
        <f>IF($A101="","",COUNTIFS(attestations!$B$2:$B$2000,$A101,attestations!$D$2:$D$2000,"Geometry (Setting)"))</f>
        <v>1</v>
      </c>
      <c r="T101" t="str">
        <f t="shared" si="3"/>
        <v>High</v>
      </c>
      <c r="U101" t="str">
        <f>IF($A101="","",IF(COUNTIFS(attestations!$B$2:$B$2000,$A101,attestations!$I$2:$I$2000,"Georeferenced map GCP")&gt;0,"Y","N"))</f>
        <v>Y</v>
      </c>
      <c r="V101" t="s">
        <v>210</v>
      </c>
      <c r="W101" t="s">
        <v>222</v>
      </c>
      <c r="X101" t="s">
        <v>653</v>
      </c>
      <c r="Y101" t="s">
        <v>212</v>
      </c>
    </row>
    <row r="102" spans="1:26" x14ac:dyDescent="0.2">
      <c r="A102" t="s">
        <v>654</v>
      </c>
      <c r="B102" t="s">
        <v>655</v>
      </c>
      <c r="D102" t="s">
        <v>226</v>
      </c>
      <c r="E102" t="s">
        <v>227</v>
      </c>
      <c r="F102" t="s">
        <v>227</v>
      </c>
      <c r="G102" t="s">
        <v>319</v>
      </c>
      <c r="H102" t="s">
        <v>205</v>
      </c>
      <c r="I102" t="s">
        <v>656</v>
      </c>
      <c r="K102" t="s">
        <v>227</v>
      </c>
      <c r="L102" t="s">
        <v>228</v>
      </c>
      <c r="M102" t="str">
        <f t="shared" si="2"/>
        <v>Point + buffer</v>
      </c>
      <c r="N102">
        <v>500</v>
      </c>
      <c r="O102">
        <f>IF($A102="","",COUNTIF(attestations!$B$2:$B$2000,$A102))</f>
        <v>8</v>
      </c>
      <c r="P102">
        <f>IF($A102="","",COUNTIFS(attestations!$B$2:$B$2000,$A102,attestations!$R$2:$R$2000,"Map"))</f>
        <v>0</v>
      </c>
      <c r="Q102">
        <f>IF($A102="","",COUNTIFS(attestations!$B$2:$B$2000,$A102,attestations!$R$2:$R$2000,"Image"))</f>
        <v>0</v>
      </c>
      <c r="R102">
        <f>IF($A102="","",COUNTIFS(attestations!$B$2:$B$2000,$A102,attestations!$R$2:$R$2000,"Textual"))</f>
        <v>0</v>
      </c>
      <c r="S102">
        <f>IF($A102="","",COUNTIFS(attestations!$B$2:$B$2000,$A102,attestations!$D$2:$D$2000,"Geometry (Setting)"))</f>
        <v>1</v>
      </c>
      <c r="T102" t="str">
        <f t="shared" si="3"/>
        <v>High</v>
      </c>
      <c r="U102" t="str">
        <f>IF($A102="","",IF(COUNTIFS(attestations!$B$2:$B$2000,$A102,attestations!$I$2:$I$2000,"Georeferenced map GCP")&gt;0,"Y","N"))</f>
        <v>Y</v>
      </c>
      <c r="V102" t="s">
        <v>210</v>
      </c>
      <c r="W102" t="s">
        <v>228</v>
      </c>
      <c r="X102" t="s">
        <v>657</v>
      </c>
      <c r="Y102" t="s">
        <v>212</v>
      </c>
    </row>
    <row r="103" spans="1:26" x14ac:dyDescent="0.2">
      <c r="A103" t="s">
        <v>658</v>
      </c>
      <c r="B103" t="s">
        <v>659</v>
      </c>
      <c r="D103" t="s">
        <v>215</v>
      </c>
      <c r="E103" t="s">
        <v>202</v>
      </c>
      <c r="F103" t="s">
        <v>319</v>
      </c>
      <c r="G103" t="s">
        <v>204</v>
      </c>
      <c r="H103" t="s">
        <v>205</v>
      </c>
      <c r="I103" t="s">
        <v>656</v>
      </c>
      <c r="J103" t="s">
        <v>660</v>
      </c>
      <c r="K103" t="s">
        <v>227</v>
      </c>
      <c r="L103" t="s">
        <v>228</v>
      </c>
      <c r="M103" t="str">
        <f t="shared" si="2"/>
        <v>Point + buffer</v>
      </c>
      <c r="N103">
        <v>600</v>
      </c>
      <c r="O103">
        <f>IF($A103="","",COUNTIF(attestations!$B$2:$B$2000,$A103))</f>
        <v>7</v>
      </c>
      <c r="P103">
        <f>IF($A103="","",COUNTIFS(attestations!$B$2:$B$2000,$A103,attestations!$R$2:$R$2000,"Map"))</f>
        <v>0</v>
      </c>
      <c r="Q103">
        <f>IF($A103="","",COUNTIFS(attestations!$B$2:$B$2000,$A103,attestations!$R$2:$R$2000,"Image"))</f>
        <v>0</v>
      </c>
      <c r="R103">
        <f>IF($A103="","",COUNTIFS(attestations!$B$2:$B$2000,$A103,attestations!$R$2:$R$2000,"Textual"))</f>
        <v>0</v>
      </c>
      <c r="S103">
        <f>IF($A103="","",COUNTIFS(attestations!$B$2:$B$2000,$A103,attestations!$D$2:$D$2000,"Geometry (Setting)"))</f>
        <v>1</v>
      </c>
      <c r="T103" t="str">
        <f t="shared" si="3"/>
        <v>High</v>
      </c>
      <c r="U103" t="str">
        <f>IF($A103="","",IF(COUNTIFS(attestations!$B$2:$B$2000,$A103,attestations!$I$2:$I$2000,"Georeferenced map GCP")&gt;0,"Y","N"))</f>
        <v>Y</v>
      </c>
      <c r="V103" t="s">
        <v>210</v>
      </c>
      <c r="W103" t="s">
        <v>222</v>
      </c>
      <c r="X103" t="s">
        <v>661</v>
      </c>
      <c r="Y103" t="s">
        <v>212</v>
      </c>
    </row>
    <row r="104" spans="1:26" x14ac:dyDescent="0.2">
      <c r="A104" t="s">
        <v>662</v>
      </c>
      <c r="B104" t="s">
        <v>663</v>
      </c>
      <c r="D104" t="s">
        <v>226</v>
      </c>
      <c r="E104" t="s">
        <v>202</v>
      </c>
      <c r="F104" t="s">
        <v>319</v>
      </c>
      <c r="G104" t="s">
        <v>204</v>
      </c>
      <c r="H104" t="s">
        <v>205</v>
      </c>
      <c r="I104" t="s">
        <v>656</v>
      </c>
      <c r="J104" t="s">
        <v>660</v>
      </c>
      <c r="K104" t="s">
        <v>227</v>
      </c>
      <c r="L104" t="s">
        <v>228</v>
      </c>
      <c r="M104" t="str">
        <f t="shared" si="2"/>
        <v>Point + buffer</v>
      </c>
      <c r="N104">
        <v>600</v>
      </c>
      <c r="O104">
        <f>IF($A104="","",COUNTIF(attestations!$B$2:$B$2000,$A104))</f>
        <v>7</v>
      </c>
      <c r="P104">
        <f>IF($A104="","",COUNTIFS(attestations!$B$2:$B$2000,$A104,attestations!$R$2:$R$2000,"Map"))</f>
        <v>0</v>
      </c>
      <c r="Q104">
        <f>IF($A104="","",COUNTIFS(attestations!$B$2:$B$2000,$A104,attestations!$R$2:$R$2000,"Image"))</f>
        <v>0</v>
      </c>
      <c r="R104">
        <f>IF($A104="","",COUNTIFS(attestations!$B$2:$B$2000,$A104,attestations!$R$2:$R$2000,"Textual"))</f>
        <v>0</v>
      </c>
      <c r="S104">
        <f>IF($A104="","",COUNTIFS(attestations!$B$2:$B$2000,$A104,attestations!$D$2:$D$2000,"Geometry (Setting)"))</f>
        <v>1</v>
      </c>
      <c r="T104" t="str">
        <f t="shared" si="3"/>
        <v>High</v>
      </c>
      <c r="U104" t="str">
        <f>IF($A104="","",IF(COUNTIFS(attestations!$B$2:$B$2000,$A104,attestations!$I$2:$I$2000,"Georeferenced map GCP")&gt;0,"Y","N"))</f>
        <v>Y</v>
      </c>
      <c r="V104" t="s">
        <v>210</v>
      </c>
      <c r="W104" t="s">
        <v>222</v>
      </c>
      <c r="X104" t="s">
        <v>664</v>
      </c>
      <c r="Y104" t="s">
        <v>212</v>
      </c>
    </row>
    <row r="105" spans="1:26" x14ac:dyDescent="0.2">
      <c r="A105" t="s">
        <v>665</v>
      </c>
      <c r="B105" t="s">
        <v>666</v>
      </c>
      <c r="D105" t="s">
        <v>226</v>
      </c>
      <c r="E105" t="s">
        <v>202</v>
      </c>
      <c r="F105" t="s">
        <v>319</v>
      </c>
      <c r="G105" t="s">
        <v>204</v>
      </c>
      <c r="H105" t="s">
        <v>205</v>
      </c>
      <c r="I105" t="s">
        <v>656</v>
      </c>
      <c r="J105" t="s">
        <v>660</v>
      </c>
      <c r="K105" t="s">
        <v>227</v>
      </c>
      <c r="L105" t="s">
        <v>209</v>
      </c>
      <c r="M105" t="str">
        <f t="shared" si="2"/>
        <v>Translucent area</v>
      </c>
      <c r="N105">
        <v>700</v>
      </c>
      <c r="O105">
        <f>IF($A105="","",COUNTIF(attestations!$B$2:$B$2000,$A105))</f>
        <v>6</v>
      </c>
      <c r="P105">
        <f>IF($A105="","",COUNTIFS(attestations!$B$2:$B$2000,$A105,attestations!$R$2:$R$2000,"Map"))</f>
        <v>0</v>
      </c>
      <c r="Q105">
        <f>IF($A105="","",COUNTIFS(attestations!$B$2:$B$2000,$A105,attestations!$R$2:$R$2000,"Image"))</f>
        <v>0</v>
      </c>
      <c r="R105">
        <f>IF($A105="","",COUNTIFS(attestations!$B$2:$B$2000,$A105,attestations!$R$2:$R$2000,"Textual"))</f>
        <v>0</v>
      </c>
      <c r="S105">
        <f>IF($A105="","",COUNTIFS(attestations!$B$2:$B$2000,$A105,attestations!$D$2:$D$2000,"Geometry (Setting)"))</f>
        <v>1</v>
      </c>
      <c r="T105" t="str">
        <f t="shared" si="3"/>
        <v>High</v>
      </c>
      <c r="U105" t="str">
        <f>IF($A105="","",IF(COUNTIFS(attestations!$B$2:$B$2000,$A105,attestations!$I$2:$I$2000,"Georeferenced map GCP")&gt;0,"Y","N"))</f>
        <v>Y</v>
      </c>
      <c r="V105" t="s">
        <v>210</v>
      </c>
      <c r="W105" t="s">
        <v>228</v>
      </c>
      <c r="X105" t="s">
        <v>667</v>
      </c>
      <c r="Y105" t="s">
        <v>212</v>
      </c>
    </row>
    <row r="106" spans="1:26" x14ac:dyDescent="0.2">
      <c r="A106" t="s">
        <v>668</v>
      </c>
      <c r="B106" t="s">
        <v>669</v>
      </c>
      <c r="D106" t="s">
        <v>226</v>
      </c>
      <c r="E106" t="s">
        <v>227</v>
      </c>
      <c r="F106" t="s">
        <v>227</v>
      </c>
      <c r="G106" t="s">
        <v>204</v>
      </c>
      <c r="H106" t="s">
        <v>205</v>
      </c>
      <c r="I106" t="s">
        <v>656</v>
      </c>
      <c r="K106" t="s">
        <v>227</v>
      </c>
      <c r="L106" t="s">
        <v>228</v>
      </c>
      <c r="M106" t="str">
        <f t="shared" si="2"/>
        <v>Point + buffer</v>
      </c>
      <c r="N106">
        <v>600</v>
      </c>
      <c r="O106">
        <f>IF($A106="","",COUNTIF(attestations!$B$2:$B$2000,$A106))</f>
        <v>9</v>
      </c>
      <c r="P106">
        <f>IF($A106="","",COUNTIFS(attestations!$B$2:$B$2000,$A106,attestations!$R$2:$R$2000,"Map"))</f>
        <v>0</v>
      </c>
      <c r="Q106">
        <f>IF($A106="","",COUNTIFS(attestations!$B$2:$B$2000,$A106,attestations!$R$2:$R$2000,"Image"))</f>
        <v>0</v>
      </c>
      <c r="R106">
        <f>IF($A106="","",COUNTIFS(attestations!$B$2:$B$2000,$A106,attestations!$R$2:$R$2000,"Textual"))</f>
        <v>0</v>
      </c>
      <c r="S106">
        <f>IF($A106="","",COUNTIFS(attestations!$B$2:$B$2000,$A106,attestations!$D$2:$D$2000,"Geometry (Setting)"))</f>
        <v>1</v>
      </c>
      <c r="T106" t="str">
        <f t="shared" si="3"/>
        <v>High</v>
      </c>
      <c r="U106" t="str">
        <f>IF($A106="","",IF(COUNTIFS(attestations!$B$2:$B$2000,$A106,attestations!$I$2:$I$2000,"Georeferenced map GCP")&gt;0,"Y","N"))</f>
        <v>Y</v>
      </c>
      <c r="V106" t="s">
        <v>210</v>
      </c>
      <c r="W106" t="s">
        <v>222</v>
      </c>
      <c r="X106" t="s">
        <v>670</v>
      </c>
      <c r="Y106" t="s">
        <v>212</v>
      </c>
    </row>
    <row r="107" spans="1:26" x14ac:dyDescent="0.2">
      <c r="A107" t="s">
        <v>671</v>
      </c>
      <c r="B107" t="s">
        <v>672</v>
      </c>
      <c r="D107" t="s">
        <v>673</v>
      </c>
      <c r="E107" t="s">
        <v>255</v>
      </c>
      <c r="F107" t="s">
        <v>256</v>
      </c>
      <c r="G107" t="s">
        <v>268</v>
      </c>
      <c r="H107" t="s">
        <v>242</v>
      </c>
      <c r="I107" t="s">
        <v>635</v>
      </c>
      <c r="J107" t="s">
        <v>292</v>
      </c>
      <c r="K107" t="s">
        <v>278</v>
      </c>
      <c r="L107" t="s">
        <v>228</v>
      </c>
      <c r="M107" t="str">
        <f t="shared" si="2"/>
        <v>Point + buffer</v>
      </c>
      <c r="N107">
        <v>200</v>
      </c>
      <c r="O107">
        <f>IF($A107="","",COUNTIF(attestations!$B$2:$B$2000,$A107))</f>
        <v>5</v>
      </c>
      <c r="P107">
        <f>IF($A107="","",COUNTIFS(attestations!$B$2:$B$2000,$A107,attestations!$R$2:$R$2000,"Map"))</f>
        <v>0</v>
      </c>
      <c r="Q107">
        <f>IF($A107="","",COUNTIFS(attestations!$B$2:$B$2000,$A107,attestations!$R$2:$R$2000,"Image"))</f>
        <v>0</v>
      </c>
      <c r="R107">
        <f>IF($A107="","",COUNTIFS(attestations!$B$2:$B$2000,$A107,attestations!$R$2:$R$2000,"Textual"))</f>
        <v>0</v>
      </c>
      <c r="S107">
        <f>IF($A107="","",COUNTIFS(attestations!$B$2:$B$2000,$A107,attestations!$D$2:$D$2000,"Geometry (Setting)"))</f>
        <v>1</v>
      </c>
      <c r="T107" t="str">
        <f t="shared" si="3"/>
        <v>Medium</v>
      </c>
      <c r="U107" t="str">
        <f>IF($A107="","",IF(COUNTIFS(attestations!$B$2:$B$2000,$A107,attestations!$I$2:$I$2000,"Georeferenced map GCP")&gt;0,"Y","N"))</f>
        <v>Y</v>
      </c>
      <c r="V107" t="s">
        <v>210</v>
      </c>
      <c r="X107" t="s">
        <v>674</v>
      </c>
      <c r="Y107" t="s">
        <v>305</v>
      </c>
      <c r="Z107" t="s">
        <v>252</v>
      </c>
    </row>
    <row r="108" spans="1:26" x14ac:dyDescent="0.2">
      <c r="A108" t="s">
        <v>675</v>
      </c>
      <c r="B108" t="s">
        <v>676</v>
      </c>
      <c r="D108" t="s">
        <v>677</v>
      </c>
      <c r="E108" t="s">
        <v>255</v>
      </c>
      <c r="F108" t="s">
        <v>256</v>
      </c>
      <c r="G108" t="s">
        <v>333</v>
      </c>
      <c r="H108" t="s">
        <v>242</v>
      </c>
      <c r="I108" t="s">
        <v>635</v>
      </c>
      <c r="J108" t="s">
        <v>292</v>
      </c>
      <c r="K108" t="s">
        <v>278</v>
      </c>
      <c r="L108" t="s">
        <v>228</v>
      </c>
      <c r="M108" t="str">
        <f t="shared" si="2"/>
        <v>Point + buffer</v>
      </c>
      <c r="N108">
        <v>200</v>
      </c>
      <c r="O108">
        <f>IF($A108="","",COUNTIF(attestations!$B$2:$B$2000,$A108))</f>
        <v>2</v>
      </c>
      <c r="P108">
        <f>IF($A108="","",COUNTIFS(attestations!$B$2:$B$2000,$A108,attestations!$R$2:$R$2000,"Map"))</f>
        <v>0</v>
      </c>
      <c r="Q108">
        <f>IF($A108="","",COUNTIFS(attestations!$B$2:$B$2000,$A108,attestations!$R$2:$R$2000,"Image"))</f>
        <v>0</v>
      </c>
      <c r="R108">
        <f>IF($A108="","",COUNTIFS(attestations!$B$2:$B$2000,$A108,attestations!$R$2:$R$2000,"Textual"))</f>
        <v>0</v>
      </c>
      <c r="S108">
        <f>IF($A108="","",COUNTIFS(attestations!$B$2:$B$2000,$A108,attestations!$D$2:$D$2000,"Geometry (Setting)"))</f>
        <v>1</v>
      </c>
      <c r="T108" t="str">
        <f t="shared" si="3"/>
        <v>Low</v>
      </c>
      <c r="U108" t="str">
        <f>IF($A108="","",IF(COUNTIFS(attestations!$B$2:$B$2000,$A108,attestations!$I$2:$I$2000,"Georeferenced map GCP")&gt;0,"Y","N"))</f>
        <v>Y</v>
      </c>
      <c r="V108" t="s">
        <v>210</v>
      </c>
      <c r="X108" t="s">
        <v>678</v>
      </c>
      <c r="Y108" t="s">
        <v>333</v>
      </c>
      <c r="Z108" t="s">
        <v>252</v>
      </c>
    </row>
    <row r="109" spans="1:26" x14ac:dyDescent="0.2">
      <c r="A109" t="s">
        <v>679</v>
      </c>
      <c r="B109" t="s">
        <v>680</v>
      </c>
      <c r="D109" t="s">
        <v>318</v>
      </c>
      <c r="E109" t="s">
        <v>255</v>
      </c>
      <c r="F109" t="s">
        <v>256</v>
      </c>
      <c r="G109" t="s">
        <v>268</v>
      </c>
      <c r="H109" t="s">
        <v>269</v>
      </c>
      <c r="I109" t="s">
        <v>489</v>
      </c>
      <c r="J109" t="s">
        <v>292</v>
      </c>
      <c r="K109" t="s">
        <v>278</v>
      </c>
      <c r="L109" t="s">
        <v>228</v>
      </c>
      <c r="M109" t="str">
        <f t="shared" si="2"/>
        <v>Point + buffer</v>
      </c>
      <c r="N109">
        <v>200</v>
      </c>
      <c r="O109">
        <f>IF($A109="","",COUNTIF(attestations!$B$2:$B$2000,$A109))</f>
        <v>16</v>
      </c>
      <c r="P109">
        <f>IF($A109="","",COUNTIFS(attestations!$B$2:$B$2000,$A109,attestations!$R$2:$R$2000,"Map"))</f>
        <v>1</v>
      </c>
      <c r="Q109">
        <f>IF($A109="","",COUNTIFS(attestations!$B$2:$B$2000,$A109,attestations!$R$2:$R$2000,"Image"))</f>
        <v>0</v>
      </c>
      <c r="R109">
        <f>IF($A109="","",COUNTIFS(attestations!$B$2:$B$2000,$A109,attestations!$R$2:$R$2000,"Textual"))</f>
        <v>0</v>
      </c>
      <c r="S109">
        <f>IF($A109="","",COUNTIFS(attestations!$B$2:$B$2000,$A109,attestations!$D$2:$D$2000,"Geometry (Setting)"))</f>
        <v>5</v>
      </c>
      <c r="T109" t="str">
        <f t="shared" si="3"/>
        <v>High</v>
      </c>
      <c r="U109" t="str">
        <f>IF($A109="","",IF(COUNTIFS(attestations!$B$2:$B$2000,$A109,attestations!$I$2:$I$2000,"Georeferenced map GCP")&gt;0,"Y","N"))</f>
        <v>Y</v>
      </c>
      <c r="V109" t="s">
        <v>210</v>
      </c>
      <c r="X109" t="s">
        <v>681</v>
      </c>
      <c r="Y109" t="s">
        <v>294</v>
      </c>
      <c r="Z109" t="s">
        <v>252</v>
      </c>
    </row>
    <row r="110" spans="1:26" x14ac:dyDescent="0.2">
      <c r="A110" t="s">
        <v>682</v>
      </c>
      <c r="B110" t="s">
        <v>683</v>
      </c>
      <c r="D110" t="s">
        <v>308</v>
      </c>
      <c r="E110" t="s">
        <v>255</v>
      </c>
      <c r="F110" t="s">
        <v>256</v>
      </c>
      <c r="G110" t="s">
        <v>268</v>
      </c>
      <c r="H110" t="s">
        <v>269</v>
      </c>
      <c r="I110" t="s">
        <v>684</v>
      </c>
      <c r="J110" t="s">
        <v>292</v>
      </c>
      <c r="K110" t="s">
        <v>278</v>
      </c>
      <c r="L110" t="s">
        <v>228</v>
      </c>
      <c r="M110" t="str">
        <f t="shared" si="2"/>
        <v>Point + buffer</v>
      </c>
      <c r="N110">
        <v>200</v>
      </c>
      <c r="O110">
        <f>IF($A110="","",COUNTIF(attestations!$B$2:$B$2000,$A110))</f>
        <v>5</v>
      </c>
      <c r="P110">
        <f>IF($A110="","",COUNTIFS(attestations!$B$2:$B$2000,$A110,attestations!$R$2:$R$2000,"Map"))</f>
        <v>0</v>
      </c>
      <c r="Q110">
        <f>IF($A110="","",COUNTIFS(attestations!$B$2:$B$2000,$A110,attestations!$R$2:$R$2000,"Image"))</f>
        <v>0</v>
      </c>
      <c r="R110">
        <f>IF($A110="","",COUNTIFS(attestations!$B$2:$B$2000,$A110,attestations!$R$2:$R$2000,"Textual"))</f>
        <v>0</v>
      </c>
      <c r="S110">
        <f>IF($A110="","",COUNTIFS(attestations!$B$2:$B$2000,$A110,attestations!$D$2:$D$2000,"Geometry (Setting)"))</f>
        <v>1</v>
      </c>
      <c r="T110" t="str">
        <f t="shared" si="3"/>
        <v>Medium</v>
      </c>
      <c r="U110" t="str">
        <f>IF($A110="","",IF(COUNTIFS(attestations!$B$2:$B$2000,$A110,attestations!$I$2:$I$2000,"Georeferenced map GCP")&gt;0,"Y","N"))</f>
        <v>Y</v>
      </c>
      <c r="V110" t="s">
        <v>210</v>
      </c>
      <c r="X110" t="s">
        <v>685</v>
      </c>
      <c r="Y110" t="s">
        <v>305</v>
      </c>
      <c r="Z110" t="s">
        <v>252</v>
      </c>
    </row>
    <row r="111" spans="1:26" x14ac:dyDescent="0.2">
      <c r="A111" t="s">
        <v>686</v>
      </c>
      <c r="B111" t="s">
        <v>687</v>
      </c>
      <c r="D111" t="s">
        <v>673</v>
      </c>
      <c r="E111" t="s">
        <v>255</v>
      </c>
      <c r="F111" t="s">
        <v>256</v>
      </c>
      <c r="G111" t="s">
        <v>268</v>
      </c>
      <c r="H111" t="s">
        <v>242</v>
      </c>
      <c r="I111" t="s">
        <v>420</v>
      </c>
      <c r="J111" t="s">
        <v>292</v>
      </c>
      <c r="K111" t="s">
        <v>278</v>
      </c>
      <c r="L111" t="s">
        <v>228</v>
      </c>
      <c r="M111" t="str">
        <f t="shared" si="2"/>
        <v>Point + buffer</v>
      </c>
      <c r="N111">
        <v>200</v>
      </c>
      <c r="O111">
        <f>IF($A111="","",COUNTIF(attestations!$B$2:$B$2000,$A111))</f>
        <v>5</v>
      </c>
      <c r="P111">
        <f>IF($A111="","",COUNTIFS(attestations!$B$2:$B$2000,$A111,attestations!$R$2:$R$2000,"Map"))</f>
        <v>0</v>
      </c>
      <c r="Q111">
        <f>IF($A111="","",COUNTIFS(attestations!$B$2:$B$2000,$A111,attestations!$R$2:$R$2000,"Image"))</f>
        <v>0</v>
      </c>
      <c r="R111">
        <f>IF($A111="","",COUNTIFS(attestations!$B$2:$B$2000,$A111,attestations!$R$2:$R$2000,"Textual"))</f>
        <v>0</v>
      </c>
      <c r="S111">
        <f>IF($A111="","",COUNTIFS(attestations!$B$2:$B$2000,$A111,attestations!$D$2:$D$2000,"Geometry (Setting)"))</f>
        <v>1</v>
      </c>
      <c r="T111" t="str">
        <f t="shared" si="3"/>
        <v>Medium</v>
      </c>
      <c r="U111" t="str">
        <f>IF($A111="","",IF(COUNTIFS(attestations!$B$2:$B$2000,$A111,attestations!$I$2:$I$2000,"Georeferenced map GCP")&gt;0,"Y","N"))</f>
        <v>Y</v>
      </c>
      <c r="V111" t="s">
        <v>210</v>
      </c>
      <c r="X111" t="s">
        <v>688</v>
      </c>
      <c r="Y111" t="s">
        <v>305</v>
      </c>
      <c r="Z111" t="s">
        <v>252</v>
      </c>
    </row>
    <row r="112" spans="1:26" x14ac:dyDescent="0.2">
      <c r="A112" t="s">
        <v>689</v>
      </c>
      <c r="B112" t="s">
        <v>690</v>
      </c>
      <c r="D112" t="s">
        <v>673</v>
      </c>
      <c r="E112" t="s">
        <v>255</v>
      </c>
      <c r="F112" t="s">
        <v>256</v>
      </c>
      <c r="G112" t="s">
        <v>268</v>
      </c>
      <c r="H112" t="s">
        <v>242</v>
      </c>
      <c r="I112" t="s">
        <v>635</v>
      </c>
      <c r="J112" t="s">
        <v>292</v>
      </c>
      <c r="K112" t="s">
        <v>278</v>
      </c>
      <c r="L112" t="s">
        <v>228</v>
      </c>
      <c r="M112" t="str">
        <f t="shared" si="2"/>
        <v>Point + buffer</v>
      </c>
      <c r="N112">
        <v>200</v>
      </c>
      <c r="O112">
        <f>IF($A112="","",COUNTIF(attestations!$B$2:$B$2000,$A112))</f>
        <v>2</v>
      </c>
      <c r="P112">
        <f>IF($A112="","",COUNTIFS(attestations!$B$2:$B$2000,$A112,attestations!$R$2:$R$2000,"Map"))</f>
        <v>0</v>
      </c>
      <c r="Q112">
        <f>IF($A112="","",COUNTIFS(attestations!$B$2:$B$2000,$A112,attestations!$R$2:$R$2000,"Image"))</f>
        <v>0</v>
      </c>
      <c r="R112">
        <f>IF($A112="","",COUNTIFS(attestations!$B$2:$B$2000,$A112,attestations!$R$2:$R$2000,"Textual"))</f>
        <v>0</v>
      </c>
      <c r="S112">
        <f>IF($A112="","",COUNTIFS(attestations!$B$2:$B$2000,$A112,attestations!$D$2:$D$2000,"Geometry (Setting)"))</f>
        <v>1</v>
      </c>
      <c r="T112" t="str">
        <f t="shared" si="3"/>
        <v>Low</v>
      </c>
      <c r="U112" t="str">
        <f>IF($A112="","",IF(COUNTIFS(attestations!$B$2:$B$2000,$A112,attestations!$I$2:$I$2000,"Georeferenced map GCP")&gt;0,"Y","N"))</f>
        <v>Y</v>
      </c>
      <c r="V112" t="s">
        <v>210</v>
      </c>
      <c r="X112" t="s">
        <v>691</v>
      </c>
      <c r="Y112" t="s">
        <v>305</v>
      </c>
      <c r="Z112" t="s">
        <v>252</v>
      </c>
    </row>
    <row r="113" spans="1:26" x14ac:dyDescent="0.2">
      <c r="A113" t="s">
        <v>692</v>
      </c>
      <c r="B113" t="s">
        <v>693</v>
      </c>
      <c r="D113" t="s">
        <v>677</v>
      </c>
      <c r="E113" t="s">
        <v>255</v>
      </c>
      <c r="F113" t="s">
        <v>256</v>
      </c>
      <c r="G113" t="s">
        <v>333</v>
      </c>
      <c r="H113" t="s">
        <v>242</v>
      </c>
      <c r="I113" t="s">
        <v>694</v>
      </c>
      <c r="J113" t="s">
        <v>292</v>
      </c>
      <c r="K113" t="s">
        <v>278</v>
      </c>
      <c r="L113" t="s">
        <v>228</v>
      </c>
      <c r="M113" t="str">
        <f t="shared" si="2"/>
        <v>Point + buffer</v>
      </c>
      <c r="N113">
        <v>250</v>
      </c>
      <c r="O113">
        <f>IF($A113="","",COUNTIF(attestations!$B$2:$B$2000,$A113))</f>
        <v>17</v>
      </c>
      <c r="P113">
        <f>IF($A113="","",COUNTIFS(attestations!$B$2:$B$2000,$A113,attestations!$R$2:$R$2000,"Map"))</f>
        <v>0</v>
      </c>
      <c r="Q113">
        <f>IF($A113="","",COUNTIFS(attestations!$B$2:$B$2000,$A113,attestations!$R$2:$R$2000,"Image"))</f>
        <v>0</v>
      </c>
      <c r="R113">
        <f>IF($A113="","",COUNTIFS(attestations!$B$2:$B$2000,$A113,attestations!$R$2:$R$2000,"Textual"))</f>
        <v>0</v>
      </c>
      <c r="S113">
        <f>IF($A113="","",COUNTIFS(attestations!$B$2:$B$2000,$A113,attestations!$D$2:$D$2000,"Geometry (Setting)"))</f>
        <v>11</v>
      </c>
      <c r="T113" t="str">
        <f t="shared" si="3"/>
        <v>High</v>
      </c>
      <c r="U113" t="str">
        <f>IF($A113="","",IF(COUNTIFS(attestations!$B$2:$B$2000,$A113,attestations!$I$2:$I$2000,"Georeferenced map GCP")&gt;0,"Y","N"))</f>
        <v>Y</v>
      </c>
      <c r="V113" t="s">
        <v>210</v>
      </c>
      <c r="W113" t="s">
        <v>228</v>
      </c>
      <c r="X113" t="s">
        <v>695</v>
      </c>
      <c r="Y113" t="s">
        <v>294</v>
      </c>
      <c r="Z113" t="s">
        <v>252</v>
      </c>
    </row>
    <row r="114" spans="1:26" x14ac:dyDescent="0.2">
      <c r="A114" t="s">
        <v>696</v>
      </c>
      <c r="B114" t="s">
        <v>697</v>
      </c>
      <c r="D114" t="s">
        <v>301</v>
      </c>
      <c r="E114" t="s">
        <v>255</v>
      </c>
      <c r="F114" t="s">
        <v>256</v>
      </c>
      <c r="G114" t="s">
        <v>268</v>
      </c>
      <c r="H114" t="s">
        <v>269</v>
      </c>
      <c r="I114" t="s">
        <v>635</v>
      </c>
      <c r="J114" t="s">
        <v>292</v>
      </c>
      <c r="K114" t="s">
        <v>278</v>
      </c>
      <c r="L114" t="s">
        <v>228</v>
      </c>
      <c r="M114" t="str">
        <f t="shared" si="2"/>
        <v>Point + buffer</v>
      </c>
      <c r="N114">
        <v>200</v>
      </c>
      <c r="O114">
        <f>IF($A114="","",COUNTIF(attestations!$B$2:$B$2000,$A114))</f>
        <v>8</v>
      </c>
      <c r="P114">
        <f>IF($A114="","",COUNTIFS(attestations!$B$2:$B$2000,$A114,attestations!$R$2:$R$2000,"Map"))</f>
        <v>0</v>
      </c>
      <c r="Q114">
        <f>IF($A114="","",COUNTIFS(attestations!$B$2:$B$2000,$A114,attestations!$R$2:$R$2000,"Image"))</f>
        <v>0</v>
      </c>
      <c r="R114">
        <f>IF($A114="","",COUNTIFS(attestations!$B$2:$B$2000,$A114,attestations!$R$2:$R$2000,"Textual"))</f>
        <v>1</v>
      </c>
      <c r="S114">
        <f>IF($A114="","",COUNTIFS(attestations!$B$2:$B$2000,$A114,attestations!$D$2:$D$2000,"Geometry (Setting)"))</f>
        <v>1</v>
      </c>
      <c r="T114" t="str">
        <f t="shared" si="3"/>
        <v>High</v>
      </c>
      <c r="U114" t="str">
        <f>IF($A114="","",IF(COUNTIFS(attestations!$B$2:$B$2000,$A114,attestations!$I$2:$I$2000,"Georeferenced map GCP")&gt;0,"Y","N"))</f>
        <v>Y</v>
      </c>
      <c r="V114" t="s">
        <v>210</v>
      </c>
      <c r="X114" t="s">
        <v>698</v>
      </c>
      <c r="Y114" t="s">
        <v>305</v>
      </c>
      <c r="Z114" t="s">
        <v>252</v>
      </c>
    </row>
    <row r="115" spans="1:26" x14ac:dyDescent="0.2">
      <c r="A115" t="s">
        <v>699</v>
      </c>
      <c r="B115" t="s">
        <v>700</v>
      </c>
      <c r="D115" t="s">
        <v>673</v>
      </c>
      <c r="E115" t="s">
        <v>255</v>
      </c>
      <c r="F115" t="s">
        <v>256</v>
      </c>
      <c r="G115" t="s">
        <v>268</v>
      </c>
      <c r="H115" t="s">
        <v>242</v>
      </c>
      <c r="I115" t="s">
        <v>635</v>
      </c>
      <c r="J115" t="s">
        <v>292</v>
      </c>
      <c r="K115" t="s">
        <v>278</v>
      </c>
      <c r="L115" t="s">
        <v>228</v>
      </c>
      <c r="M115" t="str">
        <f t="shared" si="2"/>
        <v>Point + buffer</v>
      </c>
      <c r="N115">
        <v>200</v>
      </c>
      <c r="O115">
        <f>IF($A115="","",COUNTIF(attestations!$B$2:$B$2000,$A115))</f>
        <v>2</v>
      </c>
      <c r="P115">
        <f>IF($A115="","",COUNTIFS(attestations!$B$2:$B$2000,$A115,attestations!$R$2:$R$2000,"Map"))</f>
        <v>0</v>
      </c>
      <c r="Q115">
        <f>IF($A115="","",COUNTIFS(attestations!$B$2:$B$2000,$A115,attestations!$R$2:$R$2000,"Image"))</f>
        <v>0</v>
      </c>
      <c r="R115">
        <f>IF($A115="","",COUNTIFS(attestations!$B$2:$B$2000,$A115,attestations!$R$2:$R$2000,"Textual"))</f>
        <v>0</v>
      </c>
      <c r="S115">
        <f>IF($A115="","",COUNTIFS(attestations!$B$2:$B$2000,$A115,attestations!$D$2:$D$2000,"Geometry (Setting)"))</f>
        <v>1</v>
      </c>
      <c r="T115" t="str">
        <f t="shared" si="3"/>
        <v>Low</v>
      </c>
      <c r="U115" t="str">
        <f>IF($A115="","",IF(COUNTIFS(attestations!$B$2:$B$2000,$A115,attestations!$I$2:$I$2000,"Georeferenced map GCP")&gt;0,"Y","N"))</f>
        <v>Y</v>
      </c>
      <c r="V115" t="s">
        <v>210</v>
      </c>
      <c r="X115" t="s">
        <v>701</v>
      </c>
      <c r="Y115" t="s">
        <v>305</v>
      </c>
      <c r="Z115" t="s">
        <v>252</v>
      </c>
    </row>
    <row r="116" spans="1:26" x14ac:dyDescent="0.2">
      <c r="A116" t="s">
        <v>702</v>
      </c>
      <c r="B116" t="s">
        <v>703</v>
      </c>
      <c r="D116" t="s">
        <v>673</v>
      </c>
      <c r="E116" t="s">
        <v>255</v>
      </c>
      <c r="F116" t="s">
        <v>256</v>
      </c>
      <c r="G116" t="s">
        <v>268</v>
      </c>
      <c r="H116" t="s">
        <v>242</v>
      </c>
      <c r="I116" t="s">
        <v>635</v>
      </c>
      <c r="J116" t="s">
        <v>292</v>
      </c>
      <c r="K116" t="s">
        <v>278</v>
      </c>
      <c r="L116" t="s">
        <v>228</v>
      </c>
      <c r="M116" t="str">
        <f t="shared" si="2"/>
        <v>Point + buffer</v>
      </c>
      <c r="N116">
        <v>200</v>
      </c>
      <c r="O116">
        <f>IF($A116="","",COUNTIF(attestations!$B$2:$B$2000,$A116))</f>
        <v>2</v>
      </c>
      <c r="P116">
        <f>IF($A116="","",COUNTIFS(attestations!$B$2:$B$2000,$A116,attestations!$R$2:$R$2000,"Map"))</f>
        <v>0</v>
      </c>
      <c r="Q116">
        <f>IF($A116="","",COUNTIFS(attestations!$B$2:$B$2000,$A116,attestations!$R$2:$R$2000,"Image"))</f>
        <v>0</v>
      </c>
      <c r="R116">
        <f>IF($A116="","",COUNTIFS(attestations!$B$2:$B$2000,$A116,attestations!$R$2:$R$2000,"Textual"))</f>
        <v>0</v>
      </c>
      <c r="S116">
        <f>IF($A116="","",COUNTIFS(attestations!$B$2:$B$2000,$A116,attestations!$D$2:$D$2000,"Geometry (Setting)"))</f>
        <v>1</v>
      </c>
      <c r="T116" t="str">
        <f t="shared" si="3"/>
        <v>Low</v>
      </c>
      <c r="U116" t="str">
        <f>IF($A116="","",IF(COUNTIFS(attestations!$B$2:$B$2000,$A116,attestations!$I$2:$I$2000,"Georeferenced map GCP")&gt;0,"Y","N"))</f>
        <v>Y</v>
      </c>
      <c r="V116" t="s">
        <v>210</v>
      </c>
      <c r="X116" t="s">
        <v>704</v>
      </c>
      <c r="Y116" t="s">
        <v>305</v>
      </c>
      <c r="Z116" t="s">
        <v>252</v>
      </c>
    </row>
    <row r="117" spans="1:26" x14ac:dyDescent="0.2">
      <c r="A117" t="s">
        <v>705</v>
      </c>
      <c r="B117" t="s">
        <v>706</v>
      </c>
      <c r="D117" t="s">
        <v>673</v>
      </c>
      <c r="E117" t="s">
        <v>255</v>
      </c>
      <c r="F117" t="s">
        <v>256</v>
      </c>
      <c r="G117" t="s">
        <v>268</v>
      </c>
      <c r="H117" t="s">
        <v>242</v>
      </c>
      <c r="I117" t="s">
        <v>635</v>
      </c>
      <c r="J117" t="s">
        <v>292</v>
      </c>
      <c r="K117" t="s">
        <v>278</v>
      </c>
      <c r="L117" t="s">
        <v>228</v>
      </c>
      <c r="M117" t="str">
        <f t="shared" si="2"/>
        <v>Point + buffer</v>
      </c>
      <c r="N117">
        <v>200</v>
      </c>
      <c r="O117">
        <f>IF($A117="","",COUNTIF(attestations!$B$2:$B$2000,$A117))</f>
        <v>5</v>
      </c>
      <c r="P117">
        <f>IF($A117="","",COUNTIFS(attestations!$B$2:$B$2000,$A117,attestations!$R$2:$R$2000,"Map"))</f>
        <v>0</v>
      </c>
      <c r="Q117">
        <f>IF($A117="","",COUNTIFS(attestations!$B$2:$B$2000,$A117,attestations!$R$2:$R$2000,"Image"))</f>
        <v>0</v>
      </c>
      <c r="R117">
        <f>IF($A117="","",COUNTIFS(attestations!$B$2:$B$2000,$A117,attestations!$R$2:$R$2000,"Textual"))</f>
        <v>0</v>
      </c>
      <c r="S117">
        <f>IF($A117="","",COUNTIFS(attestations!$B$2:$B$2000,$A117,attestations!$D$2:$D$2000,"Geometry (Setting)"))</f>
        <v>1</v>
      </c>
      <c r="T117" t="str">
        <f t="shared" si="3"/>
        <v>Medium</v>
      </c>
      <c r="U117" t="str">
        <f>IF($A117="","",IF(COUNTIFS(attestations!$B$2:$B$2000,$A117,attestations!$I$2:$I$2000,"Georeferenced map GCP")&gt;0,"Y","N"))</f>
        <v>Y</v>
      </c>
      <c r="V117" t="s">
        <v>210</v>
      </c>
      <c r="X117" t="s">
        <v>707</v>
      </c>
      <c r="Y117" t="s">
        <v>305</v>
      </c>
      <c r="Z117" t="s">
        <v>252</v>
      </c>
    </row>
    <row r="118" spans="1:26" x14ac:dyDescent="0.2">
      <c r="A118" t="s">
        <v>708</v>
      </c>
      <c r="B118" t="s">
        <v>709</v>
      </c>
      <c r="D118" t="s">
        <v>290</v>
      </c>
      <c r="E118" t="s">
        <v>255</v>
      </c>
      <c r="F118" t="s">
        <v>256</v>
      </c>
      <c r="G118" t="s">
        <v>268</v>
      </c>
      <c r="H118" t="s">
        <v>242</v>
      </c>
      <c r="I118" t="s">
        <v>710</v>
      </c>
      <c r="J118" t="s">
        <v>292</v>
      </c>
      <c r="K118" t="s">
        <v>278</v>
      </c>
      <c r="L118" t="s">
        <v>228</v>
      </c>
      <c r="M118" t="str">
        <f t="shared" si="2"/>
        <v>Point + buffer</v>
      </c>
      <c r="N118">
        <v>200</v>
      </c>
      <c r="O118">
        <f>IF($A118="","",COUNTIF(attestations!$B$2:$B$2000,$A118))</f>
        <v>9</v>
      </c>
      <c r="P118">
        <f>IF($A118="","",COUNTIFS(attestations!$B$2:$B$2000,$A118,attestations!$R$2:$R$2000,"Map"))</f>
        <v>0</v>
      </c>
      <c r="Q118">
        <f>IF($A118="","",COUNTIFS(attestations!$B$2:$B$2000,$A118,attestations!$R$2:$R$2000,"Image"))</f>
        <v>0</v>
      </c>
      <c r="R118">
        <f>IF($A118="","",COUNTIFS(attestations!$B$2:$B$2000,$A118,attestations!$R$2:$R$2000,"Textual"))</f>
        <v>0</v>
      </c>
      <c r="S118">
        <f>IF($A118="","",COUNTIFS(attestations!$B$2:$B$2000,$A118,attestations!$D$2:$D$2000,"Geometry (Setting)"))</f>
        <v>1</v>
      </c>
      <c r="T118" t="str">
        <f t="shared" si="3"/>
        <v>High</v>
      </c>
      <c r="U118" t="str">
        <f>IF($A118="","",IF(COUNTIFS(attestations!$B$2:$B$2000,$A118,attestations!$I$2:$I$2000,"Georeferenced map GCP")&gt;0,"Y","N"))</f>
        <v>Y</v>
      </c>
      <c r="V118" t="s">
        <v>210</v>
      </c>
      <c r="X118" t="s">
        <v>711</v>
      </c>
      <c r="Y118" t="s">
        <v>294</v>
      </c>
      <c r="Z118" t="s">
        <v>252</v>
      </c>
    </row>
    <row r="119" spans="1:26" x14ac:dyDescent="0.2">
      <c r="A119" t="s">
        <v>712</v>
      </c>
      <c r="B119" t="s">
        <v>713</v>
      </c>
      <c r="D119" t="s">
        <v>714</v>
      </c>
      <c r="E119" t="s">
        <v>255</v>
      </c>
      <c r="F119" t="s">
        <v>256</v>
      </c>
      <c r="G119" t="s">
        <v>319</v>
      </c>
      <c r="H119" t="s">
        <v>242</v>
      </c>
      <c r="I119" t="s">
        <v>715</v>
      </c>
      <c r="J119" t="s">
        <v>264</v>
      </c>
      <c r="K119" t="s">
        <v>278</v>
      </c>
      <c r="L119" t="s">
        <v>228</v>
      </c>
      <c r="M119" t="str">
        <f t="shared" si="2"/>
        <v>Point + buffer</v>
      </c>
      <c r="N119">
        <v>400</v>
      </c>
      <c r="O119">
        <f>IF($A119="","",COUNTIF(attestations!$B$2:$B$2000,$A119))</f>
        <v>5</v>
      </c>
      <c r="P119">
        <f>IF($A119="","",COUNTIFS(attestations!$B$2:$B$2000,$A119,attestations!$R$2:$R$2000,"Map"))</f>
        <v>0</v>
      </c>
      <c r="Q119">
        <f>IF($A119="","",COUNTIFS(attestations!$B$2:$B$2000,$A119,attestations!$R$2:$R$2000,"Image"))</f>
        <v>0</v>
      </c>
      <c r="R119">
        <f>IF($A119="","",COUNTIFS(attestations!$B$2:$B$2000,$A119,attestations!$R$2:$R$2000,"Textual"))</f>
        <v>0</v>
      </c>
      <c r="S119">
        <f>IF($A119="","",COUNTIFS(attestations!$B$2:$B$2000,$A119,attestations!$D$2:$D$2000,"Geometry (Setting)"))</f>
        <v>1</v>
      </c>
      <c r="T119" t="str">
        <f t="shared" si="3"/>
        <v>Medium</v>
      </c>
      <c r="U119" t="str">
        <f>IF($A119="","",IF(COUNTIFS(attestations!$B$2:$B$2000,$A119,attestations!$I$2:$I$2000,"Georeferenced map GCP")&gt;0,"Y","N"))</f>
        <v>Y</v>
      </c>
      <c r="V119" t="s">
        <v>210</v>
      </c>
      <c r="X119" t="s">
        <v>716</v>
      </c>
      <c r="Y119" t="s">
        <v>305</v>
      </c>
      <c r="Z119" t="s">
        <v>261</v>
      </c>
    </row>
    <row r="120" spans="1:26" x14ac:dyDescent="0.2">
      <c r="A120" t="s">
        <v>717</v>
      </c>
      <c r="B120" t="s">
        <v>718</v>
      </c>
      <c r="D120" t="s">
        <v>301</v>
      </c>
      <c r="E120" t="s">
        <v>255</v>
      </c>
      <c r="F120" t="s">
        <v>256</v>
      </c>
      <c r="G120" t="s">
        <v>268</v>
      </c>
      <c r="H120" t="s">
        <v>269</v>
      </c>
      <c r="I120" t="s">
        <v>715</v>
      </c>
      <c r="J120" t="s">
        <v>264</v>
      </c>
      <c r="K120" t="s">
        <v>278</v>
      </c>
      <c r="L120" t="s">
        <v>228</v>
      </c>
      <c r="M120" t="str">
        <f t="shared" si="2"/>
        <v>Point + buffer</v>
      </c>
      <c r="N120">
        <v>400</v>
      </c>
      <c r="O120">
        <f>IF($A120="","",COUNTIF(attestations!$B$2:$B$2000,$A120))</f>
        <v>5</v>
      </c>
      <c r="P120">
        <f>IF($A120="","",COUNTIFS(attestations!$B$2:$B$2000,$A120,attestations!$R$2:$R$2000,"Map"))</f>
        <v>0</v>
      </c>
      <c r="Q120">
        <f>IF($A120="","",COUNTIFS(attestations!$B$2:$B$2000,$A120,attestations!$R$2:$R$2000,"Image"))</f>
        <v>0</v>
      </c>
      <c r="R120">
        <f>IF($A120="","",COUNTIFS(attestations!$B$2:$B$2000,$A120,attestations!$R$2:$R$2000,"Textual"))</f>
        <v>0</v>
      </c>
      <c r="S120">
        <f>IF($A120="","",COUNTIFS(attestations!$B$2:$B$2000,$A120,attestations!$D$2:$D$2000,"Geometry (Setting)"))</f>
        <v>1</v>
      </c>
      <c r="T120" t="str">
        <f t="shared" si="3"/>
        <v>Medium</v>
      </c>
      <c r="U120" t="str">
        <f>IF($A120="","",IF(COUNTIFS(attestations!$B$2:$B$2000,$A120,attestations!$I$2:$I$2000,"Georeferenced map GCP")&gt;0,"Y","N"))</f>
        <v>Y</v>
      </c>
      <c r="V120" t="s">
        <v>210</v>
      </c>
      <c r="X120" t="s">
        <v>719</v>
      </c>
      <c r="Y120" t="s">
        <v>305</v>
      </c>
      <c r="Z120" t="s">
        <v>261</v>
      </c>
    </row>
    <row r="121" spans="1:26" x14ac:dyDescent="0.2">
      <c r="A121" t="s">
        <v>720</v>
      </c>
      <c r="B121" t="s">
        <v>721</v>
      </c>
      <c r="D121" t="s">
        <v>318</v>
      </c>
      <c r="E121" t="s">
        <v>255</v>
      </c>
      <c r="F121" t="s">
        <v>256</v>
      </c>
      <c r="G121" t="s">
        <v>268</v>
      </c>
      <c r="H121" t="s">
        <v>242</v>
      </c>
      <c r="I121" t="s">
        <v>715</v>
      </c>
      <c r="J121" t="s">
        <v>264</v>
      </c>
      <c r="K121" t="s">
        <v>278</v>
      </c>
      <c r="L121" t="s">
        <v>228</v>
      </c>
      <c r="M121" t="str">
        <f t="shared" si="2"/>
        <v>Point + buffer</v>
      </c>
      <c r="N121">
        <v>400</v>
      </c>
      <c r="O121">
        <f>IF($A121="","",COUNTIF(attestations!$B$2:$B$2000,$A121))</f>
        <v>5</v>
      </c>
      <c r="P121">
        <f>IF($A121="","",COUNTIFS(attestations!$B$2:$B$2000,$A121,attestations!$R$2:$R$2000,"Map"))</f>
        <v>0</v>
      </c>
      <c r="Q121">
        <f>IF($A121="","",COUNTIFS(attestations!$B$2:$B$2000,$A121,attestations!$R$2:$R$2000,"Image"))</f>
        <v>0</v>
      </c>
      <c r="R121">
        <f>IF($A121="","",COUNTIFS(attestations!$B$2:$B$2000,$A121,attestations!$R$2:$R$2000,"Textual"))</f>
        <v>0</v>
      </c>
      <c r="S121">
        <f>IF($A121="","",COUNTIFS(attestations!$B$2:$B$2000,$A121,attestations!$D$2:$D$2000,"Geometry (Setting)"))</f>
        <v>1</v>
      </c>
      <c r="T121" t="str">
        <f t="shared" si="3"/>
        <v>Medium</v>
      </c>
      <c r="U121" t="str">
        <f>IF($A121="","",IF(COUNTIFS(attestations!$B$2:$B$2000,$A121,attestations!$I$2:$I$2000,"Georeferenced map GCP")&gt;0,"Y","N"))</f>
        <v>Y</v>
      </c>
      <c r="V121" t="s">
        <v>210</v>
      </c>
      <c r="X121" t="s">
        <v>722</v>
      </c>
      <c r="Y121" t="s">
        <v>294</v>
      </c>
      <c r="Z121" t="s">
        <v>261</v>
      </c>
    </row>
    <row r="122" spans="1:26" x14ac:dyDescent="0.2">
      <c r="A122" t="s">
        <v>723</v>
      </c>
      <c r="B122" t="s">
        <v>724</v>
      </c>
      <c r="D122" t="s">
        <v>308</v>
      </c>
      <c r="E122" t="s">
        <v>255</v>
      </c>
      <c r="F122" t="s">
        <v>256</v>
      </c>
      <c r="G122" t="s">
        <v>268</v>
      </c>
      <c r="H122" t="s">
        <v>269</v>
      </c>
      <c r="I122" t="s">
        <v>684</v>
      </c>
      <c r="J122" t="s">
        <v>264</v>
      </c>
      <c r="K122" t="s">
        <v>278</v>
      </c>
      <c r="L122" t="s">
        <v>228</v>
      </c>
      <c r="M122" t="str">
        <f t="shared" si="2"/>
        <v>Point + buffer</v>
      </c>
      <c r="N122">
        <v>400</v>
      </c>
      <c r="O122">
        <f>IF($A122="","",COUNTIF(attestations!$B$2:$B$2000,$A122))</f>
        <v>5</v>
      </c>
      <c r="P122">
        <f>IF($A122="","",COUNTIFS(attestations!$B$2:$B$2000,$A122,attestations!$R$2:$R$2000,"Map"))</f>
        <v>0</v>
      </c>
      <c r="Q122">
        <f>IF($A122="","",COUNTIFS(attestations!$B$2:$B$2000,$A122,attestations!$R$2:$R$2000,"Image"))</f>
        <v>0</v>
      </c>
      <c r="R122">
        <f>IF($A122="","",COUNTIFS(attestations!$B$2:$B$2000,$A122,attestations!$R$2:$R$2000,"Textual"))</f>
        <v>0</v>
      </c>
      <c r="S122">
        <f>IF($A122="","",COUNTIFS(attestations!$B$2:$B$2000,$A122,attestations!$D$2:$D$2000,"Geometry (Setting)"))</f>
        <v>1</v>
      </c>
      <c r="T122" t="str">
        <f t="shared" si="3"/>
        <v>Medium</v>
      </c>
      <c r="U122" t="str">
        <f>IF($A122="","",IF(COUNTIFS(attestations!$B$2:$B$2000,$A122,attestations!$I$2:$I$2000,"Georeferenced map GCP")&gt;0,"Y","N"))</f>
        <v>Y</v>
      </c>
      <c r="V122" t="s">
        <v>210</v>
      </c>
      <c r="X122" t="s">
        <v>725</v>
      </c>
      <c r="Y122" t="s">
        <v>305</v>
      </c>
      <c r="Z122" t="s">
        <v>261</v>
      </c>
    </row>
    <row r="123" spans="1:26" x14ac:dyDescent="0.2">
      <c r="A123" t="s">
        <v>726</v>
      </c>
      <c r="B123" t="s">
        <v>727</v>
      </c>
      <c r="D123" t="s">
        <v>728</v>
      </c>
      <c r="E123" t="s">
        <v>255</v>
      </c>
      <c r="F123" t="s">
        <v>256</v>
      </c>
      <c r="G123" t="s">
        <v>319</v>
      </c>
      <c r="H123" t="s">
        <v>242</v>
      </c>
      <c r="I123" t="s">
        <v>656</v>
      </c>
      <c r="J123" t="s">
        <v>264</v>
      </c>
      <c r="K123" t="s">
        <v>278</v>
      </c>
      <c r="L123" t="s">
        <v>228</v>
      </c>
      <c r="M123" t="str">
        <f t="shared" si="2"/>
        <v>Point + buffer</v>
      </c>
      <c r="N123">
        <v>400</v>
      </c>
      <c r="O123">
        <f>IF($A123="","",COUNTIF(attestations!$B$2:$B$2000,$A123))</f>
        <v>2</v>
      </c>
      <c r="P123">
        <f>IF($A123="","",COUNTIFS(attestations!$B$2:$B$2000,$A123,attestations!$R$2:$R$2000,"Map"))</f>
        <v>0</v>
      </c>
      <c r="Q123">
        <f>IF($A123="","",COUNTIFS(attestations!$B$2:$B$2000,$A123,attestations!$R$2:$R$2000,"Image"))</f>
        <v>0</v>
      </c>
      <c r="R123">
        <f>IF($A123="","",COUNTIFS(attestations!$B$2:$B$2000,$A123,attestations!$R$2:$R$2000,"Textual"))</f>
        <v>0</v>
      </c>
      <c r="S123">
        <f>IF($A123="","",COUNTIFS(attestations!$B$2:$B$2000,$A123,attestations!$D$2:$D$2000,"Geometry (Setting)"))</f>
        <v>1</v>
      </c>
      <c r="T123" t="str">
        <f t="shared" si="3"/>
        <v>Low</v>
      </c>
      <c r="U123" t="str">
        <f>IF($A123="","",IF(COUNTIFS(attestations!$B$2:$B$2000,$A123,attestations!$I$2:$I$2000,"Georeferenced map GCP")&gt;0,"Y","N"))</f>
        <v>Y</v>
      </c>
      <c r="V123" t="s">
        <v>210</v>
      </c>
      <c r="X123" t="s">
        <v>729</v>
      </c>
      <c r="Y123" t="s">
        <v>305</v>
      </c>
      <c r="Z123" t="s">
        <v>261</v>
      </c>
    </row>
    <row r="124" spans="1:26" x14ac:dyDescent="0.2">
      <c r="A124" t="s">
        <v>730</v>
      </c>
      <c r="B124" t="s">
        <v>731</v>
      </c>
      <c r="D124" t="s">
        <v>301</v>
      </c>
      <c r="E124" t="s">
        <v>255</v>
      </c>
      <c r="F124" t="s">
        <v>256</v>
      </c>
      <c r="G124" t="s">
        <v>268</v>
      </c>
      <c r="H124" t="s">
        <v>269</v>
      </c>
      <c r="I124" t="s">
        <v>635</v>
      </c>
      <c r="J124" t="s">
        <v>264</v>
      </c>
      <c r="K124" t="s">
        <v>278</v>
      </c>
      <c r="L124" t="s">
        <v>228</v>
      </c>
      <c r="M124" t="str">
        <f t="shared" si="2"/>
        <v>Point + buffer</v>
      </c>
      <c r="N124">
        <v>200</v>
      </c>
      <c r="O124">
        <f>IF($A124="","",COUNTIF(attestations!$B$2:$B$2000,$A124))</f>
        <v>8</v>
      </c>
      <c r="P124">
        <f>IF($A124="","",COUNTIFS(attestations!$B$2:$B$2000,$A124,attestations!$R$2:$R$2000,"Map"))</f>
        <v>0</v>
      </c>
      <c r="Q124">
        <f>IF($A124="","",COUNTIFS(attestations!$B$2:$B$2000,$A124,attestations!$R$2:$R$2000,"Image"))</f>
        <v>0</v>
      </c>
      <c r="R124">
        <f>IF($A124="","",COUNTIFS(attestations!$B$2:$B$2000,$A124,attestations!$R$2:$R$2000,"Textual"))</f>
        <v>0</v>
      </c>
      <c r="S124">
        <f>IF($A124="","",COUNTIFS(attestations!$B$2:$B$2000,$A124,attestations!$D$2:$D$2000,"Geometry (Setting)"))</f>
        <v>2</v>
      </c>
      <c r="T124" t="str">
        <f t="shared" si="3"/>
        <v>High</v>
      </c>
      <c r="U124" t="str">
        <f>IF($A124="","",IF(COUNTIFS(attestations!$B$2:$B$2000,$A124,attestations!$I$2:$I$2000,"Georeferenced map GCP")&gt;0,"Y","N"))</f>
        <v>Y</v>
      </c>
      <c r="V124" t="s">
        <v>210</v>
      </c>
      <c r="X124" t="s">
        <v>732</v>
      </c>
      <c r="Y124" t="s">
        <v>305</v>
      </c>
      <c r="Z124" t="s">
        <v>266</v>
      </c>
    </row>
    <row r="125" spans="1:26" x14ac:dyDescent="0.2">
      <c r="A125" t="s">
        <v>733</v>
      </c>
      <c r="B125" t="s">
        <v>734</v>
      </c>
      <c r="D125" t="s">
        <v>308</v>
      </c>
      <c r="E125" t="s">
        <v>255</v>
      </c>
      <c r="F125" t="s">
        <v>256</v>
      </c>
      <c r="G125" t="s">
        <v>268</v>
      </c>
      <c r="H125" t="s">
        <v>269</v>
      </c>
      <c r="I125" t="s">
        <v>710</v>
      </c>
      <c r="J125" t="s">
        <v>264</v>
      </c>
      <c r="K125" t="s">
        <v>278</v>
      </c>
      <c r="L125" t="s">
        <v>228</v>
      </c>
      <c r="M125" t="str">
        <f t="shared" si="2"/>
        <v>Point + buffer</v>
      </c>
      <c r="N125">
        <v>200</v>
      </c>
      <c r="O125">
        <f>IF($A125="","",COUNTIF(attestations!$B$2:$B$2000,$A125))</f>
        <v>8</v>
      </c>
      <c r="P125">
        <f>IF($A125="","",COUNTIFS(attestations!$B$2:$B$2000,$A125,attestations!$R$2:$R$2000,"Map"))</f>
        <v>0</v>
      </c>
      <c r="Q125">
        <f>IF($A125="","",COUNTIFS(attestations!$B$2:$B$2000,$A125,attestations!$R$2:$R$2000,"Image"))</f>
        <v>0</v>
      </c>
      <c r="R125">
        <f>IF($A125="","",COUNTIFS(attestations!$B$2:$B$2000,$A125,attestations!$R$2:$R$2000,"Textual"))</f>
        <v>0</v>
      </c>
      <c r="S125">
        <f>IF($A125="","",COUNTIFS(attestations!$B$2:$B$2000,$A125,attestations!$D$2:$D$2000,"Geometry (Setting)"))</f>
        <v>2</v>
      </c>
      <c r="T125" t="str">
        <f t="shared" si="3"/>
        <v>High</v>
      </c>
      <c r="U125" t="str">
        <f>IF($A125="","",IF(COUNTIFS(attestations!$B$2:$B$2000,$A125,attestations!$I$2:$I$2000,"Georeferenced map GCP")&gt;0,"Y","N"))</f>
        <v>Y</v>
      </c>
      <c r="V125" t="s">
        <v>210</v>
      </c>
      <c r="X125" t="s">
        <v>735</v>
      </c>
      <c r="Y125" t="s">
        <v>305</v>
      </c>
      <c r="Z125" t="s">
        <v>266</v>
      </c>
    </row>
    <row r="126" spans="1:26" x14ac:dyDescent="0.2">
      <c r="A126" t="s">
        <v>736</v>
      </c>
      <c r="B126" t="s">
        <v>737</v>
      </c>
      <c r="D126" t="s">
        <v>673</v>
      </c>
      <c r="E126" t="s">
        <v>255</v>
      </c>
      <c r="F126" t="s">
        <v>256</v>
      </c>
      <c r="G126" t="s">
        <v>268</v>
      </c>
      <c r="H126" t="s">
        <v>242</v>
      </c>
      <c r="I126" t="s">
        <v>635</v>
      </c>
      <c r="J126" t="s">
        <v>264</v>
      </c>
      <c r="K126" t="s">
        <v>278</v>
      </c>
      <c r="L126" t="s">
        <v>228</v>
      </c>
      <c r="M126" t="str">
        <f t="shared" si="2"/>
        <v>Point + buffer</v>
      </c>
      <c r="N126">
        <v>200</v>
      </c>
      <c r="O126">
        <f>IF($A126="","",COUNTIF(attestations!$B$2:$B$2000,$A126))</f>
        <v>8</v>
      </c>
      <c r="P126">
        <f>IF($A126="","",COUNTIFS(attestations!$B$2:$B$2000,$A126,attestations!$R$2:$R$2000,"Map"))</f>
        <v>0</v>
      </c>
      <c r="Q126">
        <f>IF($A126="","",COUNTIFS(attestations!$B$2:$B$2000,$A126,attestations!$R$2:$R$2000,"Image"))</f>
        <v>0</v>
      </c>
      <c r="R126">
        <f>IF($A126="","",COUNTIFS(attestations!$B$2:$B$2000,$A126,attestations!$R$2:$R$2000,"Textual"))</f>
        <v>0</v>
      </c>
      <c r="S126">
        <f>IF($A126="","",COUNTIFS(attestations!$B$2:$B$2000,$A126,attestations!$D$2:$D$2000,"Geometry (Setting)"))</f>
        <v>2</v>
      </c>
      <c r="T126" t="str">
        <f t="shared" si="3"/>
        <v>High</v>
      </c>
      <c r="U126" t="str">
        <f>IF($A126="","",IF(COUNTIFS(attestations!$B$2:$B$2000,$A126,attestations!$I$2:$I$2000,"Georeferenced map GCP")&gt;0,"Y","N"))</f>
        <v>Y</v>
      </c>
      <c r="V126" t="s">
        <v>210</v>
      </c>
      <c r="X126" t="s">
        <v>738</v>
      </c>
      <c r="Y126" t="s">
        <v>305</v>
      </c>
      <c r="Z126" t="s">
        <v>266</v>
      </c>
    </row>
    <row r="127" spans="1:26" x14ac:dyDescent="0.2">
      <c r="A127" t="s">
        <v>739</v>
      </c>
      <c r="B127" t="s">
        <v>740</v>
      </c>
      <c r="D127" t="s">
        <v>338</v>
      </c>
      <c r="E127" t="s">
        <v>255</v>
      </c>
      <c r="F127" t="s">
        <v>256</v>
      </c>
      <c r="G127" t="s">
        <v>319</v>
      </c>
      <c r="H127" t="s">
        <v>242</v>
      </c>
      <c r="I127" t="s">
        <v>710</v>
      </c>
      <c r="J127" t="s">
        <v>264</v>
      </c>
      <c r="K127" t="s">
        <v>278</v>
      </c>
      <c r="L127" t="s">
        <v>228</v>
      </c>
      <c r="M127" t="str">
        <f t="shared" si="2"/>
        <v>Point + buffer</v>
      </c>
      <c r="N127">
        <v>200</v>
      </c>
      <c r="O127">
        <f>IF($A127="","",COUNTIF(attestations!$B$2:$B$2000,$A127))</f>
        <v>8</v>
      </c>
      <c r="P127">
        <f>IF($A127="","",COUNTIFS(attestations!$B$2:$B$2000,$A127,attestations!$R$2:$R$2000,"Map"))</f>
        <v>0</v>
      </c>
      <c r="Q127">
        <f>IF($A127="","",COUNTIFS(attestations!$B$2:$B$2000,$A127,attestations!$R$2:$R$2000,"Image"))</f>
        <v>0</v>
      </c>
      <c r="R127">
        <f>IF($A127="","",COUNTIFS(attestations!$B$2:$B$2000,$A127,attestations!$R$2:$R$2000,"Textual"))</f>
        <v>0</v>
      </c>
      <c r="S127">
        <f>IF($A127="","",COUNTIFS(attestations!$B$2:$B$2000,$A127,attestations!$D$2:$D$2000,"Geometry (Setting)"))</f>
        <v>3</v>
      </c>
      <c r="T127" t="str">
        <f t="shared" si="3"/>
        <v>High</v>
      </c>
      <c r="U127" t="str">
        <f>IF($A127="","",IF(COUNTIFS(attestations!$B$2:$B$2000,$A127,attestations!$I$2:$I$2000,"Georeferenced map GCP")&gt;0,"Y","N"))</f>
        <v>Y</v>
      </c>
      <c r="V127" t="s">
        <v>210</v>
      </c>
      <c r="X127" t="s">
        <v>741</v>
      </c>
      <c r="Y127" t="s">
        <v>305</v>
      </c>
      <c r="Z127" t="s">
        <v>266</v>
      </c>
    </row>
    <row r="128" spans="1:26" x14ac:dyDescent="0.2">
      <c r="A128" t="s">
        <v>742</v>
      </c>
      <c r="B128" t="s">
        <v>743</v>
      </c>
      <c r="D128" t="s">
        <v>347</v>
      </c>
      <c r="E128" t="s">
        <v>255</v>
      </c>
      <c r="F128" t="s">
        <v>256</v>
      </c>
      <c r="G128" t="s">
        <v>339</v>
      </c>
      <c r="H128" t="s">
        <v>309</v>
      </c>
      <c r="I128" t="s">
        <v>635</v>
      </c>
      <c r="J128" t="s">
        <v>744</v>
      </c>
      <c r="K128" t="s">
        <v>278</v>
      </c>
      <c r="L128" t="s">
        <v>228</v>
      </c>
      <c r="M128" t="str">
        <f t="shared" si="2"/>
        <v>Point + buffer</v>
      </c>
      <c r="N128">
        <v>200</v>
      </c>
      <c r="O128">
        <f>IF($A128="","",COUNTIF(attestations!$B$2:$B$2000,$A128))</f>
        <v>8</v>
      </c>
      <c r="P128">
        <f>IF($A128="","",COUNTIFS(attestations!$B$2:$B$2000,$A128,attestations!$R$2:$R$2000,"Map"))</f>
        <v>0</v>
      </c>
      <c r="Q128">
        <f>IF($A128="","",COUNTIFS(attestations!$B$2:$B$2000,$A128,attestations!$R$2:$R$2000,"Image"))</f>
        <v>0</v>
      </c>
      <c r="R128">
        <f>IF($A128="","",COUNTIFS(attestations!$B$2:$B$2000,$A128,attestations!$R$2:$R$2000,"Textual"))</f>
        <v>0</v>
      </c>
      <c r="S128">
        <f>IF($A128="","",COUNTIFS(attestations!$B$2:$B$2000,$A128,attestations!$D$2:$D$2000,"Geometry (Setting)"))</f>
        <v>2</v>
      </c>
      <c r="T128" t="str">
        <f t="shared" si="3"/>
        <v>High</v>
      </c>
      <c r="U128" t="str">
        <f>IF($A128="","",IF(COUNTIFS(attestations!$B$2:$B$2000,$A128,attestations!$I$2:$I$2000,"Georeferenced map GCP")&gt;0,"Y","N"))</f>
        <v>Y</v>
      </c>
      <c r="V128" t="s">
        <v>210</v>
      </c>
      <c r="W128" t="s">
        <v>222</v>
      </c>
      <c r="X128" t="s">
        <v>745</v>
      </c>
      <c r="Y128" t="s">
        <v>305</v>
      </c>
      <c r="Z128" t="s">
        <v>266</v>
      </c>
    </row>
    <row r="129" spans="1:26" x14ac:dyDescent="0.2">
      <c r="A129" t="s">
        <v>746</v>
      </c>
      <c r="B129" t="s">
        <v>747</v>
      </c>
      <c r="D129" t="s">
        <v>297</v>
      </c>
      <c r="E129" t="s">
        <v>255</v>
      </c>
      <c r="F129" t="s">
        <v>256</v>
      </c>
      <c r="G129" t="s">
        <v>268</v>
      </c>
      <c r="H129" t="s">
        <v>242</v>
      </c>
      <c r="I129" t="s">
        <v>635</v>
      </c>
      <c r="J129" t="s">
        <v>546</v>
      </c>
      <c r="K129" t="s">
        <v>278</v>
      </c>
      <c r="L129" t="s">
        <v>228</v>
      </c>
      <c r="M129" t="str">
        <f t="shared" si="2"/>
        <v>Point + buffer</v>
      </c>
      <c r="N129">
        <v>200</v>
      </c>
      <c r="O129">
        <f>IF($A129="","",COUNTIF(attestations!$B$2:$B$2000,$A129))</f>
        <v>7</v>
      </c>
      <c r="P129">
        <f>IF($A129="","",COUNTIFS(attestations!$B$2:$B$2000,$A129,attestations!$R$2:$R$2000,"Map"))</f>
        <v>0</v>
      </c>
      <c r="Q129">
        <f>IF($A129="","",COUNTIFS(attestations!$B$2:$B$2000,$A129,attestations!$R$2:$R$2000,"Image"))</f>
        <v>0</v>
      </c>
      <c r="R129">
        <f>IF($A129="","",COUNTIFS(attestations!$B$2:$B$2000,$A129,attestations!$R$2:$R$2000,"Textual"))</f>
        <v>0</v>
      </c>
      <c r="S129">
        <f>IF($A129="","",COUNTIFS(attestations!$B$2:$B$2000,$A129,attestations!$D$2:$D$2000,"Geometry (Setting)"))</f>
        <v>2</v>
      </c>
      <c r="T129" t="str">
        <f t="shared" si="3"/>
        <v>High</v>
      </c>
      <c r="U129" t="str">
        <f>IF($A129="","",IF(COUNTIFS(attestations!$B$2:$B$2000,$A129,attestations!$I$2:$I$2000,"Georeferenced map GCP")&gt;0,"Y","N"))</f>
        <v>Y</v>
      </c>
      <c r="V129" t="s">
        <v>210</v>
      </c>
      <c r="X129" t="s">
        <v>748</v>
      </c>
      <c r="Y129" t="s">
        <v>305</v>
      </c>
      <c r="Z129" t="s">
        <v>266</v>
      </c>
    </row>
    <row r="130" spans="1:26" x14ac:dyDescent="0.2">
      <c r="A130" t="s">
        <v>749</v>
      </c>
      <c r="B130" t="s">
        <v>750</v>
      </c>
      <c r="D130" t="s">
        <v>673</v>
      </c>
      <c r="E130" t="s">
        <v>255</v>
      </c>
      <c r="F130" t="s">
        <v>256</v>
      </c>
      <c r="G130" t="s">
        <v>268</v>
      </c>
      <c r="H130" t="s">
        <v>242</v>
      </c>
      <c r="I130" t="s">
        <v>635</v>
      </c>
      <c r="J130" t="s">
        <v>264</v>
      </c>
      <c r="K130" t="s">
        <v>278</v>
      </c>
      <c r="L130" t="s">
        <v>228</v>
      </c>
      <c r="M130" t="str">
        <f t="shared" ref="M130:M193" si="4">IF($A130="","",IF($L130="High","Solid point",IF($L130="Medium","Point + buffer",IF($L130="Low","Translucent area",IF($L130="Disputed","Candidate points",IF($L130="Unknown","Unplotted (unlocated panel)","-"))))))</f>
        <v>Point + buffer</v>
      </c>
      <c r="N130">
        <v>200</v>
      </c>
      <c r="O130">
        <f>IF($A130="","",COUNTIF(attestations!$B$2:$B$2000,$A130))</f>
        <v>4</v>
      </c>
      <c r="P130">
        <f>IF($A130="","",COUNTIFS(attestations!$B$2:$B$2000,$A130,attestations!$R$2:$R$2000,"Map"))</f>
        <v>0</v>
      </c>
      <c r="Q130">
        <f>IF($A130="","",COUNTIFS(attestations!$B$2:$B$2000,$A130,attestations!$R$2:$R$2000,"Image"))</f>
        <v>0</v>
      </c>
      <c r="R130">
        <f>IF($A130="","",COUNTIFS(attestations!$B$2:$B$2000,$A130,attestations!$R$2:$R$2000,"Textual"))</f>
        <v>0</v>
      </c>
      <c r="S130">
        <f>IF($A130="","",COUNTIFS(attestations!$B$2:$B$2000,$A130,attestations!$D$2:$D$2000,"Geometry (Setting)"))</f>
        <v>1</v>
      </c>
      <c r="T130" t="str">
        <f t="shared" ref="T130:T193" si="5">IF($A130="","",IF($O130&gt;=6,"High",IF($O130&gt;=3,"Medium",IF($O130&gt;=1,"Low","None"))))</f>
        <v>Medium</v>
      </c>
      <c r="U130" t="str">
        <f>IF($A130="","",IF(COUNTIFS(attestations!$B$2:$B$2000,$A130,attestations!$I$2:$I$2000,"Georeferenced map GCP")&gt;0,"Y","N"))</f>
        <v>Y</v>
      </c>
      <c r="V130" t="s">
        <v>210</v>
      </c>
      <c r="X130" t="s">
        <v>751</v>
      </c>
      <c r="Y130" t="s">
        <v>305</v>
      </c>
      <c r="Z130" t="s">
        <v>266</v>
      </c>
    </row>
    <row r="131" spans="1:26" x14ac:dyDescent="0.2">
      <c r="A131" t="s">
        <v>752</v>
      </c>
      <c r="B131" t="s">
        <v>753</v>
      </c>
      <c r="D131" t="s">
        <v>290</v>
      </c>
      <c r="E131" t="s">
        <v>255</v>
      </c>
      <c r="F131" t="s">
        <v>256</v>
      </c>
      <c r="G131" t="s">
        <v>268</v>
      </c>
      <c r="H131" t="s">
        <v>242</v>
      </c>
      <c r="I131" t="s">
        <v>754</v>
      </c>
      <c r="J131" t="s">
        <v>264</v>
      </c>
      <c r="K131" t="s">
        <v>278</v>
      </c>
      <c r="L131" t="s">
        <v>228</v>
      </c>
      <c r="M131" t="str">
        <f t="shared" si="4"/>
        <v>Point + buffer</v>
      </c>
      <c r="N131">
        <v>200</v>
      </c>
      <c r="O131">
        <f>IF($A131="","",COUNTIF(attestations!$B$2:$B$2000,$A131))</f>
        <v>7</v>
      </c>
      <c r="P131">
        <f>IF($A131="","",COUNTIFS(attestations!$B$2:$B$2000,$A131,attestations!$R$2:$R$2000,"Map"))</f>
        <v>0</v>
      </c>
      <c r="Q131">
        <f>IF($A131="","",COUNTIFS(attestations!$B$2:$B$2000,$A131,attestations!$R$2:$R$2000,"Image"))</f>
        <v>0</v>
      </c>
      <c r="R131">
        <f>IF($A131="","",COUNTIFS(attestations!$B$2:$B$2000,$A131,attestations!$R$2:$R$2000,"Textual"))</f>
        <v>0</v>
      </c>
      <c r="S131">
        <f>IF($A131="","",COUNTIFS(attestations!$B$2:$B$2000,$A131,attestations!$D$2:$D$2000,"Geometry (Setting)"))</f>
        <v>1</v>
      </c>
      <c r="T131" t="str">
        <f t="shared" si="5"/>
        <v>High</v>
      </c>
      <c r="U131" t="str">
        <f>IF($A131="","",IF(COUNTIFS(attestations!$B$2:$B$2000,$A131,attestations!$I$2:$I$2000,"Georeferenced map GCP")&gt;0,"Y","N"))</f>
        <v>Y</v>
      </c>
      <c r="V131" t="s">
        <v>210</v>
      </c>
      <c r="X131" t="s">
        <v>755</v>
      </c>
      <c r="Y131" t="s">
        <v>294</v>
      </c>
      <c r="Z131" t="s">
        <v>266</v>
      </c>
    </row>
    <row r="132" spans="1:26" x14ac:dyDescent="0.2">
      <c r="A132" t="s">
        <v>756</v>
      </c>
      <c r="B132" t="s">
        <v>757</v>
      </c>
      <c r="D132" t="s">
        <v>677</v>
      </c>
      <c r="E132" t="s">
        <v>255</v>
      </c>
      <c r="F132" t="s">
        <v>256</v>
      </c>
      <c r="G132" t="s">
        <v>333</v>
      </c>
      <c r="H132" t="s">
        <v>242</v>
      </c>
      <c r="I132" t="s">
        <v>635</v>
      </c>
      <c r="J132" t="s">
        <v>264</v>
      </c>
      <c r="K132" t="s">
        <v>278</v>
      </c>
      <c r="L132" t="s">
        <v>228</v>
      </c>
      <c r="M132" t="str">
        <f t="shared" si="4"/>
        <v>Point + buffer</v>
      </c>
      <c r="N132">
        <v>200</v>
      </c>
      <c r="O132">
        <f>IF($A132="","",COUNTIF(attestations!$B$2:$B$2000,$A132))</f>
        <v>3</v>
      </c>
      <c r="P132">
        <f>IF($A132="","",COUNTIFS(attestations!$B$2:$B$2000,$A132,attestations!$R$2:$R$2000,"Map"))</f>
        <v>0</v>
      </c>
      <c r="Q132">
        <f>IF($A132="","",COUNTIFS(attestations!$B$2:$B$2000,$A132,attestations!$R$2:$R$2000,"Image"))</f>
        <v>0</v>
      </c>
      <c r="R132">
        <f>IF($A132="","",COUNTIFS(attestations!$B$2:$B$2000,$A132,attestations!$R$2:$R$2000,"Textual"))</f>
        <v>0</v>
      </c>
      <c r="S132">
        <f>IF($A132="","",COUNTIFS(attestations!$B$2:$B$2000,$A132,attestations!$D$2:$D$2000,"Geometry (Setting)"))</f>
        <v>1</v>
      </c>
      <c r="T132" t="str">
        <f t="shared" si="5"/>
        <v>Medium</v>
      </c>
      <c r="U132" t="str">
        <f>IF($A132="","",IF(COUNTIFS(attestations!$B$2:$B$2000,$A132,attestations!$I$2:$I$2000,"Georeferenced map GCP")&gt;0,"Y","N"))</f>
        <v>Y</v>
      </c>
      <c r="V132" t="s">
        <v>210</v>
      </c>
      <c r="X132" t="s">
        <v>758</v>
      </c>
      <c r="Y132" t="s">
        <v>333</v>
      </c>
      <c r="Z132" t="s">
        <v>266</v>
      </c>
    </row>
    <row r="133" spans="1:26" x14ac:dyDescent="0.2">
      <c r="A133" t="s">
        <v>759</v>
      </c>
      <c r="B133" t="s">
        <v>760</v>
      </c>
      <c r="D133" t="s">
        <v>728</v>
      </c>
      <c r="E133" t="s">
        <v>255</v>
      </c>
      <c r="F133" t="s">
        <v>256</v>
      </c>
      <c r="G133" t="s">
        <v>333</v>
      </c>
      <c r="H133" t="s">
        <v>242</v>
      </c>
      <c r="I133" t="s">
        <v>710</v>
      </c>
      <c r="J133" t="s">
        <v>264</v>
      </c>
      <c r="K133" t="s">
        <v>278</v>
      </c>
      <c r="L133" t="s">
        <v>228</v>
      </c>
      <c r="M133" t="str">
        <f t="shared" si="4"/>
        <v>Point + buffer</v>
      </c>
      <c r="N133">
        <v>200</v>
      </c>
      <c r="O133">
        <f>IF($A133="","",COUNTIF(attestations!$B$2:$B$2000,$A133))</f>
        <v>5</v>
      </c>
      <c r="P133">
        <f>IF($A133="","",COUNTIFS(attestations!$B$2:$B$2000,$A133,attestations!$R$2:$R$2000,"Map"))</f>
        <v>0</v>
      </c>
      <c r="Q133">
        <f>IF($A133="","",COUNTIFS(attestations!$B$2:$B$2000,$A133,attestations!$R$2:$R$2000,"Image"))</f>
        <v>0</v>
      </c>
      <c r="R133">
        <f>IF($A133="","",COUNTIFS(attestations!$B$2:$B$2000,$A133,attestations!$R$2:$R$2000,"Textual"))</f>
        <v>0</v>
      </c>
      <c r="S133">
        <f>IF($A133="","",COUNTIFS(attestations!$B$2:$B$2000,$A133,attestations!$D$2:$D$2000,"Geometry (Setting)"))</f>
        <v>2</v>
      </c>
      <c r="T133" t="str">
        <f t="shared" si="5"/>
        <v>Medium</v>
      </c>
      <c r="U133" t="str">
        <f>IF($A133="","",IF(COUNTIFS(attestations!$B$2:$B$2000,$A133,attestations!$I$2:$I$2000,"Georeferenced map GCP")&gt;0,"Y","N"))</f>
        <v>Y</v>
      </c>
      <c r="V133" t="s">
        <v>210</v>
      </c>
      <c r="X133" t="s">
        <v>761</v>
      </c>
      <c r="Y133" t="s">
        <v>333</v>
      </c>
      <c r="Z133" t="s">
        <v>266</v>
      </c>
    </row>
    <row r="134" spans="1:26" x14ac:dyDescent="0.2">
      <c r="A134" t="s">
        <v>762</v>
      </c>
      <c r="B134" t="s">
        <v>763</v>
      </c>
      <c r="D134" t="s">
        <v>677</v>
      </c>
      <c r="E134" t="s">
        <v>255</v>
      </c>
      <c r="F134" t="s">
        <v>256</v>
      </c>
      <c r="G134" t="s">
        <v>333</v>
      </c>
      <c r="H134" t="s">
        <v>242</v>
      </c>
      <c r="I134" t="s">
        <v>710</v>
      </c>
      <c r="J134" t="s">
        <v>264</v>
      </c>
      <c r="K134" t="s">
        <v>278</v>
      </c>
      <c r="L134" t="s">
        <v>228</v>
      </c>
      <c r="M134" t="str">
        <f t="shared" si="4"/>
        <v>Point + buffer</v>
      </c>
      <c r="N134">
        <v>200</v>
      </c>
      <c r="O134">
        <f>IF($A134="","",COUNTIF(attestations!$B$2:$B$2000,$A134))</f>
        <v>4</v>
      </c>
      <c r="P134">
        <f>IF($A134="","",COUNTIFS(attestations!$B$2:$B$2000,$A134,attestations!$R$2:$R$2000,"Map"))</f>
        <v>0</v>
      </c>
      <c r="Q134">
        <f>IF($A134="","",COUNTIFS(attestations!$B$2:$B$2000,$A134,attestations!$R$2:$R$2000,"Image"))</f>
        <v>0</v>
      </c>
      <c r="R134">
        <f>IF($A134="","",COUNTIFS(attestations!$B$2:$B$2000,$A134,attestations!$R$2:$R$2000,"Textual"))</f>
        <v>0</v>
      </c>
      <c r="S134">
        <f>IF($A134="","",COUNTIFS(attestations!$B$2:$B$2000,$A134,attestations!$D$2:$D$2000,"Geometry (Setting)"))</f>
        <v>1</v>
      </c>
      <c r="T134" t="str">
        <f t="shared" si="5"/>
        <v>Medium</v>
      </c>
      <c r="U134" t="str">
        <f>IF($A134="","",IF(COUNTIFS(attestations!$B$2:$B$2000,$A134,attestations!$I$2:$I$2000,"Georeferenced map GCP")&gt;0,"Y","N"))</f>
        <v>Y</v>
      </c>
      <c r="V134" t="s">
        <v>210</v>
      </c>
      <c r="X134" t="s">
        <v>764</v>
      </c>
      <c r="Y134" t="s">
        <v>333</v>
      </c>
      <c r="Z134" t="s">
        <v>266</v>
      </c>
    </row>
    <row r="135" spans="1:26" x14ac:dyDescent="0.2">
      <c r="A135" t="s">
        <v>765</v>
      </c>
      <c r="B135" t="s">
        <v>766</v>
      </c>
      <c r="D135" t="s">
        <v>201</v>
      </c>
      <c r="E135" t="s">
        <v>255</v>
      </c>
      <c r="F135" t="s">
        <v>256</v>
      </c>
      <c r="G135" t="s">
        <v>333</v>
      </c>
      <c r="H135" t="s">
        <v>242</v>
      </c>
      <c r="I135" t="s">
        <v>635</v>
      </c>
      <c r="J135" t="s">
        <v>264</v>
      </c>
      <c r="K135" t="s">
        <v>278</v>
      </c>
      <c r="L135" t="s">
        <v>228</v>
      </c>
      <c r="M135" t="str">
        <f t="shared" si="4"/>
        <v>Point + buffer</v>
      </c>
      <c r="N135">
        <v>200</v>
      </c>
      <c r="O135">
        <f>IF($A135="","",COUNTIF(attestations!$B$2:$B$2000,$A135))</f>
        <v>7</v>
      </c>
      <c r="P135">
        <f>IF($A135="","",COUNTIFS(attestations!$B$2:$B$2000,$A135,attestations!$R$2:$R$2000,"Map"))</f>
        <v>0</v>
      </c>
      <c r="Q135">
        <f>IF($A135="","",COUNTIFS(attestations!$B$2:$B$2000,$A135,attestations!$R$2:$R$2000,"Image"))</f>
        <v>0</v>
      </c>
      <c r="R135">
        <f>IF($A135="","",COUNTIFS(attestations!$B$2:$B$2000,$A135,attestations!$R$2:$R$2000,"Textual"))</f>
        <v>0</v>
      </c>
      <c r="S135">
        <f>IF($A135="","",COUNTIFS(attestations!$B$2:$B$2000,$A135,attestations!$D$2:$D$2000,"Geometry (Setting)"))</f>
        <v>1</v>
      </c>
      <c r="T135" t="str">
        <f t="shared" si="5"/>
        <v>High</v>
      </c>
      <c r="U135" t="str">
        <f>IF($A135="","",IF(COUNTIFS(attestations!$B$2:$B$2000,$A135,attestations!$I$2:$I$2000,"Georeferenced map GCP")&gt;0,"Y","N"))</f>
        <v>Y</v>
      </c>
      <c r="V135" t="s">
        <v>210</v>
      </c>
      <c r="X135" t="s">
        <v>767</v>
      </c>
      <c r="Y135" t="s">
        <v>333</v>
      </c>
      <c r="Z135" t="s">
        <v>266</v>
      </c>
    </row>
    <row r="136" spans="1:26" x14ac:dyDescent="0.2">
      <c r="A136" t="s">
        <v>768</v>
      </c>
      <c r="B136" t="s">
        <v>769</v>
      </c>
      <c r="D136" t="s">
        <v>677</v>
      </c>
      <c r="E136" t="s">
        <v>255</v>
      </c>
      <c r="F136" t="s">
        <v>256</v>
      </c>
      <c r="G136" t="s">
        <v>333</v>
      </c>
      <c r="H136" t="s">
        <v>242</v>
      </c>
      <c r="I136" t="s">
        <v>684</v>
      </c>
      <c r="J136" t="s">
        <v>264</v>
      </c>
      <c r="K136" t="s">
        <v>278</v>
      </c>
      <c r="L136" t="s">
        <v>228</v>
      </c>
      <c r="M136" t="str">
        <f t="shared" si="4"/>
        <v>Point + buffer</v>
      </c>
      <c r="N136">
        <v>200</v>
      </c>
      <c r="O136">
        <f>IF($A136="","",COUNTIF(attestations!$B$2:$B$2000,$A136))</f>
        <v>4</v>
      </c>
      <c r="P136">
        <f>IF($A136="","",COUNTIFS(attestations!$B$2:$B$2000,$A136,attestations!$R$2:$R$2000,"Map"))</f>
        <v>0</v>
      </c>
      <c r="Q136">
        <f>IF($A136="","",COUNTIFS(attestations!$B$2:$B$2000,$A136,attestations!$R$2:$R$2000,"Image"))</f>
        <v>0</v>
      </c>
      <c r="R136">
        <f>IF($A136="","",COUNTIFS(attestations!$B$2:$B$2000,$A136,attestations!$R$2:$R$2000,"Textual"))</f>
        <v>0</v>
      </c>
      <c r="S136">
        <f>IF($A136="","",COUNTIFS(attestations!$B$2:$B$2000,$A136,attestations!$D$2:$D$2000,"Geometry (Setting)"))</f>
        <v>1</v>
      </c>
      <c r="T136" t="str">
        <f t="shared" si="5"/>
        <v>Medium</v>
      </c>
      <c r="U136" t="str">
        <f>IF($A136="","",IF(COUNTIFS(attestations!$B$2:$B$2000,$A136,attestations!$I$2:$I$2000,"Georeferenced map GCP")&gt;0,"Y","N"))</f>
        <v>Y</v>
      </c>
      <c r="V136" t="s">
        <v>210</v>
      </c>
      <c r="X136" t="s">
        <v>770</v>
      </c>
      <c r="Y136" t="s">
        <v>333</v>
      </c>
      <c r="Z136" t="s">
        <v>266</v>
      </c>
    </row>
    <row r="137" spans="1:26" x14ac:dyDescent="0.2">
      <c r="A137" t="s">
        <v>771</v>
      </c>
      <c r="B137" t="s">
        <v>772</v>
      </c>
      <c r="D137" t="s">
        <v>677</v>
      </c>
      <c r="E137" t="s">
        <v>227</v>
      </c>
      <c r="F137" t="s">
        <v>227</v>
      </c>
      <c r="G137" t="s">
        <v>333</v>
      </c>
      <c r="H137" t="s">
        <v>242</v>
      </c>
      <c r="I137" t="s">
        <v>635</v>
      </c>
      <c r="K137" t="s">
        <v>278</v>
      </c>
      <c r="L137" t="s">
        <v>228</v>
      </c>
      <c r="M137" t="str">
        <f t="shared" si="4"/>
        <v>Point + buffer</v>
      </c>
      <c r="N137">
        <v>200</v>
      </c>
      <c r="O137">
        <f>IF($A137="","",COUNTIF(attestations!$B$2:$B$2000,$A137))</f>
        <v>2</v>
      </c>
      <c r="P137">
        <f>IF($A137="","",COUNTIFS(attestations!$B$2:$B$2000,$A137,attestations!$R$2:$R$2000,"Map"))</f>
        <v>0</v>
      </c>
      <c r="Q137">
        <f>IF($A137="","",COUNTIFS(attestations!$B$2:$B$2000,$A137,attestations!$R$2:$R$2000,"Image"))</f>
        <v>0</v>
      </c>
      <c r="R137">
        <f>IF($A137="","",COUNTIFS(attestations!$B$2:$B$2000,$A137,attestations!$R$2:$R$2000,"Textual"))</f>
        <v>0</v>
      </c>
      <c r="S137">
        <f>IF($A137="","",COUNTIFS(attestations!$B$2:$B$2000,$A137,attestations!$D$2:$D$2000,"Geometry (Setting)"))</f>
        <v>1</v>
      </c>
      <c r="T137" t="str">
        <f t="shared" si="5"/>
        <v>Low</v>
      </c>
      <c r="U137" t="str">
        <f>IF($A137="","",IF(COUNTIFS(attestations!$B$2:$B$2000,$A137,attestations!$I$2:$I$2000,"Georeferenced map GCP")&gt;0,"Y","N"))</f>
        <v>Y</v>
      </c>
      <c r="V137" t="s">
        <v>210</v>
      </c>
      <c r="X137" t="s">
        <v>773</v>
      </c>
      <c r="Y137" t="s">
        <v>333</v>
      </c>
      <c r="Z137" t="s">
        <v>280</v>
      </c>
    </row>
    <row r="138" spans="1:26" x14ac:dyDescent="0.2">
      <c r="A138" t="s">
        <v>774</v>
      </c>
      <c r="B138" t="s">
        <v>775</v>
      </c>
      <c r="D138" t="s">
        <v>673</v>
      </c>
      <c r="E138" t="s">
        <v>227</v>
      </c>
      <c r="F138" t="s">
        <v>227</v>
      </c>
      <c r="G138" t="s">
        <v>268</v>
      </c>
      <c r="H138" t="s">
        <v>242</v>
      </c>
      <c r="I138" t="s">
        <v>635</v>
      </c>
      <c r="K138" t="s">
        <v>278</v>
      </c>
      <c r="L138" t="s">
        <v>228</v>
      </c>
      <c r="M138" t="str">
        <f t="shared" si="4"/>
        <v>Point + buffer</v>
      </c>
      <c r="N138">
        <v>200</v>
      </c>
      <c r="O138">
        <f>IF($A138="","",COUNTIF(attestations!$B$2:$B$2000,$A138))</f>
        <v>2</v>
      </c>
      <c r="P138">
        <f>IF($A138="","",COUNTIFS(attestations!$B$2:$B$2000,$A138,attestations!$R$2:$R$2000,"Map"))</f>
        <v>0</v>
      </c>
      <c r="Q138">
        <f>IF($A138="","",COUNTIFS(attestations!$B$2:$B$2000,$A138,attestations!$R$2:$R$2000,"Image"))</f>
        <v>0</v>
      </c>
      <c r="R138">
        <f>IF($A138="","",COUNTIFS(attestations!$B$2:$B$2000,$A138,attestations!$R$2:$R$2000,"Textual"))</f>
        <v>0</v>
      </c>
      <c r="S138">
        <f>IF($A138="","",COUNTIFS(attestations!$B$2:$B$2000,$A138,attestations!$D$2:$D$2000,"Geometry (Setting)"))</f>
        <v>1</v>
      </c>
      <c r="T138" t="str">
        <f t="shared" si="5"/>
        <v>Low</v>
      </c>
      <c r="U138" t="str">
        <f>IF($A138="","",IF(COUNTIFS(attestations!$B$2:$B$2000,$A138,attestations!$I$2:$I$2000,"Georeferenced map GCP")&gt;0,"Y","N"))</f>
        <v>Y</v>
      </c>
      <c r="V138" t="s">
        <v>210</v>
      </c>
      <c r="X138" t="s">
        <v>776</v>
      </c>
      <c r="Y138" t="s">
        <v>305</v>
      </c>
      <c r="Z138" t="s">
        <v>280</v>
      </c>
    </row>
    <row r="139" spans="1:26" x14ac:dyDescent="0.2">
      <c r="A139" t="s">
        <v>777</v>
      </c>
      <c r="B139" t="s">
        <v>778</v>
      </c>
      <c r="D139" t="s">
        <v>677</v>
      </c>
      <c r="E139" t="s">
        <v>227</v>
      </c>
      <c r="F139" t="s">
        <v>227</v>
      </c>
      <c r="G139" t="s">
        <v>333</v>
      </c>
      <c r="H139" t="s">
        <v>242</v>
      </c>
      <c r="I139" t="s">
        <v>258</v>
      </c>
      <c r="K139" t="s">
        <v>278</v>
      </c>
      <c r="L139" t="s">
        <v>228</v>
      </c>
      <c r="M139" t="str">
        <f t="shared" si="4"/>
        <v>Point + buffer</v>
      </c>
      <c r="N139">
        <v>250</v>
      </c>
      <c r="O139">
        <f>IF($A139="","",COUNTIF(attestations!$B$2:$B$2000,$A139))</f>
        <v>15</v>
      </c>
      <c r="P139">
        <f>IF($A139="","",COUNTIFS(attestations!$B$2:$B$2000,$A139,attestations!$R$2:$R$2000,"Map"))</f>
        <v>0</v>
      </c>
      <c r="Q139">
        <f>IF($A139="","",COUNTIFS(attestations!$B$2:$B$2000,$A139,attestations!$R$2:$R$2000,"Image"))</f>
        <v>0</v>
      </c>
      <c r="R139">
        <f>IF($A139="","",COUNTIFS(attestations!$B$2:$B$2000,$A139,attestations!$R$2:$R$2000,"Textual"))</f>
        <v>0</v>
      </c>
      <c r="S139">
        <f>IF($A139="","",COUNTIFS(attestations!$B$2:$B$2000,$A139,attestations!$D$2:$D$2000,"Geometry (Setting)"))</f>
        <v>7</v>
      </c>
      <c r="T139" t="str">
        <f t="shared" si="5"/>
        <v>High</v>
      </c>
      <c r="U139" t="str">
        <f>IF($A139="","",IF(COUNTIFS(attestations!$B$2:$B$2000,$A139,attestations!$I$2:$I$2000,"Georeferenced map GCP")&gt;0,"Y","N"))</f>
        <v>Y</v>
      </c>
      <c r="V139" t="s">
        <v>210</v>
      </c>
      <c r="X139" t="s">
        <v>779</v>
      </c>
      <c r="Y139" t="s">
        <v>294</v>
      </c>
      <c r="Z139" t="s">
        <v>376</v>
      </c>
    </row>
    <row r="140" spans="1:26" x14ac:dyDescent="0.2">
      <c r="A140" t="s">
        <v>780</v>
      </c>
      <c r="B140" t="s">
        <v>781</v>
      </c>
      <c r="D140" t="s">
        <v>308</v>
      </c>
      <c r="E140" t="s">
        <v>227</v>
      </c>
      <c r="F140" t="s">
        <v>227</v>
      </c>
      <c r="G140" t="s">
        <v>268</v>
      </c>
      <c r="H140" t="s">
        <v>269</v>
      </c>
      <c r="I140" t="s">
        <v>684</v>
      </c>
      <c r="K140" t="s">
        <v>278</v>
      </c>
      <c r="L140" t="s">
        <v>228</v>
      </c>
      <c r="M140" t="str">
        <f t="shared" si="4"/>
        <v>Point + buffer</v>
      </c>
      <c r="N140">
        <v>200</v>
      </c>
      <c r="O140">
        <f>IF($A140="","",COUNTIF(attestations!$B$2:$B$2000,$A140))</f>
        <v>2</v>
      </c>
      <c r="P140">
        <f>IF($A140="","",COUNTIFS(attestations!$B$2:$B$2000,$A140,attestations!$R$2:$R$2000,"Map"))</f>
        <v>0</v>
      </c>
      <c r="Q140">
        <f>IF($A140="","",COUNTIFS(attestations!$B$2:$B$2000,$A140,attestations!$R$2:$R$2000,"Image"))</f>
        <v>0</v>
      </c>
      <c r="R140">
        <f>IF($A140="","",COUNTIFS(attestations!$B$2:$B$2000,$A140,attestations!$R$2:$R$2000,"Textual"))</f>
        <v>0</v>
      </c>
      <c r="S140">
        <f>IF($A140="","",COUNTIFS(attestations!$B$2:$B$2000,$A140,attestations!$D$2:$D$2000,"Geometry (Setting)"))</f>
        <v>1</v>
      </c>
      <c r="T140" t="str">
        <f t="shared" si="5"/>
        <v>Low</v>
      </c>
      <c r="U140" t="str">
        <f>IF($A140="","",IF(COUNTIFS(attestations!$B$2:$B$2000,$A140,attestations!$I$2:$I$2000,"Georeferenced map GCP")&gt;0,"Y","N"))</f>
        <v>Y</v>
      </c>
      <c r="V140" t="s">
        <v>210</v>
      </c>
      <c r="X140" t="s">
        <v>782</v>
      </c>
      <c r="Y140" t="s">
        <v>305</v>
      </c>
      <c r="Z140" t="s">
        <v>376</v>
      </c>
    </row>
    <row r="141" spans="1:26" x14ac:dyDescent="0.2">
      <c r="A141" t="s">
        <v>783</v>
      </c>
      <c r="B141" t="s">
        <v>784</v>
      </c>
      <c r="D141" t="s">
        <v>640</v>
      </c>
      <c r="E141" t="s">
        <v>227</v>
      </c>
      <c r="F141" t="s">
        <v>227</v>
      </c>
      <c r="G141" t="s">
        <v>257</v>
      </c>
      <c r="H141" t="s">
        <v>242</v>
      </c>
      <c r="I141" t="s">
        <v>489</v>
      </c>
      <c r="K141" t="s">
        <v>278</v>
      </c>
      <c r="L141" t="s">
        <v>228</v>
      </c>
      <c r="M141" t="str">
        <f t="shared" si="4"/>
        <v>Point + buffer</v>
      </c>
      <c r="N141">
        <v>250</v>
      </c>
      <c r="O141">
        <f>IF($A141="","",COUNTIF(attestations!$B$2:$B$2000,$A141))</f>
        <v>10</v>
      </c>
      <c r="P141">
        <f>IF($A141="","",COUNTIFS(attestations!$B$2:$B$2000,$A141,attestations!$R$2:$R$2000,"Map"))</f>
        <v>0</v>
      </c>
      <c r="Q141">
        <f>IF($A141="","",COUNTIFS(attestations!$B$2:$B$2000,$A141,attestations!$R$2:$R$2000,"Image"))</f>
        <v>0</v>
      </c>
      <c r="R141">
        <f>IF($A141="","",COUNTIFS(attestations!$B$2:$B$2000,$A141,attestations!$R$2:$R$2000,"Textual"))</f>
        <v>0</v>
      </c>
      <c r="S141">
        <f>IF($A141="","",COUNTIFS(attestations!$B$2:$B$2000,$A141,attestations!$D$2:$D$2000,"Geometry (Setting)"))</f>
        <v>1</v>
      </c>
      <c r="T141" t="str">
        <f t="shared" si="5"/>
        <v>High</v>
      </c>
      <c r="U141" t="str">
        <f>IF($A141="","",IF(COUNTIFS(attestations!$B$2:$B$2000,$A141,attestations!$I$2:$I$2000,"Georeferenced map GCP")&gt;0,"Y","N"))</f>
        <v>Y</v>
      </c>
      <c r="V141" t="s">
        <v>210</v>
      </c>
      <c r="W141" t="s">
        <v>222</v>
      </c>
      <c r="X141" t="s">
        <v>785</v>
      </c>
      <c r="Y141" t="s">
        <v>312</v>
      </c>
      <c r="Z141" t="s">
        <v>363</v>
      </c>
    </row>
    <row r="142" spans="1:26" x14ac:dyDescent="0.2">
      <c r="A142" t="s">
        <v>786</v>
      </c>
      <c r="B142" t="s">
        <v>787</v>
      </c>
      <c r="D142" t="s">
        <v>677</v>
      </c>
      <c r="E142" t="s">
        <v>227</v>
      </c>
      <c r="F142" t="s">
        <v>227</v>
      </c>
      <c r="G142" t="s">
        <v>333</v>
      </c>
      <c r="H142" t="s">
        <v>242</v>
      </c>
      <c r="I142" t="s">
        <v>489</v>
      </c>
      <c r="K142" t="s">
        <v>278</v>
      </c>
      <c r="L142" t="s">
        <v>209</v>
      </c>
      <c r="M142" t="str">
        <f t="shared" si="4"/>
        <v>Translucent area</v>
      </c>
      <c r="N142">
        <v>300</v>
      </c>
      <c r="O142">
        <f>IF($A142="","",COUNTIF(attestations!$B$2:$B$2000,$A142))</f>
        <v>6</v>
      </c>
      <c r="P142">
        <f>IF($A142="","",COUNTIFS(attestations!$B$2:$B$2000,$A142,attestations!$R$2:$R$2000,"Map"))</f>
        <v>0</v>
      </c>
      <c r="Q142">
        <f>IF($A142="","",COUNTIFS(attestations!$B$2:$B$2000,$A142,attestations!$R$2:$R$2000,"Image"))</f>
        <v>0</v>
      </c>
      <c r="R142">
        <f>IF($A142="","",COUNTIFS(attestations!$B$2:$B$2000,$A142,attestations!$R$2:$R$2000,"Textual"))</f>
        <v>0</v>
      </c>
      <c r="S142">
        <f>IF($A142="","",COUNTIFS(attestations!$B$2:$B$2000,$A142,attestations!$D$2:$D$2000,"Geometry (Setting)"))</f>
        <v>1</v>
      </c>
      <c r="T142" t="str">
        <f t="shared" si="5"/>
        <v>High</v>
      </c>
      <c r="U142" t="str">
        <f>IF($A142="","",IF(COUNTIFS(attestations!$B$2:$B$2000,$A142,attestations!$I$2:$I$2000,"Georeferenced map GCP")&gt;0,"Y","N"))</f>
        <v>Y</v>
      </c>
      <c r="V142" t="s">
        <v>210</v>
      </c>
      <c r="X142" t="s">
        <v>788</v>
      </c>
      <c r="Y142" t="s">
        <v>333</v>
      </c>
      <c r="Z142" t="s">
        <v>363</v>
      </c>
    </row>
    <row r="143" spans="1:26" x14ac:dyDescent="0.2">
      <c r="A143" t="s">
        <v>789</v>
      </c>
      <c r="B143" t="s">
        <v>790</v>
      </c>
      <c r="D143" t="s">
        <v>673</v>
      </c>
      <c r="E143" t="s">
        <v>227</v>
      </c>
      <c r="F143" t="s">
        <v>227</v>
      </c>
      <c r="G143" t="s">
        <v>268</v>
      </c>
      <c r="H143" t="s">
        <v>242</v>
      </c>
      <c r="I143" t="s">
        <v>635</v>
      </c>
      <c r="K143" t="s">
        <v>278</v>
      </c>
      <c r="L143" t="s">
        <v>228</v>
      </c>
      <c r="M143" t="str">
        <f t="shared" si="4"/>
        <v>Point + buffer</v>
      </c>
      <c r="N143">
        <v>200</v>
      </c>
      <c r="O143">
        <f>IF($A143="","",COUNTIF(attestations!$B$2:$B$2000,$A143))</f>
        <v>2</v>
      </c>
      <c r="P143">
        <f>IF($A143="","",COUNTIFS(attestations!$B$2:$B$2000,$A143,attestations!$R$2:$R$2000,"Map"))</f>
        <v>0</v>
      </c>
      <c r="Q143">
        <f>IF($A143="","",COUNTIFS(attestations!$B$2:$B$2000,$A143,attestations!$R$2:$R$2000,"Image"))</f>
        <v>0</v>
      </c>
      <c r="R143">
        <f>IF($A143="","",COUNTIFS(attestations!$B$2:$B$2000,$A143,attestations!$R$2:$R$2000,"Textual"))</f>
        <v>0</v>
      </c>
      <c r="S143">
        <f>IF($A143="","",COUNTIFS(attestations!$B$2:$B$2000,$A143,attestations!$D$2:$D$2000,"Geometry (Setting)"))</f>
        <v>1</v>
      </c>
      <c r="T143" t="str">
        <f t="shared" si="5"/>
        <v>Low</v>
      </c>
      <c r="U143" t="str">
        <f>IF($A143="","",IF(COUNTIFS(attestations!$B$2:$B$2000,$A143,attestations!$I$2:$I$2000,"Georeferenced map GCP")&gt;0,"Y","N"))</f>
        <v>Y</v>
      </c>
      <c r="V143" t="s">
        <v>210</v>
      </c>
      <c r="X143" t="s">
        <v>791</v>
      </c>
      <c r="Y143" t="s">
        <v>305</v>
      </c>
      <c r="Z143" t="s">
        <v>376</v>
      </c>
    </row>
    <row r="144" spans="1:26" x14ac:dyDescent="0.2">
      <c r="A144" t="s">
        <v>792</v>
      </c>
      <c r="B144" t="s">
        <v>793</v>
      </c>
      <c r="D144" t="s">
        <v>275</v>
      </c>
      <c r="E144" t="s">
        <v>255</v>
      </c>
      <c r="F144" t="s">
        <v>319</v>
      </c>
      <c r="G144" t="s">
        <v>257</v>
      </c>
      <c r="H144" t="s">
        <v>242</v>
      </c>
      <c r="I144" t="s">
        <v>597</v>
      </c>
      <c r="J144" t="s">
        <v>385</v>
      </c>
      <c r="K144" t="s">
        <v>278</v>
      </c>
      <c r="L144" t="s">
        <v>228</v>
      </c>
      <c r="M144" t="str">
        <f t="shared" si="4"/>
        <v>Point + buffer</v>
      </c>
      <c r="N144">
        <v>200</v>
      </c>
      <c r="O144">
        <f>IF($A144="","",COUNTIF(attestations!$B$2:$B$2000,$A144))</f>
        <v>7</v>
      </c>
      <c r="P144">
        <f>IF($A144="","",COUNTIFS(attestations!$B$2:$B$2000,$A144,attestations!$R$2:$R$2000,"Map"))</f>
        <v>0</v>
      </c>
      <c r="Q144">
        <f>IF($A144="","",COUNTIFS(attestations!$B$2:$B$2000,$A144,attestations!$R$2:$R$2000,"Image"))</f>
        <v>0</v>
      </c>
      <c r="R144">
        <f>IF($A144="","",COUNTIFS(attestations!$B$2:$B$2000,$A144,attestations!$R$2:$R$2000,"Textual"))</f>
        <v>0</v>
      </c>
      <c r="S144">
        <f>IF($A144="","",COUNTIFS(attestations!$B$2:$B$2000,$A144,attestations!$D$2:$D$2000,"Geometry (Setting)"))</f>
        <v>3</v>
      </c>
      <c r="T144" t="str">
        <f t="shared" si="5"/>
        <v>High</v>
      </c>
      <c r="U144" t="str">
        <f>IF($A144="","",IF(COUNTIFS(attestations!$B$2:$B$2000,$A144,attestations!$I$2:$I$2000,"Georeferenced map GCP")&gt;0,"Y","N"))</f>
        <v>Y</v>
      </c>
      <c r="V144" t="s">
        <v>210</v>
      </c>
      <c r="X144" t="s">
        <v>794</v>
      </c>
      <c r="Y144" t="s">
        <v>212</v>
      </c>
    </row>
    <row r="145" spans="1:27" x14ac:dyDescent="0.2">
      <c r="A145" t="s">
        <v>795</v>
      </c>
      <c r="B145" t="s">
        <v>796</v>
      </c>
      <c r="C145" t="s">
        <v>797</v>
      </c>
      <c r="D145" t="s">
        <v>226</v>
      </c>
      <c r="E145" t="s">
        <v>326</v>
      </c>
      <c r="F145" t="s">
        <v>798</v>
      </c>
      <c r="G145" t="s">
        <v>319</v>
      </c>
      <c r="H145" t="s">
        <v>205</v>
      </c>
      <c r="I145" t="s">
        <v>799</v>
      </c>
      <c r="K145" t="s">
        <v>227</v>
      </c>
      <c r="L145" t="s">
        <v>228</v>
      </c>
      <c r="M145" t="str">
        <f t="shared" si="4"/>
        <v>Point + buffer</v>
      </c>
      <c r="N145">
        <v>200</v>
      </c>
      <c r="O145">
        <f>IF($A145="","",COUNTIF(attestations!$B$2:$B$2000,$A145))</f>
        <v>14</v>
      </c>
      <c r="P145">
        <f>IF($A145="","",COUNTIFS(attestations!$B$2:$B$2000,$A145,attestations!$R$2:$R$2000,"Map"))</f>
        <v>0</v>
      </c>
      <c r="Q145">
        <f>IF($A145="","",COUNTIFS(attestations!$B$2:$B$2000,$A145,attestations!$R$2:$R$2000,"Image"))</f>
        <v>0</v>
      </c>
      <c r="R145">
        <f>IF($A145="","",COUNTIFS(attestations!$B$2:$B$2000,$A145,attestations!$R$2:$R$2000,"Textual"))</f>
        <v>0</v>
      </c>
      <c r="S145">
        <f>IF($A145="","",COUNTIFS(attestations!$B$2:$B$2000,$A145,attestations!$D$2:$D$2000,"Geometry (Setting)"))</f>
        <v>3</v>
      </c>
      <c r="T145" t="str">
        <f t="shared" si="5"/>
        <v>High</v>
      </c>
      <c r="U145" t="str">
        <f>IF($A145="","",IF(COUNTIFS(attestations!$B$2:$B$2000,$A145,attestations!$I$2:$I$2000,"Georeferenced map GCP")&gt;0,"Y","N"))</f>
        <v>Y</v>
      </c>
      <c r="V145" t="s">
        <v>210</v>
      </c>
      <c r="W145" t="s">
        <v>222</v>
      </c>
      <c r="X145" t="s">
        <v>800</v>
      </c>
      <c r="Y145" t="s">
        <v>212</v>
      </c>
      <c r="AA145" t="s">
        <v>801</v>
      </c>
    </row>
    <row r="146" spans="1:27" x14ac:dyDescent="0.2">
      <c r="A146" t="s">
        <v>802</v>
      </c>
      <c r="B146" t="s">
        <v>803</v>
      </c>
      <c r="D146" t="s">
        <v>226</v>
      </c>
      <c r="E146" t="s">
        <v>202</v>
      </c>
      <c r="F146" t="s">
        <v>203</v>
      </c>
      <c r="G146" t="s">
        <v>204</v>
      </c>
      <c r="H146" t="s">
        <v>205</v>
      </c>
      <c r="I146" t="s">
        <v>276</v>
      </c>
      <c r="J146" t="s">
        <v>207</v>
      </c>
      <c r="K146" t="s">
        <v>227</v>
      </c>
      <c r="L146" t="s">
        <v>228</v>
      </c>
      <c r="M146" t="str">
        <f t="shared" si="4"/>
        <v>Point + buffer</v>
      </c>
      <c r="N146">
        <v>300</v>
      </c>
      <c r="O146">
        <f>IF($A146="","",COUNTIF(attestations!$B$2:$B$2000,$A146))</f>
        <v>10</v>
      </c>
      <c r="P146">
        <f>IF($A146="","",COUNTIFS(attestations!$B$2:$B$2000,$A146,attestations!$R$2:$R$2000,"Map"))</f>
        <v>0</v>
      </c>
      <c r="Q146">
        <f>IF($A146="","",COUNTIFS(attestations!$B$2:$B$2000,$A146,attestations!$R$2:$R$2000,"Image"))</f>
        <v>0</v>
      </c>
      <c r="R146">
        <f>IF($A146="","",COUNTIFS(attestations!$B$2:$B$2000,$A146,attestations!$R$2:$R$2000,"Textual"))</f>
        <v>0</v>
      </c>
      <c r="S146">
        <f>IF($A146="","",COUNTIFS(attestations!$B$2:$B$2000,$A146,attestations!$D$2:$D$2000,"Geometry (Setting)"))</f>
        <v>2</v>
      </c>
      <c r="T146" t="str">
        <f t="shared" si="5"/>
        <v>High</v>
      </c>
      <c r="U146" t="str">
        <f>IF($A146="","",IF(COUNTIFS(attestations!$B$2:$B$2000,$A146,attestations!$I$2:$I$2000,"Georeferenced map GCP")&gt;0,"Y","N"))</f>
        <v>Y</v>
      </c>
      <c r="V146" t="s">
        <v>210</v>
      </c>
      <c r="W146" t="s">
        <v>228</v>
      </c>
      <c r="X146" t="s">
        <v>804</v>
      </c>
      <c r="Y146" t="s">
        <v>212</v>
      </c>
    </row>
    <row r="147" spans="1:27" x14ac:dyDescent="0.2">
      <c r="A147" t="s">
        <v>805</v>
      </c>
      <c r="B147" t="s">
        <v>806</v>
      </c>
      <c r="C147" t="s">
        <v>807</v>
      </c>
      <c r="D147" t="s">
        <v>325</v>
      </c>
      <c r="E147" t="s">
        <v>326</v>
      </c>
      <c r="F147" t="s">
        <v>798</v>
      </c>
      <c r="G147" t="s">
        <v>339</v>
      </c>
      <c r="H147" t="s">
        <v>309</v>
      </c>
      <c r="I147" t="s">
        <v>546</v>
      </c>
      <c r="K147" t="s">
        <v>228</v>
      </c>
      <c r="L147" t="s">
        <v>222</v>
      </c>
      <c r="M147" t="str">
        <f t="shared" si="4"/>
        <v>Solid point</v>
      </c>
      <c r="N147">
        <v>150</v>
      </c>
      <c r="O147">
        <f>IF($A147="","",COUNTIF(attestations!$B$2:$B$2000,$A147))</f>
        <v>7</v>
      </c>
      <c r="P147">
        <f>IF($A147="","",COUNTIFS(attestations!$B$2:$B$2000,$A147,attestations!$R$2:$R$2000,"Map"))</f>
        <v>0</v>
      </c>
      <c r="Q147">
        <f>IF($A147="","",COUNTIFS(attestations!$B$2:$B$2000,$A147,attestations!$R$2:$R$2000,"Image"))</f>
        <v>0</v>
      </c>
      <c r="R147">
        <f>IF($A147="","",COUNTIFS(attestations!$B$2:$B$2000,$A147,attestations!$R$2:$R$2000,"Textual"))</f>
        <v>0</v>
      </c>
      <c r="S147">
        <f>IF($A147="","",COUNTIFS(attestations!$B$2:$B$2000,$A147,attestations!$D$2:$D$2000,"Geometry (Setting)"))</f>
        <v>2</v>
      </c>
      <c r="T147" t="str">
        <f t="shared" si="5"/>
        <v>High</v>
      </c>
      <c r="U147" t="str">
        <f>IF($A147="","",IF(COUNTIFS(attestations!$B$2:$B$2000,$A147,attestations!$I$2:$I$2000,"Georeferenced map GCP")&gt;0,"Y","N"))</f>
        <v>Y</v>
      </c>
      <c r="V147" t="s">
        <v>210</v>
      </c>
      <c r="W147" t="s">
        <v>222</v>
      </c>
      <c r="X147" t="s">
        <v>808</v>
      </c>
      <c r="Y147" t="s">
        <v>312</v>
      </c>
      <c r="Z147" t="s">
        <v>434</v>
      </c>
      <c r="AA147" t="s">
        <v>809</v>
      </c>
    </row>
    <row r="148" spans="1:27" x14ac:dyDescent="0.2">
      <c r="A148" t="s">
        <v>810</v>
      </c>
      <c r="B148" t="s">
        <v>811</v>
      </c>
      <c r="C148" t="s">
        <v>812</v>
      </c>
      <c r="D148" t="s">
        <v>338</v>
      </c>
      <c r="E148" t="s">
        <v>255</v>
      </c>
      <c r="F148" t="s">
        <v>256</v>
      </c>
      <c r="G148" t="s">
        <v>339</v>
      </c>
      <c r="H148" t="s">
        <v>309</v>
      </c>
      <c r="I148" t="s">
        <v>813</v>
      </c>
      <c r="J148" t="s">
        <v>264</v>
      </c>
      <c r="K148" t="s">
        <v>227</v>
      </c>
      <c r="L148" t="s">
        <v>222</v>
      </c>
      <c r="M148" t="str">
        <f t="shared" si="4"/>
        <v>Solid point</v>
      </c>
      <c r="N148">
        <v>150</v>
      </c>
      <c r="O148">
        <f>IF($A148="","",COUNTIF(attestations!$B$2:$B$2000,$A148))</f>
        <v>2</v>
      </c>
      <c r="P148">
        <f>IF($A148="","",COUNTIFS(attestations!$B$2:$B$2000,$A148,attestations!$R$2:$R$2000,"Map"))</f>
        <v>0</v>
      </c>
      <c r="Q148">
        <f>IF($A148="","",COUNTIFS(attestations!$B$2:$B$2000,$A148,attestations!$R$2:$R$2000,"Image"))</f>
        <v>0</v>
      </c>
      <c r="R148">
        <f>IF($A148="","",COUNTIFS(attestations!$B$2:$B$2000,$A148,attestations!$R$2:$R$2000,"Textual"))</f>
        <v>0</v>
      </c>
      <c r="S148">
        <f>IF($A148="","",COUNTIFS(attestations!$B$2:$B$2000,$A148,attestations!$D$2:$D$2000,"Geometry (Setting)"))</f>
        <v>1</v>
      </c>
      <c r="T148" t="str">
        <f t="shared" si="5"/>
        <v>Low</v>
      </c>
      <c r="U148" t="str">
        <f>IF($A148="","",IF(COUNTIFS(attestations!$B$2:$B$2000,$A148,attestations!$I$2:$I$2000,"Georeferenced map GCP")&gt;0,"Y","N"))</f>
        <v>Y</v>
      </c>
      <c r="V148" t="s">
        <v>210</v>
      </c>
      <c r="W148" t="s">
        <v>222</v>
      </c>
      <c r="X148" t="s">
        <v>814</v>
      </c>
      <c r="Y148" t="s">
        <v>305</v>
      </c>
      <c r="Z148" t="s">
        <v>266</v>
      </c>
    </row>
    <row r="149" spans="1:27" x14ac:dyDescent="0.2">
      <c r="A149" t="s">
        <v>815</v>
      </c>
      <c r="B149" t="s">
        <v>816</v>
      </c>
      <c r="C149" t="s">
        <v>817</v>
      </c>
      <c r="D149" t="s">
        <v>338</v>
      </c>
      <c r="E149" t="s">
        <v>255</v>
      </c>
      <c r="F149" t="s">
        <v>256</v>
      </c>
      <c r="G149" t="s">
        <v>339</v>
      </c>
      <c r="H149" t="s">
        <v>309</v>
      </c>
      <c r="I149" t="s">
        <v>818</v>
      </c>
      <c r="J149" t="s">
        <v>264</v>
      </c>
      <c r="K149" t="s">
        <v>227</v>
      </c>
      <c r="L149" t="s">
        <v>228</v>
      </c>
      <c r="M149" t="str">
        <f t="shared" si="4"/>
        <v>Point + buffer</v>
      </c>
      <c r="N149">
        <v>200</v>
      </c>
      <c r="O149">
        <f>IF($A149="","",COUNTIF(attestations!$B$2:$B$2000,$A149))</f>
        <v>5</v>
      </c>
      <c r="P149">
        <f>IF($A149="","",COUNTIFS(attestations!$B$2:$B$2000,$A149,attestations!$R$2:$R$2000,"Map"))</f>
        <v>0</v>
      </c>
      <c r="Q149">
        <f>IF($A149="","",COUNTIFS(attestations!$B$2:$B$2000,$A149,attestations!$R$2:$R$2000,"Image"))</f>
        <v>0</v>
      </c>
      <c r="R149">
        <f>IF($A149="","",COUNTIFS(attestations!$B$2:$B$2000,$A149,attestations!$R$2:$R$2000,"Textual"))</f>
        <v>0</v>
      </c>
      <c r="S149">
        <f>IF($A149="","",COUNTIFS(attestations!$B$2:$B$2000,$A149,attestations!$D$2:$D$2000,"Geometry (Setting)"))</f>
        <v>1</v>
      </c>
      <c r="T149" t="str">
        <f t="shared" si="5"/>
        <v>Medium</v>
      </c>
      <c r="U149" t="str">
        <f>IF($A149="","",IF(COUNTIFS(attestations!$B$2:$B$2000,$A149,attestations!$I$2:$I$2000,"Georeferenced map GCP")&gt;0,"Y","N"))</f>
        <v>Y</v>
      </c>
      <c r="V149" t="s">
        <v>210</v>
      </c>
      <c r="W149" t="s">
        <v>228</v>
      </c>
      <c r="X149" t="s">
        <v>819</v>
      </c>
      <c r="Y149" t="s">
        <v>294</v>
      </c>
      <c r="Z149" t="s">
        <v>266</v>
      </c>
    </row>
    <row r="150" spans="1:27" x14ac:dyDescent="0.2">
      <c r="A150" t="s">
        <v>820</v>
      </c>
      <c r="B150" t="s">
        <v>821</v>
      </c>
      <c r="D150" t="s">
        <v>290</v>
      </c>
      <c r="E150" t="s">
        <v>326</v>
      </c>
      <c r="F150" t="s">
        <v>798</v>
      </c>
      <c r="G150" t="s">
        <v>268</v>
      </c>
      <c r="H150" t="s">
        <v>242</v>
      </c>
      <c r="I150" t="s">
        <v>624</v>
      </c>
      <c r="K150" t="s">
        <v>227</v>
      </c>
      <c r="L150" t="s">
        <v>227</v>
      </c>
      <c r="M150" t="str">
        <f t="shared" si="4"/>
        <v>Unplotted (unlocated panel)</v>
      </c>
      <c r="O150">
        <f>IF($A150="","",COUNTIF(attestations!$B$2:$B$2000,$A150))</f>
        <v>10</v>
      </c>
      <c r="P150">
        <f>IF($A150="","",COUNTIFS(attestations!$B$2:$B$2000,$A150,attestations!$R$2:$R$2000,"Map"))</f>
        <v>0</v>
      </c>
      <c r="Q150">
        <f>IF($A150="","",COUNTIFS(attestations!$B$2:$B$2000,$A150,attestations!$R$2:$R$2000,"Image"))</f>
        <v>0</v>
      </c>
      <c r="R150">
        <f>IF($A150="","",COUNTIFS(attestations!$B$2:$B$2000,$A150,attestations!$R$2:$R$2000,"Textual"))</f>
        <v>0</v>
      </c>
      <c r="S150">
        <f>IF($A150="","",COUNTIFS(attestations!$B$2:$B$2000,$A150,attestations!$D$2:$D$2000,"Geometry (Setting)"))</f>
        <v>3</v>
      </c>
      <c r="T150" t="str">
        <f t="shared" si="5"/>
        <v>High</v>
      </c>
      <c r="U150" t="str">
        <f>IF($A150="","",IF(COUNTIFS(attestations!$B$2:$B$2000,$A150,attestations!$I$2:$I$2000,"Georeferenced map GCP")&gt;0,"Y","N"))</f>
        <v>N</v>
      </c>
      <c r="V150" t="s">
        <v>210</v>
      </c>
      <c r="W150" t="s">
        <v>228</v>
      </c>
      <c r="X150" t="s">
        <v>822</v>
      </c>
      <c r="Y150" t="s">
        <v>294</v>
      </c>
      <c r="Z150" t="s">
        <v>354</v>
      </c>
      <c r="AA150" t="s">
        <v>823</v>
      </c>
    </row>
    <row r="151" spans="1:27" x14ac:dyDescent="0.2">
      <c r="A151" t="s">
        <v>824</v>
      </c>
      <c r="B151" t="s">
        <v>825</v>
      </c>
      <c r="D151" t="s">
        <v>343</v>
      </c>
      <c r="E151" t="s">
        <v>227</v>
      </c>
      <c r="F151" t="s">
        <v>227</v>
      </c>
      <c r="G151" t="s">
        <v>319</v>
      </c>
      <c r="H151" t="s">
        <v>242</v>
      </c>
      <c r="I151" t="s">
        <v>818</v>
      </c>
      <c r="K151" t="s">
        <v>227</v>
      </c>
      <c r="L151" t="s">
        <v>228</v>
      </c>
      <c r="M151" t="str">
        <f t="shared" si="4"/>
        <v>Point + buffer</v>
      </c>
      <c r="N151">
        <v>200</v>
      </c>
      <c r="O151">
        <f>IF($A151="","",COUNTIF(attestations!$B$2:$B$2000,$A151))</f>
        <v>7</v>
      </c>
      <c r="P151">
        <f>IF($A151="","",COUNTIFS(attestations!$B$2:$B$2000,$A151,attestations!$R$2:$R$2000,"Map"))</f>
        <v>0</v>
      </c>
      <c r="Q151">
        <f>IF($A151="","",COUNTIFS(attestations!$B$2:$B$2000,$A151,attestations!$R$2:$R$2000,"Image"))</f>
        <v>0</v>
      </c>
      <c r="R151">
        <f>IF($A151="","",COUNTIFS(attestations!$B$2:$B$2000,$A151,attestations!$R$2:$R$2000,"Textual"))</f>
        <v>0</v>
      </c>
      <c r="S151">
        <f>IF($A151="","",COUNTIFS(attestations!$B$2:$B$2000,$A151,attestations!$D$2:$D$2000,"Geometry (Setting)"))</f>
        <v>2</v>
      </c>
      <c r="T151" t="str">
        <f t="shared" si="5"/>
        <v>High</v>
      </c>
      <c r="U151" t="str">
        <f>IF($A151="","",IF(COUNTIFS(attestations!$B$2:$B$2000,$A151,attestations!$I$2:$I$2000,"Georeferenced map GCP")&gt;0,"Y","N"))</f>
        <v>N</v>
      </c>
      <c r="V151" t="s">
        <v>210</v>
      </c>
      <c r="W151" t="s">
        <v>228</v>
      </c>
      <c r="X151" t="s">
        <v>826</v>
      </c>
      <c r="Y151" t="s">
        <v>294</v>
      </c>
      <c r="Z151" t="s">
        <v>354</v>
      </c>
    </row>
    <row r="152" spans="1:27" x14ac:dyDescent="0.2">
      <c r="A152" t="s">
        <v>827</v>
      </c>
      <c r="B152" t="s">
        <v>828</v>
      </c>
      <c r="D152" t="s">
        <v>343</v>
      </c>
      <c r="E152" t="s">
        <v>227</v>
      </c>
      <c r="F152" t="s">
        <v>227</v>
      </c>
      <c r="G152" t="s">
        <v>319</v>
      </c>
      <c r="H152" t="s">
        <v>242</v>
      </c>
      <c r="I152" t="s">
        <v>591</v>
      </c>
      <c r="K152" t="s">
        <v>227</v>
      </c>
      <c r="L152" t="s">
        <v>227</v>
      </c>
      <c r="M152" t="str">
        <f t="shared" si="4"/>
        <v>Unplotted (unlocated panel)</v>
      </c>
      <c r="O152">
        <f>IF($A152="","",COUNTIF(attestations!$B$2:$B$2000,$A152))</f>
        <v>7</v>
      </c>
      <c r="P152">
        <f>IF($A152="","",COUNTIFS(attestations!$B$2:$B$2000,$A152,attestations!$R$2:$R$2000,"Map"))</f>
        <v>0</v>
      </c>
      <c r="Q152">
        <f>IF($A152="","",COUNTIFS(attestations!$B$2:$B$2000,$A152,attestations!$R$2:$R$2000,"Image"))</f>
        <v>0</v>
      </c>
      <c r="R152">
        <f>IF($A152="","",COUNTIFS(attestations!$B$2:$B$2000,$A152,attestations!$R$2:$R$2000,"Textual"))</f>
        <v>0</v>
      </c>
      <c r="S152">
        <f>IF($A152="","",COUNTIFS(attestations!$B$2:$B$2000,$A152,attestations!$D$2:$D$2000,"Geometry (Setting)"))</f>
        <v>2</v>
      </c>
      <c r="T152" t="str">
        <f t="shared" si="5"/>
        <v>High</v>
      </c>
      <c r="U152" t="str">
        <f>IF($A152="","",IF(COUNTIFS(attestations!$B$2:$B$2000,$A152,attestations!$I$2:$I$2000,"Georeferenced map GCP")&gt;0,"Y","N"))</f>
        <v>N</v>
      </c>
      <c r="V152" t="s">
        <v>210</v>
      </c>
      <c r="W152" t="s">
        <v>222</v>
      </c>
      <c r="X152" t="s">
        <v>829</v>
      </c>
      <c r="Y152" t="s">
        <v>294</v>
      </c>
      <c r="Z152" t="s">
        <v>354</v>
      </c>
    </row>
    <row r="153" spans="1:27" x14ac:dyDescent="0.2">
      <c r="A153" t="s">
        <v>830</v>
      </c>
      <c r="B153" t="s">
        <v>831</v>
      </c>
      <c r="D153" t="s">
        <v>226</v>
      </c>
      <c r="E153" t="s">
        <v>255</v>
      </c>
      <c r="F153" t="s">
        <v>256</v>
      </c>
      <c r="G153" t="s">
        <v>204</v>
      </c>
      <c r="H153" t="s">
        <v>242</v>
      </c>
      <c r="I153" t="s">
        <v>832</v>
      </c>
      <c r="J153" t="s">
        <v>833</v>
      </c>
      <c r="K153" t="s">
        <v>227</v>
      </c>
      <c r="L153" t="s">
        <v>228</v>
      </c>
      <c r="M153" t="str">
        <f t="shared" si="4"/>
        <v>Point + buffer</v>
      </c>
      <c r="N153">
        <v>350</v>
      </c>
      <c r="O153">
        <f>IF($A153="","",COUNTIF(attestations!$B$2:$B$2000,$A153))</f>
        <v>2</v>
      </c>
      <c r="P153">
        <f>IF($A153="","",COUNTIFS(attestations!$B$2:$B$2000,$A153,attestations!$R$2:$R$2000,"Map"))</f>
        <v>0</v>
      </c>
      <c r="Q153">
        <f>IF($A153="","",COUNTIFS(attestations!$B$2:$B$2000,$A153,attestations!$R$2:$R$2000,"Image"))</f>
        <v>0</v>
      </c>
      <c r="R153">
        <f>IF($A153="","",COUNTIFS(attestations!$B$2:$B$2000,$A153,attestations!$R$2:$R$2000,"Textual"))</f>
        <v>0</v>
      </c>
      <c r="S153">
        <f>IF($A153="","",COUNTIFS(attestations!$B$2:$B$2000,$A153,attestations!$D$2:$D$2000,"Geometry (Setting)"))</f>
        <v>1</v>
      </c>
      <c r="T153" t="str">
        <f t="shared" si="5"/>
        <v>Low</v>
      </c>
      <c r="U153" t="str">
        <f>IF($A153="","",IF(COUNTIFS(attestations!$B$2:$B$2000,$A153,attestations!$I$2:$I$2000,"Georeferenced map GCP")&gt;0,"Y","N"))</f>
        <v>Y</v>
      </c>
      <c r="V153" t="s">
        <v>210</v>
      </c>
      <c r="W153" t="s">
        <v>228</v>
      </c>
      <c r="X153" t="s">
        <v>834</v>
      </c>
      <c r="Y153" t="s">
        <v>212</v>
      </c>
    </row>
    <row r="154" spans="1:27" x14ac:dyDescent="0.2">
      <c r="A154" t="s">
        <v>835</v>
      </c>
      <c r="B154" t="s">
        <v>836</v>
      </c>
      <c r="D154" t="s">
        <v>275</v>
      </c>
      <c r="E154" t="s">
        <v>255</v>
      </c>
      <c r="F154" t="s">
        <v>256</v>
      </c>
      <c r="G154" t="s">
        <v>257</v>
      </c>
      <c r="H154" t="s">
        <v>242</v>
      </c>
      <c r="I154" t="s">
        <v>646</v>
      </c>
      <c r="J154" t="s">
        <v>400</v>
      </c>
      <c r="K154" t="s">
        <v>227</v>
      </c>
      <c r="L154" t="s">
        <v>228</v>
      </c>
      <c r="M154" t="str">
        <f t="shared" si="4"/>
        <v>Point + buffer</v>
      </c>
      <c r="N154">
        <v>350</v>
      </c>
      <c r="O154">
        <f>IF($A154="","",COUNTIF(attestations!$B$2:$B$2000,$A154))</f>
        <v>4</v>
      </c>
      <c r="P154">
        <f>IF($A154="","",COUNTIFS(attestations!$B$2:$B$2000,$A154,attestations!$R$2:$R$2000,"Map"))</f>
        <v>0</v>
      </c>
      <c r="Q154">
        <f>IF($A154="","",COUNTIFS(attestations!$B$2:$B$2000,$A154,attestations!$R$2:$R$2000,"Image"))</f>
        <v>0</v>
      </c>
      <c r="R154">
        <f>IF($A154="","",COUNTIFS(attestations!$B$2:$B$2000,$A154,attestations!$R$2:$R$2000,"Textual"))</f>
        <v>0</v>
      </c>
      <c r="S154">
        <f>IF($A154="","",COUNTIFS(attestations!$B$2:$B$2000,$A154,attestations!$D$2:$D$2000,"Geometry (Setting)"))</f>
        <v>1</v>
      </c>
      <c r="T154" t="str">
        <f t="shared" si="5"/>
        <v>Medium</v>
      </c>
      <c r="U154" t="str">
        <f>IF($A154="","",IF(COUNTIFS(attestations!$B$2:$B$2000,$A154,attestations!$I$2:$I$2000,"Georeferenced map GCP")&gt;0,"Y","N"))</f>
        <v>Y</v>
      </c>
      <c r="V154" t="s">
        <v>210</v>
      </c>
      <c r="W154" t="s">
        <v>228</v>
      </c>
      <c r="X154" t="s">
        <v>837</v>
      </c>
      <c r="Y154" t="s">
        <v>212</v>
      </c>
    </row>
    <row r="155" spans="1:27" x14ac:dyDescent="0.2">
      <c r="A155" t="s">
        <v>838</v>
      </c>
      <c r="B155" t="s">
        <v>839</v>
      </c>
      <c r="C155" t="s">
        <v>840</v>
      </c>
      <c r="D155" t="s">
        <v>325</v>
      </c>
      <c r="E155" t="s">
        <v>326</v>
      </c>
      <c r="F155" t="s">
        <v>798</v>
      </c>
      <c r="G155" t="s">
        <v>268</v>
      </c>
      <c r="H155" t="s">
        <v>242</v>
      </c>
      <c r="I155" t="s">
        <v>694</v>
      </c>
      <c r="K155" t="s">
        <v>227</v>
      </c>
      <c r="L155" t="s">
        <v>228</v>
      </c>
      <c r="M155" t="str">
        <f t="shared" si="4"/>
        <v>Point + buffer</v>
      </c>
      <c r="N155">
        <v>300</v>
      </c>
      <c r="O155">
        <f>IF($A155="","",COUNTIF(attestations!$B$2:$B$2000,$A155))</f>
        <v>2</v>
      </c>
      <c r="P155">
        <f>IF($A155="","",COUNTIFS(attestations!$B$2:$B$2000,$A155,attestations!$R$2:$R$2000,"Map"))</f>
        <v>0</v>
      </c>
      <c r="Q155">
        <f>IF($A155="","",COUNTIFS(attestations!$B$2:$B$2000,$A155,attestations!$R$2:$R$2000,"Image"))</f>
        <v>0</v>
      </c>
      <c r="R155">
        <f>IF($A155="","",COUNTIFS(attestations!$B$2:$B$2000,$A155,attestations!$R$2:$R$2000,"Textual"))</f>
        <v>0</v>
      </c>
      <c r="S155">
        <f>IF($A155="","",COUNTIFS(attestations!$B$2:$B$2000,$A155,attestations!$D$2:$D$2000,"Geometry (Setting)"))</f>
        <v>1</v>
      </c>
      <c r="T155" t="str">
        <f t="shared" si="5"/>
        <v>Low</v>
      </c>
      <c r="U155" t="str">
        <f>IF($A155="","",IF(COUNTIFS(attestations!$B$2:$B$2000,$A155,attestations!$I$2:$I$2000,"Georeferenced map GCP")&gt;0,"Y","N"))</f>
        <v>Y</v>
      </c>
      <c r="V155" t="s">
        <v>210</v>
      </c>
      <c r="W155" t="s">
        <v>228</v>
      </c>
      <c r="X155" t="s">
        <v>841</v>
      </c>
      <c r="Y155" t="s">
        <v>212</v>
      </c>
      <c r="AA155" t="s">
        <v>842</v>
      </c>
    </row>
    <row r="156" spans="1:27" x14ac:dyDescent="0.2">
      <c r="A156" t="s">
        <v>843</v>
      </c>
      <c r="B156" t="s">
        <v>844</v>
      </c>
      <c r="D156" t="s">
        <v>325</v>
      </c>
      <c r="E156" t="s">
        <v>227</v>
      </c>
      <c r="F156" t="s">
        <v>227</v>
      </c>
      <c r="G156" t="s">
        <v>339</v>
      </c>
      <c r="H156" t="s">
        <v>242</v>
      </c>
      <c r="I156" t="s">
        <v>845</v>
      </c>
      <c r="K156" t="s">
        <v>227</v>
      </c>
      <c r="L156" t="s">
        <v>228</v>
      </c>
      <c r="M156" t="str">
        <f t="shared" si="4"/>
        <v>Point + buffer</v>
      </c>
      <c r="N156">
        <v>300</v>
      </c>
      <c r="O156">
        <f>IF($A156="","",COUNTIF(attestations!$B$2:$B$2000,$A156))</f>
        <v>2</v>
      </c>
      <c r="P156">
        <f>IF($A156="","",COUNTIFS(attestations!$B$2:$B$2000,$A156,attestations!$R$2:$R$2000,"Map"))</f>
        <v>0</v>
      </c>
      <c r="Q156">
        <f>IF($A156="","",COUNTIFS(attestations!$B$2:$B$2000,$A156,attestations!$R$2:$R$2000,"Image"))</f>
        <v>0</v>
      </c>
      <c r="R156">
        <f>IF($A156="","",COUNTIFS(attestations!$B$2:$B$2000,$A156,attestations!$R$2:$R$2000,"Textual"))</f>
        <v>0</v>
      </c>
      <c r="S156">
        <f>IF($A156="","",COUNTIFS(attestations!$B$2:$B$2000,$A156,attestations!$D$2:$D$2000,"Geometry (Setting)"))</f>
        <v>1</v>
      </c>
      <c r="T156" t="str">
        <f t="shared" si="5"/>
        <v>Low</v>
      </c>
      <c r="U156" t="str">
        <f>IF($A156="","",IF(COUNTIFS(attestations!$B$2:$B$2000,$A156,attestations!$I$2:$I$2000,"Georeferenced map GCP")&gt;0,"Y","N"))</f>
        <v>Y</v>
      </c>
      <c r="V156" t="s">
        <v>210</v>
      </c>
      <c r="W156" t="s">
        <v>228</v>
      </c>
      <c r="X156" t="s">
        <v>846</v>
      </c>
      <c r="Y156" t="s">
        <v>212</v>
      </c>
    </row>
    <row r="157" spans="1:27" x14ac:dyDescent="0.2">
      <c r="A157" t="s">
        <v>847</v>
      </c>
      <c r="B157" t="s">
        <v>848</v>
      </c>
      <c r="D157" t="s">
        <v>325</v>
      </c>
      <c r="E157" t="s">
        <v>227</v>
      </c>
      <c r="F157" t="s">
        <v>227</v>
      </c>
      <c r="G157" t="s">
        <v>268</v>
      </c>
      <c r="H157" t="s">
        <v>242</v>
      </c>
      <c r="I157" t="s">
        <v>849</v>
      </c>
      <c r="K157" t="s">
        <v>227</v>
      </c>
      <c r="L157" t="s">
        <v>228</v>
      </c>
      <c r="M157" t="str">
        <f t="shared" si="4"/>
        <v>Point + buffer</v>
      </c>
      <c r="N157">
        <v>300</v>
      </c>
      <c r="O157">
        <f>IF($A157="","",COUNTIF(attestations!$B$2:$B$2000,$A157))</f>
        <v>3</v>
      </c>
      <c r="P157">
        <f>IF($A157="","",COUNTIFS(attestations!$B$2:$B$2000,$A157,attestations!$R$2:$R$2000,"Map"))</f>
        <v>0</v>
      </c>
      <c r="Q157">
        <f>IF($A157="","",COUNTIFS(attestations!$B$2:$B$2000,$A157,attestations!$R$2:$R$2000,"Image"))</f>
        <v>0</v>
      </c>
      <c r="R157">
        <f>IF($A157="","",COUNTIFS(attestations!$B$2:$B$2000,$A157,attestations!$R$2:$R$2000,"Textual"))</f>
        <v>0</v>
      </c>
      <c r="S157">
        <f>IF($A157="","",COUNTIFS(attestations!$B$2:$B$2000,$A157,attestations!$D$2:$D$2000,"Geometry (Setting)"))</f>
        <v>1</v>
      </c>
      <c r="T157" t="str">
        <f t="shared" si="5"/>
        <v>Medium</v>
      </c>
      <c r="U157" t="str">
        <f>IF($A157="","",IF(COUNTIFS(attestations!$B$2:$B$2000,$A157,attestations!$I$2:$I$2000,"Georeferenced map GCP")&gt;0,"Y","N"))</f>
        <v>Y</v>
      </c>
      <c r="V157" t="s">
        <v>210</v>
      </c>
      <c r="W157" t="s">
        <v>228</v>
      </c>
      <c r="X157" t="s">
        <v>850</v>
      </c>
      <c r="Y157" t="s">
        <v>212</v>
      </c>
    </row>
    <row r="158" spans="1:27" x14ac:dyDescent="0.2">
      <c r="A158" t="s">
        <v>851</v>
      </c>
      <c r="B158" t="s">
        <v>852</v>
      </c>
      <c r="D158" t="s">
        <v>308</v>
      </c>
      <c r="E158" t="s">
        <v>227</v>
      </c>
      <c r="F158" t="s">
        <v>227</v>
      </c>
      <c r="G158" t="s">
        <v>319</v>
      </c>
      <c r="H158" t="s">
        <v>242</v>
      </c>
      <c r="I158" t="s">
        <v>845</v>
      </c>
      <c r="K158" t="s">
        <v>227</v>
      </c>
      <c r="L158" t="s">
        <v>209</v>
      </c>
      <c r="M158" t="str">
        <f t="shared" si="4"/>
        <v>Translucent area</v>
      </c>
      <c r="N158">
        <v>400</v>
      </c>
      <c r="O158">
        <f>IF($A158="","",COUNTIF(attestations!$B$2:$B$2000,$A158))</f>
        <v>1</v>
      </c>
      <c r="P158">
        <f>IF($A158="","",COUNTIFS(attestations!$B$2:$B$2000,$A158,attestations!$R$2:$R$2000,"Map"))</f>
        <v>0</v>
      </c>
      <c r="Q158">
        <f>IF($A158="","",COUNTIFS(attestations!$B$2:$B$2000,$A158,attestations!$R$2:$R$2000,"Image"))</f>
        <v>0</v>
      </c>
      <c r="R158">
        <f>IF($A158="","",COUNTIFS(attestations!$B$2:$B$2000,$A158,attestations!$R$2:$R$2000,"Textual"))</f>
        <v>0</v>
      </c>
      <c r="S158">
        <f>IF($A158="","",COUNTIFS(attestations!$B$2:$B$2000,$A158,attestations!$D$2:$D$2000,"Geometry (Setting)"))</f>
        <v>1</v>
      </c>
      <c r="T158" t="str">
        <f t="shared" si="5"/>
        <v>Low</v>
      </c>
      <c r="U158" t="str">
        <f>IF($A158="","",IF(COUNTIFS(attestations!$B$2:$B$2000,$A158,attestations!$I$2:$I$2000,"Georeferenced map GCP")&gt;0,"Y","N"))</f>
        <v>Y</v>
      </c>
      <c r="V158" t="s">
        <v>210</v>
      </c>
      <c r="X158" t="s">
        <v>853</v>
      </c>
      <c r="Y158" t="s">
        <v>212</v>
      </c>
    </row>
    <row r="159" spans="1:27" x14ac:dyDescent="0.2">
      <c r="A159" t="s">
        <v>854</v>
      </c>
      <c r="B159" t="s">
        <v>855</v>
      </c>
      <c r="C159" t="s">
        <v>856</v>
      </c>
      <c r="D159" t="s">
        <v>226</v>
      </c>
      <c r="E159" t="s">
        <v>227</v>
      </c>
      <c r="F159" t="s">
        <v>227</v>
      </c>
      <c r="G159" t="s">
        <v>319</v>
      </c>
      <c r="H159" t="s">
        <v>205</v>
      </c>
      <c r="I159" t="s">
        <v>591</v>
      </c>
      <c r="K159" t="s">
        <v>227</v>
      </c>
      <c r="L159" t="s">
        <v>228</v>
      </c>
      <c r="M159" t="str">
        <f t="shared" si="4"/>
        <v>Point + buffer</v>
      </c>
      <c r="N159">
        <v>500</v>
      </c>
      <c r="O159">
        <f>IF($A159="","",COUNTIF(attestations!$B$2:$B$2000,$A159))</f>
        <v>9</v>
      </c>
      <c r="P159">
        <f>IF($A159="","",COUNTIFS(attestations!$B$2:$B$2000,$A159,attestations!$R$2:$R$2000,"Map"))</f>
        <v>0</v>
      </c>
      <c r="Q159">
        <f>IF($A159="","",COUNTIFS(attestations!$B$2:$B$2000,$A159,attestations!$R$2:$R$2000,"Image"))</f>
        <v>0</v>
      </c>
      <c r="R159">
        <f>IF($A159="","",COUNTIFS(attestations!$B$2:$B$2000,$A159,attestations!$R$2:$R$2000,"Textual"))</f>
        <v>0</v>
      </c>
      <c r="S159">
        <f>IF($A159="","",COUNTIFS(attestations!$B$2:$B$2000,$A159,attestations!$D$2:$D$2000,"Geometry (Setting)"))</f>
        <v>1</v>
      </c>
      <c r="T159" t="str">
        <f t="shared" si="5"/>
        <v>High</v>
      </c>
      <c r="U159" t="str">
        <f>IF($A159="","",IF(COUNTIFS(attestations!$B$2:$B$2000,$A159,attestations!$I$2:$I$2000,"Georeferenced map GCP")&gt;0,"Y","N"))</f>
        <v>Y</v>
      </c>
      <c r="V159" t="s">
        <v>210</v>
      </c>
      <c r="W159" t="s">
        <v>228</v>
      </c>
      <c r="X159" t="s">
        <v>857</v>
      </c>
      <c r="Y159" t="s">
        <v>212</v>
      </c>
    </row>
    <row r="160" spans="1:27" x14ac:dyDescent="0.2">
      <c r="A160" t="s">
        <v>858</v>
      </c>
      <c r="B160" t="s">
        <v>859</v>
      </c>
      <c r="D160" t="s">
        <v>325</v>
      </c>
      <c r="E160" t="s">
        <v>326</v>
      </c>
      <c r="F160" t="s">
        <v>798</v>
      </c>
      <c r="G160" t="s">
        <v>268</v>
      </c>
      <c r="H160" t="s">
        <v>242</v>
      </c>
      <c r="I160" t="s">
        <v>860</v>
      </c>
      <c r="K160" t="s">
        <v>227</v>
      </c>
      <c r="L160" t="s">
        <v>228</v>
      </c>
      <c r="M160" t="str">
        <f t="shared" si="4"/>
        <v>Point + buffer</v>
      </c>
      <c r="N160">
        <v>300</v>
      </c>
      <c r="O160">
        <f>IF($A160="","",COUNTIF(attestations!$B$2:$B$2000,$A160))</f>
        <v>1</v>
      </c>
      <c r="P160">
        <f>IF($A160="","",COUNTIFS(attestations!$B$2:$B$2000,$A160,attestations!$R$2:$R$2000,"Map"))</f>
        <v>0</v>
      </c>
      <c r="Q160">
        <f>IF($A160="","",COUNTIFS(attestations!$B$2:$B$2000,$A160,attestations!$R$2:$R$2000,"Image"))</f>
        <v>0</v>
      </c>
      <c r="R160">
        <f>IF($A160="","",COUNTIFS(attestations!$B$2:$B$2000,$A160,attestations!$R$2:$R$2000,"Textual"))</f>
        <v>0</v>
      </c>
      <c r="S160">
        <f>IF($A160="","",COUNTIFS(attestations!$B$2:$B$2000,$A160,attestations!$D$2:$D$2000,"Geometry (Setting)"))</f>
        <v>1</v>
      </c>
      <c r="T160" t="str">
        <f t="shared" si="5"/>
        <v>Low</v>
      </c>
      <c r="U160" t="str">
        <f>IF($A160="","",IF(COUNTIFS(attestations!$B$2:$B$2000,$A160,attestations!$I$2:$I$2000,"Georeferenced map GCP")&gt;0,"Y","N"))</f>
        <v>Y</v>
      </c>
      <c r="V160" t="s">
        <v>210</v>
      </c>
      <c r="W160" t="s">
        <v>228</v>
      </c>
      <c r="X160" t="s">
        <v>861</v>
      </c>
      <c r="Y160" t="s">
        <v>212</v>
      </c>
      <c r="AA160" t="s">
        <v>862</v>
      </c>
    </row>
    <row r="161" spans="1:27" x14ac:dyDescent="0.2">
      <c r="A161" t="s">
        <v>863</v>
      </c>
      <c r="B161" t="s">
        <v>864</v>
      </c>
      <c r="D161" t="s">
        <v>325</v>
      </c>
      <c r="E161" t="s">
        <v>227</v>
      </c>
      <c r="F161" t="s">
        <v>227</v>
      </c>
      <c r="G161" t="s">
        <v>204</v>
      </c>
      <c r="H161" t="s">
        <v>242</v>
      </c>
      <c r="I161" t="s">
        <v>646</v>
      </c>
      <c r="K161" t="s">
        <v>227</v>
      </c>
      <c r="L161" t="s">
        <v>227</v>
      </c>
      <c r="M161" t="str">
        <f t="shared" si="4"/>
        <v>Unplotted (unlocated panel)</v>
      </c>
      <c r="O161">
        <f>IF($A161="","",COUNTIF(attestations!$B$2:$B$2000,$A161))</f>
        <v>2</v>
      </c>
      <c r="P161">
        <f>IF($A161="","",COUNTIFS(attestations!$B$2:$B$2000,$A161,attestations!$R$2:$R$2000,"Map"))</f>
        <v>0</v>
      </c>
      <c r="Q161">
        <f>IF($A161="","",COUNTIFS(attestations!$B$2:$B$2000,$A161,attestations!$R$2:$R$2000,"Image"))</f>
        <v>0</v>
      </c>
      <c r="R161">
        <f>IF($A161="","",COUNTIFS(attestations!$B$2:$B$2000,$A161,attestations!$R$2:$R$2000,"Textual"))</f>
        <v>0</v>
      </c>
      <c r="S161">
        <f>IF($A161="","",COUNTIFS(attestations!$B$2:$B$2000,$A161,attestations!$D$2:$D$2000,"Geometry (Setting)"))</f>
        <v>0</v>
      </c>
      <c r="T161" t="str">
        <f t="shared" si="5"/>
        <v>Low</v>
      </c>
      <c r="U161" t="str">
        <f>IF($A161="","",IF(COUNTIFS(attestations!$B$2:$B$2000,$A161,attestations!$I$2:$I$2000,"Georeferenced map GCP")&gt;0,"Y","N"))</f>
        <v>N</v>
      </c>
      <c r="V161" t="s">
        <v>210</v>
      </c>
      <c r="W161" t="s">
        <v>228</v>
      </c>
      <c r="X161" t="s">
        <v>865</v>
      </c>
      <c r="Y161" t="s">
        <v>212</v>
      </c>
    </row>
    <row r="162" spans="1:27" x14ac:dyDescent="0.2">
      <c r="A162" t="s">
        <v>866</v>
      </c>
      <c r="B162" t="s">
        <v>867</v>
      </c>
      <c r="C162" t="s">
        <v>868</v>
      </c>
      <c r="D162" t="s">
        <v>201</v>
      </c>
      <c r="E162" t="s">
        <v>326</v>
      </c>
      <c r="F162" t="s">
        <v>798</v>
      </c>
      <c r="G162" t="s">
        <v>204</v>
      </c>
      <c r="H162" t="s">
        <v>242</v>
      </c>
      <c r="I162" t="s">
        <v>424</v>
      </c>
      <c r="K162" t="s">
        <v>208</v>
      </c>
      <c r="L162" t="s">
        <v>228</v>
      </c>
      <c r="M162" t="str">
        <f t="shared" si="4"/>
        <v>Point + buffer</v>
      </c>
      <c r="N162">
        <v>250</v>
      </c>
      <c r="O162">
        <f>IF($A162="","",COUNTIF(attestations!$B$2:$B$2000,$A162))</f>
        <v>8</v>
      </c>
      <c r="P162">
        <f>IF($A162="","",COUNTIFS(attestations!$B$2:$B$2000,$A162,attestations!$R$2:$R$2000,"Map"))</f>
        <v>0</v>
      </c>
      <c r="Q162">
        <f>IF($A162="","",COUNTIFS(attestations!$B$2:$B$2000,$A162,attestations!$R$2:$R$2000,"Image"))</f>
        <v>0</v>
      </c>
      <c r="R162">
        <f>IF($A162="","",COUNTIFS(attestations!$B$2:$B$2000,$A162,attestations!$R$2:$R$2000,"Textual"))</f>
        <v>3</v>
      </c>
      <c r="S162">
        <f>IF($A162="","",COUNTIFS(attestations!$B$2:$B$2000,$A162,attestations!$D$2:$D$2000,"Geometry (Setting)"))</f>
        <v>1</v>
      </c>
      <c r="T162" t="str">
        <f t="shared" si="5"/>
        <v>High</v>
      </c>
      <c r="U162" t="str">
        <f>IF($A162="","",IF(COUNTIFS(attestations!$B$2:$B$2000,$A162,attestations!$I$2:$I$2000,"Georeferenced map GCP")&gt;0,"Y","N"))</f>
        <v>Y</v>
      </c>
      <c r="V162" t="s">
        <v>210</v>
      </c>
      <c r="W162" t="s">
        <v>228</v>
      </c>
      <c r="X162" t="s">
        <v>869</v>
      </c>
      <c r="Y162" t="s">
        <v>212</v>
      </c>
      <c r="AA162" t="s">
        <v>870</v>
      </c>
    </row>
    <row r="163" spans="1:27" x14ac:dyDescent="0.2">
      <c r="A163" t="s">
        <v>871</v>
      </c>
      <c r="B163" t="s">
        <v>872</v>
      </c>
      <c r="C163" t="s">
        <v>873</v>
      </c>
      <c r="D163" t="s">
        <v>308</v>
      </c>
      <c r="E163" t="s">
        <v>255</v>
      </c>
      <c r="F163" t="s">
        <v>256</v>
      </c>
      <c r="G163" t="s">
        <v>339</v>
      </c>
      <c r="H163" t="s">
        <v>309</v>
      </c>
      <c r="I163" t="s">
        <v>710</v>
      </c>
      <c r="J163" t="s">
        <v>264</v>
      </c>
      <c r="K163" t="s">
        <v>227</v>
      </c>
      <c r="L163" t="s">
        <v>209</v>
      </c>
      <c r="M163" t="str">
        <f t="shared" si="4"/>
        <v>Translucent area</v>
      </c>
      <c r="O163">
        <f>IF($A163="","",COUNTIF(attestations!$B$2:$B$2000,$A163))</f>
        <v>3</v>
      </c>
      <c r="P163">
        <f>IF($A163="","",COUNTIFS(attestations!$B$2:$B$2000,$A163,attestations!$R$2:$R$2000,"Map"))</f>
        <v>0</v>
      </c>
      <c r="Q163">
        <f>IF($A163="","",COUNTIFS(attestations!$B$2:$B$2000,$A163,attestations!$R$2:$R$2000,"Image"))</f>
        <v>0</v>
      </c>
      <c r="R163">
        <f>IF($A163="","",COUNTIFS(attestations!$B$2:$B$2000,$A163,attestations!$R$2:$R$2000,"Textual"))</f>
        <v>0</v>
      </c>
      <c r="S163">
        <f>IF($A163="","",COUNTIFS(attestations!$B$2:$B$2000,$A163,attestations!$D$2:$D$2000,"Geometry (Setting)"))</f>
        <v>1</v>
      </c>
      <c r="T163" t="str">
        <f t="shared" si="5"/>
        <v>Medium</v>
      </c>
      <c r="U163" t="str">
        <f>IF($A163="","",IF(COUNTIFS(attestations!$B$2:$B$2000,$A163,attestations!$I$2:$I$2000,"Georeferenced map GCP")&gt;0,"Y","N"))</f>
        <v>N</v>
      </c>
      <c r="V163" t="s">
        <v>210</v>
      </c>
      <c r="W163" t="s">
        <v>222</v>
      </c>
      <c r="X163" t="s">
        <v>874</v>
      </c>
      <c r="Y163" t="s">
        <v>312</v>
      </c>
      <c r="Z163" t="s">
        <v>261</v>
      </c>
    </row>
    <row r="164" spans="1:27" x14ac:dyDescent="0.2">
      <c r="A164" t="s">
        <v>875</v>
      </c>
      <c r="B164" t="s">
        <v>876</v>
      </c>
      <c r="C164" t="s">
        <v>877</v>
      </c>
      <c r="D164" t="s">
        <v>308</v>
      </c>
      <c r="E164" t="s">
        <v>255</v>
      </c>
      <c r="F164" t="s">
        <v>256</v>
      </c>
      <c r="G164" t="s">
        <v>257</v>
      </c>
      <c r="H164" t="s">
        <v>242</v>
      </c>
      <c r="I164" t="s">
        <v>635</v>
      </c>
      <c r="J164" t="s">
        <v>259</v>
      </c>
      <c r="K164" t="s">
        <v>227</v>
      </c>
      <c r="L164" t="s">
        <v>227</v>
      </c>
      <c r="M164" t="str">
        <f t="shared" si="4"/>
        <v>Unplotted (unlocated panel)</v>
      </c>
      <c r="O164">
        <f>IF($A164="","",COUNTIF(attestations!$B$2:$B$2000,$A164))</f>
        <v>3</v>
      </c>
      <c r="P164">
        <f>IF($A164="","",COUNTIFS(attestations!$B$2:$B$2000,$A164,attestations!$R$2:$R$2000,"Map"))</f>
        <v>0</v>
      </c>
      <c r="Q164">
        <f>IF($A164="","",COUNTIFS(attestations!$B$2:$B$2000,$A164,attestations!$R$2:$R$2000,"Image"))</f>
        <v>0</v>
      </c>
      <c r="R164">
        <f>IF($A164="","",COUNTIFS(attestations!$B$2:$B$2000,$A164,attestations!$R$2:$R$2000,"Textual"))</f>
        <v>0</v>
      </c>
      <c r="S164">
        <f>IF($A164="","",COUNTIFS(attestations!$B$2:$B$2000,$A164,attestations!$D$2:$D$2000,"Geometry (Setting)"))</f>
        <v>0</v>
      </c>
      <c r="T164" t="str">
        <f t="shared" si="5"/>
        <v>Medium</v>
      </c>
      <c r="U164" t="str">
        <f>IF($A164="","",IF(COUNTIFS(attestations!$B$2:$B$2000,$A164,attestations!$I$2:$I$2000,"Georeferenced map GCP")&gt;0,"Y","N"))</f>
        <v>N</v>
      </c>
      <c r="V164" t="s">
        <v>210</v>
      </c>
      <c r="W164" t="s">
        <v>228</v>
      </c>
      <c r="X164" t="s">
        <v>878</v>
      </c>
      <c r="Y164" t="s">
        <v>312</v>
      </c>
      <c r="Z164" t="s">
        <v>252</v>
      </c>
    </row>
    <row r="165" spans="1:27" x14ac:dyDescent="0.2">
      <c r="A165" t="s">
        <v>879</v>
      </c>
      <c r="B165" t="s">
        <v>880</v>
      </c>
      <c r="D165" t="s">
        <v>308</v>
      </c>
      <c r="E165" t="s">
        <v>227</v>
      </c>
      <c r="F165" t="s">
        <v>227</v>
      </c>
      <c r="G165" t="s">
        <v>268</v>
      </c>
      <c r="H165" t="s">
        <v>269</v>
      </c>
      <c r="I165" t="s">
        <v>881</v>
      </c>
      <c r="J165" t="s">
        <v>882</v>
      </c>
      <c r="K165" t="s">
        <v>227</v>
      </c>
      <c r="L165" t="s">
        <v>227</v>
      </c>
      <c r="M165" t="str">
        <f t="shared" si="4"/>
        <v>Unplotted (unlocated panel)</v>
      </c>
      <c r="O165">
        <f>IF($A165="","",COUNTIF(attestations!$B$2:$B$2000,$A165))</f>
        <v>1</v>
      </c>
      <c r="P165">
        <f>IF($A165="","",COUNTIFS(attestations!$B$2:$B$2000,$A165,attestations!$R$2:$R$2000,"Map"))</f>
        <v>0</v>
      </c>
      <c r="Q165">
        <f>IF($A165="","",COUNTIFS(attestations!$B$2:$B$2000,$A165,attestations!$R$2:$R$2000,"Image"))</f>
        <v>0</v>
      </c>
      <c r="R165">
        <f>IF($A165="","",COUNTIFS(attestations!$B$2:$B$2000,$A165,attestations!$R$2:$R$2000,"Textual"))</f>
        <v>0</v>
      </c>
      <c r="S165">
        <f>IF($A165="","",COUNTIFS(attestations!$B$2:$B$2000,$A165,attestations!$D$2:$D$2000,"Geometry (Setting)"))</f>
        <v>0</v>
      </c>
      <c r="T165" t="str">
        <f t="shared" si="5"/>
        <v>Low</v>
      </c>
      <c r="U165" t="str">
        <f>IF($A165="","",IF(COUNTIFS(attestations!$B$2:$B$2000,$A165,attestations!$I$2:$I$2000,"Georeferenced map GCP")&gt;0,"Y","N"))</f>
        <v>N</v>
      </c>
      <c r="V165" t="s">
        <v>210</v>
      </c>
      <c r="W165" t="s">
        <v>228</v>
      </c>
      <c r="X165" t="s">
        <v>883</v>
      </c>
      <c r="Y165" t="s">
        <v>312</v>
      </c>
      <c r="Z165" t="s">
        <v>354</v>
      </c>
    </row>
    <row r="166" spans="1:27" x14ac:dyDescent="0.2">
      <c r="A166" t="s">
        <v>884</v>
      </c>
      <c r="B166" t="s">
        <v>885</v>
      </c>
      <c r="D166" t="s">
        <v>308</v>
      </c>
      <c r="E166" t="s">
        <v>202</v>
      </c>
      <c r="F166" t="s">
        <v>203</v>
      </c>
      <c r="G166" t="s">
        <v>319</v>
      </c>
      <c r="H166" t="s">
        <v>242</v>
      </c>
      <c r="I166" t="s">
        <v>886</v>
      </c>
      <c r="J166" t="s">
        <v>207</v>
      </c>
      <c r="K166" t="s">
        <v>227</v>
      </c>
      <c r="L166" t="s">
        <v>227</v>
      </c>
      <c r="M166" t="str">
        <f t="shared" si="4"/>
        <v>Unplotted (unlocated panel)</v>
      </c>
      <c r="O166">
        <f>IF($A166="","",COUNTIF(attestations!$B$2:$B$2000,$A166))</f>
        <v>1</v>
      </c>
      <c r="P166">
        <f>IF($A166="","",COUNTIFS(attestations!$B$2:$B$2000,$A166,attestations!$R$2:$R$2000,"Map"))</f>
        <v>0</v>
      </c>
      <c r="Q166">
        <f>IF($A166="","",COUNTIFS(attestations!$B$2:$B$2000,$A166,attestations!$R$2:$R$2000,"Image"))</f>
        <v>0</v>
      </c>
      <c r="R166">
        <f>IF($A166="","",COUNTIFS(attestations!$B$2:$B$2000,$A166,attestations!$R$2:$R$2000,"Textual"))</f>
        <v>0</v>
      </c>
      <c r="S166">
        <f>IF($A166="","",COUNTIFS(attestations!$B$2:$B$2000,$A166,attestations!$D$2:$D$2000,"Geometry (Setting)"))</f>
        <v>0</v>
      </c>
      <c r="T166" t="str">
        <f t="shared" si="5"/>
        <v>Low</v>
      </c>
      <c r="U166" t="str">
        <f>IF($A166="","",IF(COUNTIFS(attestations!$B$2:$B$2000,$A166,attestations!$I$2:$I$2000,"Georeferenced map GCP")&gt;0,"Y","N"))</f>
        <v>N</v>
      </c>
      <c r="V166" t="s">
        <v>210</v>
      </c>
      <c r="X166" t="s">
        <v>887</v>
      </c>
      <c r="Y166" t="s">
        <v>312</v>
      </c>
      <c r="Z166" t="s">
        <v>198</v>
      </c>
    </row>
    <row r="167" spans="1:27" x14ac:dyDescent="0.2">
      <c r="A167" t="s">
        <v>888</v>
      </c>
      <c r="B167" t="s">
        <v>889</v>
      </c>
      <c r="C167" t="s">
        <v>890</v>
      </c>
      <c r="D167" t="s">
        <v>677</v>
      </c>
      <c r="E167" t="s">
        <v>255</v>
      </c>
      <c r="F167" t="s">
        <v>256</v>
      </c>
      <c r="G167" t="s">
        <v>257</v>
      </c>
      <c r="H167" t="s">
        <v>242</v>
      </c>
      <c r="I167" t="s">
        <v>632</v>
      </c>
      <c r="J167" t="s">
        <v>264</v>
      </c>
      <c r="K167" t="s">
        <v>227</v>
      </c>
      <c r="L167" t="s">
        <v>227</v>
      </c>
      <c r="M167" t="str">
        <f t="shared" si="4"/>
        <v>Unplotted (unlocated panel)</v>
      </c>
      <c r="O167">
        <f>IF($A167="","",COUNTIF(attestations!$B$2:$B$2000,$A167))</f>
        <v>2</v>
      </c>
      <c r="P167">
        <f>IF($A167="","",COUNTIFS(attestations!$B$2:$B$2000,$A167,attestations!$R$2:$R$2000,"Map"))</f>
        <v>0</v>
      </c>
      <c r="Q167">
        <f>IF($A167="","",COUNTIFS(attestations!$B$2:$B$2000,$A167,attestations!$R$2:$R$2000,"Image"))</f>
        <v>0</v>
      </c>
      <c r="R167">
        <f>IF($A167="","",COUNTIFS(attestations!$B$2:$B$2000,$A167,attestations!$R$2:$R$2000,"Textual"))</f>
        <v>0</v>
      </c>
      <c r="S167">
        <f>IF($A167="","",COUNTIFS(attestations!$B$2:$B$2000,$A167,attestations!$D$2:$D$2000,"Geometry (Setting)"))</f>
        <v>0</v>
      </c>
      <c r="T167" t="str">
        <f t="shared" si="5"/>
        <v>Low</v>
      </c>
      <c r="U167" t="str">
        <f>IF($A167="","",IF(COUNTIFS(attestations!$B$2:$B$2000,$A167,attestations!$I$2:$I$2000,"Georeferenced map GCP")&gt;0,"Y","N"))</f>
        <v>N</v>
      </c>
      <c r="V167" t="s">
        <v>210</v>
      </c>
      <c r="W167" t="s">
        <v>228</v>
      </c>
      <c r="X167" t="s">
        <v>891</v>
      </c>
      <c r="Y167" t="s">
        <v>294</v>
      </c>
      <c r="Z167" t="s">
        <v>266</v>
      </c>
    </row>
    <row r="168" spans="1:27" x14ac:dyDescent="0.2">
      <c r="A168" t="s">
        <v>892</v>
      </c>
      <c r="B168" t="s">
        <v>893</v>
      </c>
      <c r="D168" t="s">
        <v>673</v>
      </c>
      <c r="E168" t="s">
        <v>255</v>
      </c>
      <c r="F168" t="s">
        <v>256</v>
      </c>
      <c r="G168" t="s">
        <v>268</v>
      </c>
      <c r="H168" t="s">
        <v>269</v>
      </c>
      <c r="I168" t="s">
        <v>715</v>
      </c>
      <c r="J168" t="s">
        <v>264</v>
      </c>
      <c r="K168" t="s">
        <v>227</v>
      </c>
      <c r="L168" t="s">
        <v>222</v>
      </c>
      <c r="M168" t="str">
        <f t="shared" si="4"/>
        <v>Solid point</v>
      </c>
      <c r="N168">
        <v>150</v>
      </c>
      <c r="O168">
        <f>IF($A168="","",COUNTIF(attestations!$B$2:$B$2000,$A168))</f>
        <v>2</v>
      </c>
      <c r="P168">
        <f>IF($A168="","",COUNTIFS(attestations!$B$2:$B$2000,$A168,attestations!$R$2:$R$2000,"Map"))</f>
        <v>0</v>
      </c>
      <c r="Q168">
        <f>IF($A168="","",COUNTIFS(attestations!$B$2:$B$2000,$A168,attestations!$R$2:$R$2000,"Image"))</f>
        <v>0</v>
      </c>
      <c r="R168">
        <f>IF($A168="","",COUNTIFS(attestations!$B$2:$B$2000,$A168,attestations!$R$2:$R$2000,"Textual"))</f>
        <v>0</v>
      </c>
      <c r="S168">
        <f>IF($A168="","",COUNTIFS(attestations!$B$2:$B$2000,$A168,attestations!$D$2:$D$2000,"Geometry (Setting)"))</f>
        <v>1</v>
      </c>
      <c r="T168" t="str">
        <f t="shared" si="5"/>
        <v>Low</v>
      </c>
      <c r="U168" t="str">
        <f>IF($A168="","",IF(COUNTIFS(attestations!$B$2:$B$2000,$A168,attestations!$I$2:$I$2000,"Georeferenced map GCP")&gt;0,"Y","N"))</f>
        <v>Y</v>
      </c>
      <c r="V168" t="s">
        <v>210</v>
      </c>
      <c r="X168" t="s">
        <v>894</v>
      </c>
      <c r="Y168" t="s">
        <v>305</v>
      </c>
      <c r="Z168" t="s">
        <v>266</v>
      </c>
    </row>
    <row r="169" spans="1:27" x14ac:dyDescent="0.2">
      <c r="A169" t="s">
        <v>895</v>
      </c>
      <c r="B169" t="s">
        <v>896</v>
      </c>
      <c r="D169" t="s">
        <v>673</v>
      </c>
      <c r="E169" t="s">
        <v>255</v>
      </c>
      <c r="F169" t="s">
        <v>256</v>
      </c>
      <c r="G169" t="s">
        <v>268</v>
      </c>
      <c r="H169" t="s">
        <v>269</v>
      </c>
      <c r="I169" t="s">
        <v>710</v>
      </c>
      <c r="J169" t="s">
        <v>264</v>
      </c>
      <c r="K169" t="s">
        <v>227</v>
      </c>
      <c r="L169" t="s">
        <v>222</v>
      </c>
      <c r="M169" t="str">
        <f t="shared" si="4"/>
        <v>Solid point</v>
      </c>
      <c r="N169">
        <v>150</v>
      </c>
      <c r="O169">
        <f>IF($A169="","",COUNTIF(attestations!$B$2:$B$2000,$A169))</f>
        <v>2</v>
      </c>
      <c r="P169">
        <f>IF($A169="","",COUNTIFS(attestations!$B$2:$B$2000,$A169,attestations!$R$2:$R$2000,"Map"))</f>
        <v>0</v>
      </c>
      <c r="Q169">
        <f>IF($A169="","",COUNTIFS(attestations!$B$2:$B$2000,$A169,attestations!$R$2:$R$2000,"Image"))</f>
        <v>0</v>
      </c>
      <c r="R169">
        <f>IF($A169="","",COUNTIFS(attestations!$B$2:$B$2000,$A169,attestations!$R$2:$R$2000,"Textual"))</f>
        <v>0</v>
      </c>
      <c r="S169">
        <f>IF($A169="","",COUNTIFS(attestations!$B$2:$B$2000,$A169,attestations!$D$2:$D$2000,"Geometry (Setting)"))</f>
        <v>1</v>
      </c>
      <c r="T169" t="str">
        <f t="shared" si="5"/>
        <v>Low</v>
      </c>
      <c r="U169" t="str">
        <f>IF($A169="","",IF(COUNTIFS(attestations!$B$2:$B$2000,$A169,attestations!$I$2:$I$2000,"Georeferenced map GCP")&gt;0,"Y","N"))</f>
        <v>Y</v>
      </c>
      <c r="V169" t="s">
        <v>210</v>
      </c>
      <c r="W169" t="s">
        <v>228</v>
      </c>
      <c r="X169" t="s">
        <v>897</v>
      </c>
      <c r="Y169" t="s">
        <v>305</v>
      </c>
      <c r="Z169" t="s">
        <v>266</v>
      </c>
    </row>
    <row r="170" spans="1:27" x14ac:dyDescent="0.2">
      <c r="A170" t="s">
        <v>898</v>
      </c>
      <c r="B170" t="s">
        <v>899</v>
      </c>
      <c r="D170" t="s">
        <v>677</v>
      </c>
      <c r="E170" t="s">
        <v>255</v>
      </c>
      <c r="F170" t="s">
        <v>256</v>
      </c>
      <c r="G170" t="s">
        <v>333</v>
      </c>
      <c r="H170" t="s">
        <v>269</v>
      </c>
      <c r="I170" t="s">
        <v>900</v>
      </c>
      <c r="J170" t="s">
        <v>546</v>
      </c>
      <c r="K170" t="s">
        <v>227</v>
      </c>
      <c r="L170" t="s">
        <v>222</v>
      </c>
      <c r="M170" t="str">
        <f t="shared" si="4"/>
        <v>Solid point</v>
      </c>
      <c r="N170">
        <v>150</v>
      </c>
      <c r="O170">
        <f>IF($A170="","",COUNTIF(attestations!$B$2:$B$2000,$A170))</f>
        <v>2</v>
      </c>
      <c r="P170">
        <f>IF($A170="","",COUNTIFS(attestations!$B$2:$B$2000,$A170,attestations!$R$2:$R$2000,"Map"))</f>
        <v>0</v>
      </c>
      <c r="Q170">
        <f>IF($A170="","",COUNTIFS(attestations!$B$2:$B$2000,$A170,attestations!$R$2:$R$2000,"Image"))</f>
        <v>0</v>
      </c>
      <c r="R170">
        <f>IF($A170="","",COUNTIFS(attestations!$B$2:$B$2000,$A170,attestations!$R$2:$R$2000,"Textual"))</f>
        <v>0</v>
      </c>
      <c r="S170">
        <f>IF($A170="","",COUNTIFS(attestations!$B$2:$B$2000,$A170,attestations!$D$2:$D$2000,"Geometry (Setting)"))</f>
        <v>1</v>
      </c>
      <c r="T170" t="str">
        <f t="shared" si="5"/>
        <v>Low</v>
      </c>
      <c r="U170" t="str">
        <f>IF($A170="","",IF(COUNTIFS(attestations!$B$2:$B$2000,$A170,attestations!$I$2:$I$2000,"Georeferenced map GCP")&gt;0,"Y","N"))</f>
        <v>Y</v>
      </c>
      <c r="V170" t="s">
        <v>210</v>
      </c>
      <c r="X170" t="s">
        <v>901</v>
      </c>
      <c r="Y170" t="s">
        <v>305</v>
      </c>
      <c r="Z170" t="s">
        <v>266</v>
      </c>
    </row>
    <row r="171" spans="1:27" x14ac:dyDescent="0.2">
      <c r="A171" t="s">
        <v>902</v>
      </c>
      <c r="B171" t="s">
        <v>903</v>
      </c>
      <c r="D171" t="s">
        <v>325</v>
      </c>
      <c r="E171" t="s">
        <v>326</v>
      </c>
      <c r="F171" t="s">
        <v>798</v>
      </c>
      <c r="G171" t="s">
        <v>268</v>
      </c>
      <c r="H171" t="s">
        <v>242</v>
      </c>
      <c r="I171" t="s">
        <v>904</v>
      </c>
      <c r="K171" t="s">
        <v>227</v>
      </c>
      <c r="L171" t="s">
        <v>228</v>
      </c>
      <c r="M171" t="str">
        <f t="shared" si="4"/>
        <v>Point + buffer</v>
      </c>
      <c r="N171">
        <v>200</v>
      </c>
      <c r="O171">
        <f>IF($A171="","",COUNTIF(attestations!$B$2:$B$2000,$A171))</f>
        <v>4</v>
      </c>
      <c r="P171">
        <f>IF($A171="","",COUNTIFS(attestations!$B$2:$B$2000,$A171,attestations!$R$2:$R$2000,"Map"))</f>
        <v>0</v>
      </c>
      <c r="Q171">
        <f>IF($A171="","",COUNTIFS(attestations!$B$2:$B$2000,$A171,attestations!$R$2:$R$2000,"Image"))</f>
        <v>1</v>
      </c>
      <c r="R171">
        <f>IF($A171="","",COUNTIFS(attestations!$B$2:$B$2000,$A171,attestations!$R$2:$R$2000,"Textual"))</f>
        <v>0</v>
      </c>
      <c r="S171">
        <f>IF($A171="","",COUNTIFS(attestations!$B$2:$B$2000,$A171,attestations!$D$2:$D$2000,"Geometry (Setting)"))</f>
        <v>2</v>
      </c>
      <c r="T171" t="str">
        <f t="shared" si="5"/>
        <v>Medium</v>
      </c>
      <c r="U171" t="str">
        <f>IF($A171="","",IF(COUNTIFS(attestations!$B$2:$B$2000,$A171,attestations!$I$2:$I$2000,"Georeferenced map GCP")&gt;0,"Y","N"))</f>
        <v>Y</v>
      </c>
      <c r="V171" t="s">
        <v>210</v>
      </c>
      <c r="W171" t="s">
        <v>228</v>
      </c>
      <c r="X171" t="s">
        <v>905</v>
      </c>
      <c r="Y171" t="s">
        <v>212</v>
      </c>
      <c r="AA171" t="s">
        <v>906</v>
      </c>
    </row>
    <row r="172" spans="1:27" x14ac:dyDescent="0.2">
      <c r="A172" t="s">
        <v>907</v>
      </c>
      <c r="B172" t="s">
        <v>908</v>
      </c>
      <c r="C172" t="s">
        <v>909</v>
      </c>
      <c r="D172" t="s">
        <v>226</v>
      </c>
      <c r="E172" t="s">
        <v>202</v>
      </c>
      <c r="F172" t="s">
        <v>203</v>
      </c>
      <c r="G172" t="s">
        <v>204</v>
      </c>
      <c r="H172" t="s">
        <v>205</v>
      </c>
      <c r="I172" t="s">
        <v>276</v>
      </c>
      <c r="J172" t="s">
        <v>497</v>
      </c>
      <c r="K172" t="s">
        <v>227</v>
      </c>
      <c r="L172" t="s">
        <v>228</v>
      </c>
      <c r="M172" t="str">
        <f t="shared" si="4"/>
        <v>Point + buffer</v>
      </c>
      <c r="N172">
        <v>800</v>
      </c>
      <c r="O172">
        <f>IF($A172="","",COUNTIF(attestations!$B$2:$B$2000,$A172))</f>
        <v>4</v>
      </c>
      <c r="P172">
        <f>IF($A172="","",COUNTIFS(attestations!$B$2:$B$2000,$A172,attestations!$R$2:$R$2000,"Map"))</f>
        <v>0</v>
      </c>
      <c r="Q172">
        <f>IF($A172="","",COUNTIFS(attestations!$B$2:$B$2000,$A172,attestations!$R$2:$R$2000,"Image"))</f>
        <v>0</v>
      </c>
      <c r="R172">
        <f>IF($A172="","",COUNTIFS(attestations!$B$2:$B$2000,$A172,attestations!$R$2:$R$2000,"Textual"))</f>
        <v>0</v>
      </c>
      <c r="S172">
        <f>IF($A172="","",COUNTIFS(attestations!$B$2:$B$2000,$A172,attestations!$D$2:$D$2000,"Geometry (Setting)"))</f>
        <v>1</v>
      </c>
      <c r="T172" t="str">
        <f t="shared" si="5"/>
        <v>Medium</v>
      </c>
      <c r="U172" t="str">
        <f>IF($A172="","",IF(COUNTIFS(attestations!$B$2:$B$2000,$A172,attestations!$I$2:$I$2000,"Georeferenced map GCP")&gt;0,"Y","N"))</f>
        <v>Y</v>
      </c>
      <c r="V172" t="s">
        <v>210</v>
      </c>
      <c r="W172" t="s">
        <v>228</v>
      </c>
      <c r="X172" t="s">
        <v>910</v>
      </c>
      <c r="Y172" t="s">
        <v>212</v>
      </c>
    </row>
    <row r="173" spans="1:27" x14ac:dyDescent="0.2">
      <c r="A173" t="s">
        <v>911</v>
      </c>
      <c r="B173" t="s">
        <v>912</v>
      </c>
      <c r="D173" t="s">
        <v>226</v>
      </c>
      <c r="E173" t="s">
        <v>227</v>
      </c>
      <c r="F173" t="s">
        <v>227</v>
      </c>
      <c r="G173" t="s">
        <v>319</v>
      </c>
      <c r="H173" t="s">
        <v>205</v>
      </c>
      <c r="I173" t="s">
        <v>913</v>
      </c>
      <c r="K173" t="s">
        <v>227</v>
      </c>
      <c r="L173" t="s">
        <v>228</v>
      </c>
      <c r="M173" t="str">
        <f t="shared" si="4"/>
        <v>Point + buffer</v>
      </c>
      <c r="N173">
        <v>500</v>
      </c>
      <c r="O173">
        <f>IF($A173="","",COUNTIF(attestations!$B$2:$B$2000,$A173))</f>
        <v>6</v>
      </c>
      <c r="P173">
        <f>IF($A173="","",COUNTIFS(attestations!$B$2:$B$2000,$A173,attestations!$R$2:$R$2000,"Map"))</f>
        <v>0</v>
      </c>
      <c r="Q173">
        <f>IF($A173="","",COUNTIFS(attestations!$B$2:$B$2000,$A173,attestations!$R$2:$R$2000,"Image"))</f>
        <v>0</v>
      </c>
      <c r="R173">
        <f>IF($A173="","",COUNTIFS(attestations!$B$2:$B$2000,$A173,attestations!$R$2:$R$2000,"Textual"))</f>
        <v>0</v>
      </c>
      <c r="S173">
        <f>IF($A173="","",COUNTIFS(attestations!$B$2:$B$2000,$A173,attestations!$D$2:$D$2000,"Geometry (Setting)"))</f>
        <v>1</v>
      </c>
      <c r="T173" t="str">
        <f t="shared" si="5"/>
        <v>High</v>
      </c>
      <c r="U173" t="str">
        <f>IF($A173="","",IF(COUNTIFS(attestations!$B$2:$B$2000,$A173,attestations!$I$2:$I$2000,"Georeferenced map GCP")&gt;0,"Y","N"))</f>
        <v>Y</v>
      </c>
      <c r="V173" t="s">
        <v>210</v>
      </c>
      <c r="W173" t="s">
        <v>228</v>
      </c>
      <c r="X173" t="s">
        <v>914</v>
      </c>
      <c r="Y173" t="s">
        <v>212</v>
      </c>
    </row>
    <row r="174" spans="1:27" x14ac:dyDescent="0.2">
      <c r="A174" t="s">
        <v>915</v>
      </c>
      <c r="B174" t="s">
        <v>916</v>
      </c>
      <c r="D174" t="s">
        <v>226</v>
      </c>
      <c r="E174" t="s">
        <v>227</v>
      </c>
      <c r="F174" t="s">
        <v>227</v>
      </c>
      <c r="G174" t="s">
        <v>319</v>
      </c>
      <c r="H174" t="s">
        <v>205</v>
      </c>
      <c r="I174" t="s">
        <v>276</v>
      </c>
      <c r="K174" t="s">
        <v>227</v>
      </c>
      <c r="L174" t="s">
        <v>228</v>
      </c>
      <c r="M174" t="str">
        <f t="shared" si="4"/>
        <v>Point + buffer</v>
      </c>
      <c r="N174">
        <v>500</v>
      </c>
      <c r="O174">
        <f>IF($A174="","",COUNTIF(attestations!$B$2:$B$2000,$A174))</f>
        <v>6</v>
      </c>
      <c r="P174">
        <f>IF($A174="","",COUNTIFS(attestations!$B$2:$B$2000,$A174,attestations!$R$2:$R$2000,"Map"))</f>
        <v>0</v>
      </c>
      <c r="Q174">
        <f>IF($A174="","",COUNTIFS(attestations!$B$2:$B$2000,$A174,attestations!$R$2:$R$2000,"Image"))</f>
        <v>0</v>
      </c>
      <c r="R174">
        <f>IF($A174="","",COUNTIFS(attestations!$B$2:$B$2000,$A174,attestations!$R$2:$R$2000,"Textual"))</f>
        <v>0</v>
      </c>
      <c r="S174">
        <f>IF($A174="","",COUNTIFS(attestations!$B$2:$B$2000,$A174,attestations!$D$2:$D$2000,"Geometry (Setting)"))</f>
        <v>1</v>
      </c>
      <c r="T174" t="str">
        <f t="shared" si="5"/>
        <v>High</v>
      </c>
      <c r="U174" t="str">
        <f>IF($A174="","",IF(COUNTIFS(attestations!$B$2:$B$2000,$A174,attestations!$I$2:$I$2000,"Georeferenced map GCP")&gt;0,"Y","N"))</f>
        <v>Y</v>
      </c>
      <c r="V174" t="s">
        <v>210</v>
      </c>
      <c r="W174" t="s">
        <v>228</v>
      </c>
      <c r="X174" t="s">
        <v>917</v>
      </c>
      <c r="Y174" t="s">
        <v>212</v>
      </c>
    </row>
    <row r="175" spans="1:27" x14ac:dyDescent="0.2">
      <c r="A175" t="s">
        <v>918</v>
      </c>
      <c r="B175" t="s">
        <v>919</v>
      </c>
      <c r="D175" t="s">
        <v>226</v>
      </c>
      <c r="E175" t="s">
        <v>227</v>
      </c>
      <c r="F175" t="s">
        <v>227</v>
      </c>
      <c r="G175" t="s">
        <v>319</v>
      </c>
      <c r="H175" t="s">
        <v>205</v>
      </c>
      <c r="I175" t="s">
        <v>276</v>
      </c>
      <c r="K175" t="s">
        <v>227</v>
      </c>
      <c r="L175" t="s">
        <v>228</v>
      </c>
      <c r="M175" t="str">
        <f t="shared" si="4"/>
        <v>Point + buffer</v>
      </c>
      <c r="N175">
        <v>500</v>
      </c>
      <c r="O175">
        <f>IF($A175="","",COUNTIF(attestations!$B$2:$B$2000,$A175))</f>
        <v>7</v>
      </c>
      <c r="P175">
        <f>IF($A175="","",COUNTIFS(attestations!$B$2:$B$2000,$A175,attestations!$R$2:$R$2000,"Map"))</f>
        <v>0</v>
      </c>
      <c r="Q175">
        <f>IF($A175="","",COUNTIFS(attestations!$B$2:$B$2000,$A175,attestations!$R$2:$R$2000,"Image"))</f>
        <v>0</v>
      </c>
      <c r="R175">
        <f>IF($A175="","",COUNTIFS(attestations!$B$2:$B$2000,$A175,attestations!$R$2:$R$2000,"Textual"))</f>
        <v>0</v>
      </c>
      <c r="S175">
        <f>IF($A175="","",COUNTIFS(attestations!$B$2:$B$2000,$A175,attestations!$D$2:$D$2000,"Geometry (Setting)"))</f>
        <v>1</v>
      </c>
      <c r="T175" t="str">
        <f t="shared" si="5"/>
        <v>High</v>
      </c>
      <c r="U175" t="str">
        <f>IF($A175="","",IF(COUNTIFS(attestations!$B$2:$B$2000,$A175,attestations!$I$2:$I$2000,"Georeferenced map GCP")&gt;0,"Y","N"))</f>
        <v>Y</v>
      </c>
      <c r="V175" t="s">
        <v>210</v>
      </c>
      <c r="W175" t="s">
        <v>209</v>
      </c>
      <c r="X175" t="s">
        <v>920</v>
      </c>
      <c r="Y175" t="s">
        <v>212</v>
      </c>
    </row>
    <row r="176" spans="1:27" x14ac:dyDescent="0.2">
      <c r="A176" t="s">
        <v>921</v>
      </c>
      <c r="B176" t="s">
        <v>922</v>
      </c>
      <c r="C176" t="s">
        <v>923</v>
      </c>
      <c r="D176" t="s">
        <v>226</v>
      </c>
      <c r="E176" t="s">
        <v>227</v>
      </c>
      <c r="F176" t="s">
        <v>227</v>
      </c>
      <c r="G176" t="s">
        <v>319</v>
      </c>
      <c r="H176" t="s">
        <v>205</v>
      </c>
      <c r="I176" t="s">
        <v>216</v>
      </c>
      <c r="J176" t="s">
        <v>497</v>
      </c>
      <c r="K176" t="s">
        <v>227</v>
      </c>
      <c r="L176" t="s">
        <v>228</v>
      </c>
      <c r="M176" t="str">
        <f t="shared" si="4"/>
        <v>Point + buffer</v>
      </c>
      <c r="N176">
        <v>500</v>
      </c>
      <c r="O176">
        <f>IF($A176="","",COUNTIF(attestations!$B$2:$B$2000,$A176))</f>
        <v>9</v>
      </c>
      <c r="P176">
        <f>IF($A176="","",COUNTIFS(attestations!$B$2:$B$2000,$A176,attestations!$R$2:$R$2000,"Map"))</f>
        <v>0</v>
      </c>
      <c r="Q176">
        <f>IF($A176="","",COUNTIFS(attestations!$B$2:$B$2000,$A176,attestations!$R$2:$R$2000,"Image"))</f>
        <v>0</v>
      </c>
      <c r="R176">
        <f>IF($A176="","",COUNTIFS(attestations!$B$2:$B$2000,$A176,attestations!$R$2:$R$2000,"Textual"))</f>
        <v>0</v>
      </c>
      <c r="S176">
        <f>IF($A176="","",COUNTIFS(attestations!$B$2:$B$2000,$A176,attestations!$D$2:$D$2000,"Geometry (Setting)"))</f>
        <v>1</v>
      </c>
      <c r="T176" t="str">
        <f t="shared" si="5"/>
        <v>High</v>
      </c>
      <c r="U176" t="str">
        <f>IF($A176="","",IF(COUNTIFS(attestations!$B$2:$B$2000,$A176,attestations!$I$2:$I$2000,"Georeferenced map GCP")&gt;0,"Y","N"))</f>
        <v>Y</v>
      </c>
      <c r="V176" t="s">
        <v>210</v>
      </c>
      <c r="W176" t="s">
        <v>228</v>
      </c>
      <c r="X176" t="s">
        <v>924</v>
      </c>
      <c r="Y176" t="s">
        <v>212</v>
      </c>
    </row>
    <row r="177" spans="1:27" x14ac:dyDescent="0.2">
      <c r="A177" t="s">
        <v>925</v>
      </c>
      <c r="B177" t="s">
        <v>926</v>
      </c>
      <c r="C177" t="s">
        <v>927</v>
      </c>
      <c r="D177" t="s">
        <v>226</v>
      </c>
      <c r="E177" t="s">
        <v>227</v>
      </c>
      <c r="F177" t="s">
        <v>227</v>
      </c>
      <c r="G177" t="s">
        <v>319</v>
      </c>
      <c r="H177" t="s">
        <v>205</v>
      </c>
      <c r="I177" t="s">
        <v>276</v>
      </c>
      <c r="J177" t="s">
        <v>497</v>
      </c>
      <c r="K177" t="s">
        <v>227</v>
      </c>
      <c r="L177" t="s">
        <v>228</v>
      </c>
      <c r="M177" t="str">
        <f t="shared" si="4"/>
        <v>Point + buffer</v>
      </c>
      <c r="N177">
        <v>800</v>
      </c>
      <c r="O177">
        <f>IF($A177="","",COUNTIF(attestations!$B$2:$B$2000,$A177))</f>
        <v>8</v>
      </c>
      <c r="P177">
        <f>IF($A177="","",COUNTIFS(attestations!$B$2:$B$2000,$A177,attestations!$R$2:$R$2000,"Map"))</f>
        <v>0</v>
      </c>
      <c r="Q177">
        <f>IF($A177="","",COUNTIFS(attestations!$B$2:$B$2000,$A177,attestations!$R$2:$R$2000,"Image"))</f>
        <v>0</v>
      </c>
      <c r="R177">
        <f>IF($A177="","",COUNTIFS(attestations!$B$2:$B$2000,$A177,attestations!$R$2:$R$2000,"Textual"))</f>
        <v>0</v>
      </c>
      <c r="S177">
        <f>IF($A177="","",COUNTIFS(attestations!$B$2:$B$2000,$A177,attestations!$D$2:$D$2000,"Geometry (Setting)"))</f>
        <v>1</v>
      </c>
      <c r="T177" t="str">
        <f t="shared" si="5"/>
        <v>High</v>
      </c>
      <c r="U177" t="str">
        <f>IF($A177="","",IF(COUNTIFS(attestations!$B$2:$B$2000,$A177,attestations!$I$2:$I$2000,"Georeferenced map GCP")&gt;0,"Y","N"))</f>
        <v>Y</v>
      </c>
      <c r="V177" t="s">
        <v>210</v>
      </c>
      <c r="W177" t="s">
        <v>228</v>
      </c>
      <c r="X177" t="s">
        <v>928</v>
      </c>
      <c r="Y177" t="s">
        <v>212</v>
      </c>
    </row>
    <row r="178" spans="1:27" x14ac:dyDescent="0.2">
      <c r="A178" t="s">
        <v>929</v>
      </c>
      <c r="B178" t="s">
        <v>930</v>
      </c>
      <c r="C178" t="s">
        <v>931</v>
      </c>
      <c r="D178" t="s">
        <v>226</v>
      </c>
      <c r="E178" t="s">
        <v>227</v>
      </c>
      <c r="F178" t="s">
        <v>227</v>
      </c>
      <c r="G178" t="s">
        <v>319</v>
      </c>
      <c r="H178" t="s">
        <v>205</v>
      </c>
      <c r="I178" t="s">
        <v>276</v>
      </c>
      <c r="K178" t="s">
        <v>227</v>
      </c>
      <c r="L178" t="s">
        <v>228</v>
      </c>
      <c r="M178" t="str">
        <f t="shared" si="4"/>
        <v>Point + buffer</v>
      </c>
      <c r="N178">
        <v>800</v>
      </c>
      <c r="O178">
        <f>IF($A178="","",COUNTIF(attestations!$B$2:$B$2000,$A178))</f>
        <v>10</v>
      </c>
      <c r="P178">
        <f>IF($A178="","",COUNTIFS(attestations!$B$2:$B$2000,$A178,attestations!$R$2:$R$2000,"Map"))</f>
        <v>0</v>
      </c>
      <c r="Q178">
        <f>IF($A178="","",COUNTIFS(attestations!$B$2:$B$2000,$A178,attestations!$R$2:$R$2000,"Image"))</f>
        <v>0</v>
      </c>
      <c r="R178">
        <f>IF($A178="","",COUNTIFS(attestations!$B$2:$B$2000,$A178,attestations!$R$2:$R$2000,"Textual"))</f>
        <v>0</v>
      </c>
      <c r="S178">
        <f>IF($A178="","",COUNTIFS(attestations!$B$2:$B$2000,$A178,attestations!$D$2:$D$2000,"Geometry (Setting)"))</f>
        <v>1</v>
      </c>
      <c r="T178" t="str">
        <f t="shared" si="5"/>
        <v>High</v>
      </c>
      <c r="U178" t="str">
        <f>IF($A178="","",IF(COUNTIFS(attestations!$B$2:$B$2000,$A178,attestations!$I$2:$I$2000,"Georeferenced map GCP")&gt;0,"Y","N"))</f>
        <v>Y</v>
      </c>
      <c r="V178" t="s">
        <v>210</v>
      </c>
      <c r="W178" t="s">
        <v>228</v>
      </c>
      <c r="X178" t="s">
        <v>932</v>
      </c>
      <c r="Y178" t="s">
        <v>212</v>
      </c>
    </row>
    <row r="179" spans="1:27" x14ac:dyDescent="0.2">
      <c r="A179" t="s">
        <v>933</v>
      </c>
      <c r="B179" t="s">
        <v>934</v>
      </c>
      <c r="D179" t="s">
        <v>226</v>
      </c>
      <c r="E179" t="s">
        <v>227</v>
      </c>
      <c r="F179" t="s">
        <v>227</v>
      </c>
      <c r="G179" t="s">
        <v>319</v>
      </c>
      <c r="H179" t="s">
        <v>205</v>
      </c>
      <c r="I179" t="s">
        <v>276</v>
      </c>
      <c r="K179" t="s">
        <v>227</v>
      </c>
      <c r="L179" t="s">
        <v>228</v>
      </c>
      <c r="M179" t="str">
        <f t="shared" si="4"/>
        <v>Point + buffer</v>
      </c>
      <c r="N179">
        <v>800</v>
      </c>
      <c r="O179">
        <f>IF($A179="","",COUNTIF(attestations!$B$2:$B$2000,$A179))</f>
        <v>7</v>
      </c>
      <c r="P179">
        <f>IF($A179="","",COUNTIFS(attestations!$B$2:$B$2000,$A179,attestations!$R$2:$R$2000,"Map"))</f>
        <v>0</v>
      </c>
      <c r="Q179">
        <f>IF($A179="","",COUNTIFS(attestations!$B$2:$B$2000,$A179,attestations!$R$2:$R$2000,"Image"))</f>
        <v>0</v>
      </c>
      <c r="R179">
        <f>IF($A179="","",COUNTIFS(attestations!$B$2:$B$2000,$A179,attestations!$R$2:$R$2000,"Textual"))</f>
        <v>0</v>
      </c>
      <c r="S179">
        <f>IF($A179="","",COUNTIFS(attestations!$B$2:$B$2000,$A179,attestations!$D$2:$D$2000,"Geometry (Setting)"))</f>
        <v>1</v>
      </c>
      <c r="T179" t="str">
        <f t="shared" si="5"/>
        <v>High</v>
      </c>
      <c r="U179" t="str">
        <f>IF($A179="","",IF(COUNTIFS(attestations!$B$2:$B$2000,$A179,attestations!$I$2:$I$2000,"Georeferenced map GCP")&gt;0,"Y","N"))</f>
        <v>Y</v>
      </c>
      <c r="V179" t="s">
        <v>210</v>
      </c>
      <c r="W179" t="s">
        <v>228</v>
      </c>
      <c r="X179" t="s">
        <v>935</v>
      </c>
      <c r="Y179" t="s">
        <v>212</v>
      </c>
    </row>
    <row r="180" spans="1:27" x14ac:dyDescent="0.2">
      <c r="A180" t="s">
        <v>936</v>
      </c>
      <c r="B180" t="s">
        <v>937</v>
      </c>
      <c r="D180" t="s">
        <v>226</v>
      </c>
      <c r="E180" t="s">
        <v>227</v>
      </c>
      <c r="F180" t="s">
        <v>227</v>
      </c>
      <c r="G180" t="s">
        <v>319</v>
      </c>
      <c r="H180" t="s">
        <v>205</v>
      </c>
      <c r="I180" t="s">
        <v>276</v>
      </c>
      <c r="K180" t="s">
        <v>227</v>
      </c>
      <c r="L180" t="s">
        <v>228</v>
      </c>
      <c r="M180" t="str">
        <f t="shared" si="4"/>
        <v>Point + buffer</v>
      </c>
      <c r="N180">
        <v>800</v>
      </c>
      <c r="O180">
        <f>IF($A180="","",COUNTIF(attestations!$B$2:$B$2000,$A180))</f>
        <v>7</v>
      </c>
      <c r="P180">
        <f>IF($A180="","",COUNTIFS(attestations!$B$2:$B$2000,$A180,attestations!$R$2:$R$2000,"Map"))</f>
        <v>0</v>
      </c>
      <c r="Q180">
        <f>IF($A180="","",COUNTIFS(attestations!$B$2:$B$2000,$A180,attestations!$R$2:$R$2000,"Image"))</f>
        <v>0</v>
      </c>
      <c r="R180">
        <f>IF($A180="","",COUNTIFS(attestations!$B$2:$B$2000,$A180,attestations!$R$2:$R$2000,"Textual"))</f>
        <v>0</v>
      </c>
      <c r="S180">
        <f>IF($A180="","",COUNTIFS(attestations!$B$2:$B$2000,$A180,attestations!$D$2:$D$2000,"Geometry (Setting)"))</f>
        <v>1</v>
      </c>
      <c r="T180" t="str">
        <f t="shared" si="5"/>
        <v>High</v>
      </c>
      <c r="U180" t="str">
        <f>IF($A180="","",IF(COUNTIFS(attestations!$B$2:$B$2000,$A180,attestations!$I$2:$I$2000,"Georeferenced map GCP")&gt;0,"Y","N"))</f>
        <v>Y</v>
      </c>
      <c r="V180" t="s">
        <v>210</v>
      </c>
      <c r="W180" t="s">
        <v>228</v>
      </c>
      <c r="X180" t="s">
        <v>938</v>
      </c>
      <c r="Y180" t="s">
        <v>212</v>
      </c>
    </row>
    <row r="181" spans="1:27" x14ac:dyDescent="0.2">
      <c r="A181" t="s">
        <v>939</v>
      </c>
      <c r="B181" t="s">
        <v>940</v>
      </c>
      <c r="C181" t="s">
        <v>941</v>
      </c>
      <c r="D181" t="s">
        <v>215</v>
      </c>
      <c r="E181" t="s">
        <v>227</v>
      </c>
      <c r="F181" t="s">
        <v>227</v>
      </c>
      <c r="G181" t="s">
        <v>319</v>
      </c>
      <c r="H181" t="s">
        <v>205</v>
      </c>
      <c r="I181" t="s">
        <v>276</v>
      </c>
      <c r="K181" t="s">
        <v>227</v>
      </c>
      <c r="L181" t="s">
        <v>228</v>
      </c>
      <c r="M181" t="str">
        <f t="shared" si="4"/>
        <v>Point + buffer</v>
      </c>
      <c r="N181">
        <v>800</v>
      </c>
      <c r="O181">
        <f>IF($A181="","",COUNTIF(attestations!$B$2:$B$2000,$A181))</f>
        <v>5</v>
      </c>
      <c r="P181">
        <f>IF($A181="","",COUNTIFS(attestations!$B$2:$B$2000,$A181,attestations!$R$2:$R$2000,"Map"))</f>
        <v>0</v>
      </c>
      <c r="Q181">
        <f>IF($A181="","",COUNTIFS(attestations!$B$2:$B$2000,$A181,attestations!$R$2:$R$2000,"Image"))</f>
        <v>0</v>
      </c>
      <c r="R181">
        <f>IF($A181="","",COUNTIFS(attestations!$B$2:$B$2000,$A181,attestations!$R$2:$R$2000,"Textual"))</f>
        <v>0</v>
      </c>
      <c r="S181">
        <f>IF($A181="","",COUNTIFS(attestations!$B$2:$B$2000,$A181,attestations!$D$2:$D$2000,"Geometry (Setting)"))</f>
        <v>1</v>
      </c>
      <c r="T181" t="str">
        <f t="shared" si="5"/>
        <v>Medium</v>
      </c>
      <c r="U181" t="str">
        <f>IF($A181="","",IF(COUNTIFS(attestations!$B$2:$B$2000,$A181,attestations!$I$2:$I$2000,"Georeferenced map GCP")&gt;0,"Y","N"))</f>
        <v>Y</v>
      </c>
      <c r="V181" t="s">
        <v>210</v>
      </c>
      <c r="W181" t="s">
        <v>228</v>
      </c>
      <c r="X181" t="s">
        <v>942</v>
      </c>
      <c r="Y181" t="s">
        <v>212</v>
      </c>
    </row>
    <row r="182" spans="1:27" x14ac:dyDescent="0.2">
      <c r="A182" t="s">
        <v>943</v>
      </c>
      <c r="B182" t="s">
        <v>944</v>
      </c>
      <c r="C182" t="s">
        <v>945</v>
      </c>
      <c r="D182" t="s">
        <v>294</v>
      </c>
      <c r="E182" t="s">
        <v>227</v>
      </c>
      <c r="F182" t="s">
        <v>227</v>
      </c>
      <c r="G182" t="s">
        <v>319</v>
      </c>
      <c r="H182" t="s">
        <v>205</v>
      </c>
      <c r="I182" t="s">
        <v>276</v>
      </c>
      <c r="K182" t="s">
        <v>227</v>
      </c>
      <c r="L182" t="s">
        <v>228</v>
      </c>
      <c r="M182" t="str">
        <f t="shared" si="4"/>
        <v>Point + buffer</v>
      </c>
      <c r="N182">
        <v>800</v>
      </c>
      <c r="O182">
        <f>IF($A182="","",COUNTIF(attestations!$B$2:$B$2000,$A182))</f>
        <v>6</v>
      </c>
      <c r="P182">
        <f>IF($A182="","",COUNTIFS(attestations!$B$2:$B$2000,$A182,attestations!$R$2:$R$2000,"Map"))</f>
        <v>0</v>
      </c>
      <c r="Q182">
        <f>IF($A182="","",COUNTIFS(attestations!$B$2:$B$2000,$A182,attestations!$R$2:$R$2000,"Image"))</f>
        <v>0</v>
      </c>
      <c r="R182">
        <f>IF($A182="","",COUNTIFS(attestations!$B$2:$B$2000,$A182,attestations!$R$2:$R$2000,"Textual"))</f>
        <v>0</v>
      </c>
      <c r="S182">
        <f>IF($A182="","",COUNTIFS(attestations!$B$2:$B$2000,$A182,attestations!$D$2:$D$2000,"Geometry (Setting)"))</f>
        <v>1</v>
      </c>
      <c r="T182" t="str">
        <f t="shared" si="5"/>
        <v>High</v>
      </c>
      <c r="U182" t="str">
        <f>IF($A182="","",IF(COUNTIFS(attestations!$B$2:$B$2000,$A182,attestations!$I$2:$I$2000,"Georeferenced map GCP")&gt;0,"Y","N"))</f>
        <v>Y</v>
      </c>
      <c r="V182" t="s">
        <v>210</v>
      </c>
      <c r="W182" t="s">
        <v>228</v>
      </c>
      <c r="X182" t="s">
        <v>946</v>
      </c>
      <c r="Y182" t="s">
        <v>212</v>
      </c>
    </row>
    <row r="183" spans="1:27" x14ac:dyDescent="0.2">
      <c r="A183" t="s">
        <v>947</v>
      </c>
      <c r="B183" t="s">
        <v>948</v>
      </c>
      <c r="C183" t="s">
        <v>949</v>
      </c>
      <c r="D183" t="s">
        <v>226</v>
      </c>
      <c r="E183" t="s">
        <v>227</v>
      </c>
      <c r="F183" t="s">
        <v>227</v>
      </c>
      <c r="G183" t="s">
        <v>319</v>
      </c>
      <c r="H183" t="s">
        <v>205</v>
      </c>
      <c r="I183" t="s">
        <v>216</v>
      </c>
      <c r="K183" t="s">
        <v>227</v>
      </c>
      <c r="L183" t="s">
        <v>228</v>
      </c>
      <c r="M183" t="str">
        <f t="shared" si="4"/>
        <v>Point + buffer</v>
      </c>
      <c r="N183">
        <v>500</v>
      </c>
      <c r="O183">
        <f>IF($A183="","",COUNTIF(attestations!$B$2:$B$2000,$A183))</f>
        <v>13</v>
      </c>
      <c r="P183">
        <f>IF($A183="","",COUNTIFS(attestations!$B$2:$B$2000,$A183,attestations!$R$2:$R$2000,"Map"))</f>
        <v>0</v>
      </c>
      <c r="Q183">
        <f>IF($A183="","",COUNTIFS(attestations!$B$2:$B$2000,$A183,attestations!$R$2:$R$2000,"Image"))</f>
        <v>0</v>
      </c>
      <c r="R183">
        <f>IF($A183="","",COUNTIFS(attestations!$B$2:$B$2000,$A183,attestations!$R$2:$R$2000,"Textual"))</f>
        <v>0</v>
      </c>
      <c r="S183">
        <f>IF($A183="","",COUNTIFS(attestations!$B$2:$B$2000,$A183,attestations!$D$2:$D$2000,"Geometry (Setting)"))</f>
        <v>2</v>
      </c>
      <c r="T183" t="str">
        <f t="shared" si="5"/>
        <v>High</v>
      </c>
      <c r="U183" t="str">
        <f>IF($A183="","",IF(COUNTIFS(attestations!$B$2:$B$2000,$A183,attestations!$I$2:$I$2000,"Georeferenced map GCP")&gt;0,"Y","N"))</f>
        <v>Y</v>
      </c>
      <c r="V183" t="s">
        <v>210</v>
      </c>
      <c r="W183" t="s">
        <v>228</v>
      </c>
      <c r="X183" t="s">
        <v>950</v>
      </c>
      <c r="Y183" t="s">
        <v>212</v>
      </c>
    </row>
    <row r="184" spans="1:27" x14ac:dyDescent="0.2">
      <c r="A184" t="s">
        <v>951</v>
      </c>
      <c r="B184" t="s">
        <v>952</v>
      </c>
      <c r="C184" t="s">
        <v>953</v>
      </c>
      <c r="D184" t="s">
        <v>226</v>
      </c>
      <c r="E184" t="s">
        <v>326</v>
      </c>
      <c r="F184" t="s">
        <v>798</v>
      </c>
      <c r="G184" t="s">
        <v>339</v>
      </c>
      <c r="H184" t="s">
        <v>309</v>
      </c>
      <c r="I184" t="s">
        <v>616</v>
      </c>
      <c r="K184" t="s">
        <v>227</v>
      </c>
      <c r="L184" t="s">
        <v>228</v>
      </c>
      <c r="M184" t="str">
        <f t="shared" si="4"/>
        <v>Point + buffer</v>
      </c>
      <c r="N184">
        <v>150</v>
      </c>
      <c r="O184">
        <f>IF($A184="","",COUNTIF(attestations!$B$2:$B$2000,$A184))</f>
        <v>6</v>
      </c>
      <c r="P184">
        <f>IF($A184="","",COUNTIFS(attestations!$B$2:$B$2000,$A184,attestations!$R$2:$R$2000,"Map"))</f>
        <v>0</v>
      </c>
      <c r="Q184">
        <f>IF($A184="","",COUNTIFS(attestations!$B$2:$B$2000,$A184,attestations!$R$2:$R$2000,"Image"))</f>
        <v>0</v>
      </c>
      <c r="R184">
        <f>IF($A184="","",COUNTIFS(attestations!$B$2:$B$2000,$A184,attestations!$R$2:$R$2000,"Textual"))</f>
        <v>0</v>
      </c>
      <c r="S184">
        <f>IF($A184="","",COUNTIFS(attestations!$B$2:$B$2000,$A184,attestations!$D$2:$D$2000,"Geometry (Setting)"))</f>
        <v>1</v>
      </c>
      <c r="T184" t="str">
        <f t="shared" si="5"/>
        <v>High</v>
      </c>
      <c r="U184" t="str">
        <f>IF($A184="","",IF(COUNTIFS(attestations!$B$2:$B$2000,$A184,attestations!$I$2:$I$2000,"Georeferenced map GCP")&gt;0,"Y","N"))</f>
        <v>Y</v>
      </c>
      <c r="V184" t="s">
        <v>210</v>
      </c>
      <c r="W184" t="s">
        <v>222</v>
      </c>
      <c r="X184" t="s">
        <v>954</v>
      </c>
      <c r="Y184" t="s">
        <v>312</v>
      </c>
      <c r="Z184" t="s">
        <v>955</v>
      </c>
      <c r="AA184" t="s">
        <v>956</v>
      </c>
    </row>
    <row r="185" spans="1:27" x14ac:dyDescent="0.2">
      <c r="A185" t="s">
        <v>957</v>
      </c>
      <c r="B185" t="s">
        <v>958</v>
      </c>
      <c r="C185" t="s">
        <v>959</v>
      </c>
      <c r="D185" t="s">
        <v>226</v>
      </c>
      <c r="E185" t="s">
        <v>227</v>
      </c>
      <c r="F185" t="s">
        <v>227</v>
      </c>
      <c r="G185" t="s">
        <v>319</v>
      </c>
      <c r="H185" t="s">
        <v>242</v>
      </c>
      <c r="I185" t="s">
        <v>960</v>
      </c>
      <c r="K185" t="s">
        <v>227</v>
      </c>
      <c r="L185" t="s">
        <v>228</v>
      </c>
      <c r="M185" t="str">
        <f t="shared" si="4"/>
        <v>Point + buffer</v>
      </c>
      <c r="N185">
        <v>150</v>
      </c>
      <c r="O185">
        <f>IF($A185="","",COUNTIF(attestations!$B$2:$B$2000,$A185))</f>
        <v>6</v>
      </c>
      <c r="P185">
        <f>IF($A185="","",COUNTIFS(attestations!$B$2:$B$2000,$A185,attestations!$R$2:$R$2000,"Map"))</f>
        <v>0</v>
      </c>
      <c r="Q185">
        <f>IF($A185="","",COUNTIFS(attestations!$B$2:$B$2000,$A185,attestations!$R$2:$R$2000,"Image"))</f>
        <v>0</v>
      </c>
      <c r="R185">
        <f>IF($A185="","",COUNTIFS(attestations!$B$2:$B$2000,$A185,attestations!$R$2:$R$2000,"Textual"))</f>
        <v>0</v>
      </c>
      <c r="S185">
        <f>IF($A185="","",COUNTIFS(attestations!$B$2:$B$2000,$A185,attestations!$D$2:$D$2000,"Geometry (Setting)"))</f>
        <v>1</v>
      </c>
      <c r="T185" t="str">
        <f t="shared" si="5"/>
        <v>High</v>
      </c>
      <c r="U185" t="str">
        <f>IF($A185="","",IF(COUNTIFS(attestations!$B$2:$B$2000,$A185,attestations!$I$2:$I$2000,"Georeferenced map GCP")&gt;0,"Y","N"))</f>
        <v>Y</v>
      </c>
      <c r="V185" t="s">
        <v>210</v>
      </c>
      <c r="W185" t="s">
        <v>222</v>
      </c>
      <c r="X185" t="s">
        <v>961</v>
      </c>
      <c r="Y185" t="s">
        <v>312</v>
      </c>
      <c r="Z185" t="s">
        <v>955</v>
      </c>
    </row>
    <row r="186" spans="1:27" x14ac:dyDescent="0.2">
      <c r="A186" t="s">
        <v>962</v>
      </c>
      <c r="B186" t="s">
        <v>963</v>
      </c>
      <c r="D186" t="s">
        <v>226</v>
      </c>
      <c r="E186" t="s">
        <v>326</v>
      </c>
      <c r="F186" t="s">
        <v>798</v>
      </c>
      <c r="G186" t="s">
        <v>319</v>
      </c>
      <c r="H186" t="s">
        <v>205</v>
      </c>
      <c r="I186" t="s">
        <v>616</v>
      </c>
      <c r="K186" t="s">
        <v>227</v>
      </c>
      <c r="L186" t="s">
        <v>228</v>
      </c>
      <c r="M186" t="str">
        <f t="shared" si="4"/>
        <v>Point + buffer</v>
      </c>
      <c r="N186">
        <v>150</v>
      </c>
      <c r="O186">
        <f>IF($A186="","",COUNTIF(attestations!$B$2:$B$2000,$A186))</f>
        <v>6</v>
      </c>
      <c r="P186">
        <f>IF($A186="","",COUNTIFS(attestations!$B$2:$B$2000,$A186,attestations!$R$2:$R$2000,"Map"))</f>
        <v>0</v>
      </c>
      <c r="Q186">
        <f>IF($A186="","",COUNTIFS(attestations!$B$2:$B$2000,$A186,attestations!$R$2:$R$2000,"Image"))</f>
        <v>0</v>
      </c>
      <c r="R186">
        <f>IF($A186="","",COUNTIFS(attestations!$B$2:$B$2000,$A186,attestations!$R$2:$R$2000,"Textual"))</f>
        <v>0</v>
      </c>
      <c r="S186">
        <f>IF($A186="","",COUNTIFS(attestations!$B$2:$B$2000,$A186,attestations!$D$2:$D$2000,"Geometry (Setting)"))</f>
        <v>1</v>
      </c>
      <c r="T186" t="str">
        <f t="shared" si="5"/>
        <v>High</v>
      </c>
      <c r="U186" t="str">
        <f>IF($A186="","",IF(COUNTIFS(attestations!$B$2:$B$2000,$A186,attestations!$I$2:$I$2000,"Georeferenced map GCP")&gt;0,"Y","N"))</f>
        <v>Y</v>
      </c>
      <c r="V186" t="s">
        <v>210</v>
      </c>
      <c r="W186" t="s">
        <v>222</v>
      </c>
      <c r="X186" t="s">
        <v>964</v>
      </c>
      <c r="Y186" t="s">
        <v>312</v>
      </c>
      <c r="Z186" t="s">
        <v>955</v>
      </c>
      <c r="AA186" t="s">
        <v>965</v>
      </c>
    </row>
    <row r="187" spans="1:27" x14ac:dyDescent="0.2">
      <c r="A187" t="s">
        <v>966</v>
      </c>
      <c r="B187" t="s">
        <v>967</v>
      </c>
      <c r="C187" t="s">
        <v>968</v>
      </c>
      <c r="D187" t="s">
        <v>343</v>
      </c>
      <c r="E187" t="s">
        <v>227</v>
      </c>
      <c r="F187" t="s">
        <v>227</v>
      </c>
      <c r="G187" t="s">
        <v>319</v>
      </c>
      <c r="H187" t="s">
        <v>242</v>
      </c>
      <c r="I187" t="s">
        <v>620</v>
      </c>
      <c r="K187" t="s">
        <v>227</v>
      </c>
      <c r="L187" t="s">
        <v>228</v>
      </c>
      <c r="M187" t="str">
        <f t="shared" si="4"/>
        <v>Point + buffer</v>
      </c>
      <c r="N187">
        <v>150</v>
      </c>
      <c r="O187">
        <f>IF($A187="","",COUNTIF(attestations!$B$2:$B$2000,$A187))</f>
        <v>8</v>
      </c>
      <c r="P187">
        <f>IF($A187="","",COUNTIFS(attestations!$B$2:$B$2000,$A187,attestations!$R$2:$R$2000,"Map"))</f>
        <v>0</v>
      </c>
      <c r="Q187">
        <f>IF($A187="","",COUNTIFS(attestations!$B$2:$B$2000,$A187,attestations!$R$2:$R$2000,"Image"))</f>
        <v>0</v>
      </c>
      <c r="R187">
        <f>IF($A187="","",COUNTIFS(attestations!$B$2:$B$2000,$A187,attestations!$R$2:$R$2000,"Textual"))</f>
        <v>0</v>
      </c>
      <c r="S187">
        <f>IF($A187="","",COUNTIFS(attestations!$B$2:$B$2000,$A187,attestations!$D$2:$D$2000,"Geometry (Setting)"))</f>
        <v>1</v>
      </c>
      <c r="T187" t="str">
        <f t="shared" si="5"/>
        <v>High</v>
      </c>
      <c r="U187" t="str">
        <f>IF($A187="","",IF(COUNTIFS(attestations!$B$2:$B$2000,$A187,attestations!$I$2:$I$2000,"Georeferenced map GCP")&gt;0,"Y","N"))</f>
        <v>Y</v>
      </c>
      <c r="V187" t="s">
        <v>210</v>
      </c>
      <c r="W187" t="s">
        <v>222</v>
      </c>
      <c r="X187" t="s">
        <v>969</v>
      </c>
      <c r="Y187" t="s">
        <v>294</v>
      </c>
      <c r="Z187" t="s">
        <v>955</v>
      </c>
    </row>
    <row r="188" spans="1:27" x14ac:dyDescent="0.2">
      <c r="A188" t="s">
        <v>955</v>
      </c>
      <c r="B188" t="s">
        <v>970</v>
      </c>
      <c r="C188" t="s">
        <v>971</v>
      </c>
      <c r="D188" t="s">
        <v>226</v>
      </c>
      <c r="E188" t="s">
        <v>326</v>
      </c>
      <c r="F188" t="s">
        <v>798</v>
      </c>
      <c r="G188" t="s">
        <v>319</v>
      </c>
      <c r="H188" t="s">
        <v>205</v>
      </c>
      <c r="I188" t="s">
        <v>276</v>
      </c>
      <c r="K188" t="s">
        <v>227</v>
      </c>
      <c r="L188" t="s">
        <v>228</v>
      </c>
      <c r="M188" t="str">
        <f t="shared" si="4"/>
        <v>Point + buffer</v>
      </c>
      <c r="N188">
        <v>150</v>
      </c>
      <c r="O188">
        <f>IF($A188="","",COUNTIF(attestations!$B$2:$B$2000,$A188))</f>
        <v>8</v>
      </c>
      <c r="P188">
        <f>IF($A188="","",COUNTIFS(attestations!$B$2:$B$2000,$A188,attestations!$R$2:$R$2000,"Map"))</f>
        <v>0</v>
      </c>
      <c r="Q188">
        <f>IF($A188="","",COUNTIFS(attestations!$B$2:$B$2000,$A188,attestations!$R$2:$R$2000,"Image"))</f>
        <v>0</v>
      </c>
      <c r="R188">
        <f>IF($A188="","",COUNTIFS(attestations!$B$2:$B$2000,$A188,attestations!$R$2:$R$2000,"Textual"))</f>
        <v>0</v>
      </c>
      <c r="S188">
        <f>IF($A188="","",COUNTIFS(attestations!$B$2:$B$2000,$A188,attestations!$D$2:$D$2000,"Geometry (Setting)"))</f>
        <v>1</v>
      </c>
      <c r="T188" t="str">
        <f t="shared" si="5"/>
        <v>High</v>
      </c>
      <c r="U188" t="str">
        <f>IF($A188="","",IF(COUNTIFS(attestations!$B$2:$B$2000,$A188,attestations!$I$2:$I$2000,"Georeferenced map GCP")&gt;0,"Y","N"))</f>
        <v>Y</v>
      </c>
      <c r="V188" t="s">
        <v>210</v>
      </c>
      <c r="W188" t="s">
        <v>222</v>
      </c>
      <c r="X188" t="s">
        <v>972</v>
      </c>
      <c r="Y188" t="s">
        <v>212</v>
      </c>
      <c r="AA188" t="s">
        <v>973</v>
      </c>
    </row>
    <row r="189" spans="1:27" x14ac:dyDescent="0.2">
      <c r="A189" t="s">
        <v>974</v>
      </c>
      <c r="B189" t="s">
        <v>975</v>
      </c>
      <c r="C189" t="s">
        <v>976</v>
      </c>
      <c r="D189" t="s">
        <v>226</v>
      </c>
      <c r="E189" t="s">
        <v>227</v>
      </c>
      <c r="F189" t="s">
        <v>227</v>
      </c>
      <c r="G189" t="s">
        <v>319</v>
      </c>
      <c r="H189" t="s">
        <v>205</v>
      </c>
      <c r="I189" t="s">
        <v>276</v>
      </c>
      <c r="K189" t="s">
        <v>227</v>
      </c>
      <c r="L189" t="s">
        <v>228</v>
      </c>
      <c r="M189" t="str">
        <f t="shared" si="4"/>
        <v>Point + buffer</v>
      </c>
      <c r="N189">
        <v>150</v>
      </c>
      <c r="O189">
        <f>IF($A189="","",COUNTIF(attestations!$B$2:$B$2000,$A189))</f>
        <v>7</v>
      </c>
      <c r="P189">
        <f>IF($A189="","",COUNTIFS(attestations!$B$2:$B$2000,$A189,attestations!$R$2:$R$2000,"Map"))</f>
        <v>0</v>
      </c>
      <c r="Q189">
        <f>IF($A189="","",COUNTIFS(attestations!$B$2:$B$2000,$A189,attestations!$R$2:$R$2000,"Image"))</f>
        <v>0</v>
      </c>
      <c r="R189">
        <f>IF($A189="","",COUNTIFS(attestations!$B$2:$B$2000,$A189,attestations!$R$2:$R$2000,"Textual"))</f>
        <v>0</v>
      </c>
      <c r="S189">
        <f>IF($A189="","",COUNTIFS(attestations!$B$2:$B$2000,$A189,attestations!$D$2:$D$2000,"Geometry (Setting)"))</f>
        <v>1</v>
      </c>
      <c r="T189" t="str">
        <f t="shared" si="5"/>
        <v>High</v>
      </c>
      <c r="U189" t="str">
        <f>IF($A189="","",IF(COUNTIFS(attestations!$B$2:$B$2000,$A189,attestations!$I$2:$I$2000,"Georeferenced map GCP")&gt;0,"Y","N"))</f>
        <v>Y</v>
      </c>
      <c r="V189" t="s">
        <v>210</v>
      </c>
      <c r="W189" t="s">
        <v>222</v>
      </c>
      <c r="X189" t="s">
        <v>977</v>
      </c>
      <c r="Y189" t="s">
        <v>312</v>
      </c>
      <c r="Z189" t="s">
        <v>955</v>
      </c>
    </row>
    <row r="190" spans="1:27" x14ac:dyDescent="0.2">
      <c r="A190" t="s">
        <v>978</v>
      </c>
      <c r="B190" t="s">
        <v>979</v>
      </c>
      <c r="D190" t="s">
        <v>226</v>
      </c>
      <c r="E190" t="s">
        <v>227</v>
      </c>
      <c r="F190" t="s">
        <v>227</v>
      </c>
      <c r="G190" t="s">
        <v>319</v>
      </c>
      <c r="H190" t="s">
        <v>205</v>
      </c>
      <c r="I190" t="s">
        <v>276</v>
      </c>
      <c r="K190" t="s">
        <v>227</v>
      </c>
      <c r="L190" t="s">
        <v>228</v>
      </c>
      <c r="M190" t="str">
        <f t="shared" si="4"/>
        <v>Point + buffer</v>
      </c>
      <c r="N190">
        <v>150</v>
      </c>
      <c r="O190">
        <f>IF($A190="","",COUNTIF(attestations!$B$2:$B$2000,$A190))</f>
        <v>8</v>
      </c>
      <c r="P190">
        <f>IF($A190="","",COUNTIFS(attestations!$B$2:$B$2000,$A190,attestations!$R$2:$R$2000,"Map"))</f>
        <v>0</v>
      </c>
      <c r="Q190">
        <f>IF($A190="","",COUNTIFS(attestations!$B$2:$B$2000,$A190,attestations!$R$2:$R$2000,"Image"))</f>
        <v>0</v>
      </c>
      <c r="R190">
        <f>IF($A190="","",COUNTIFS(attestations!$B$2:$B$2000,$A190,attestations!$R$2:$R$2000,"Textual"))</f>
        <v>0</v>
      </c>
      <c r="S190">
        <f>IF($A190="","",COUNTIFS(attestations!$B$2:$B$2000,$A190,attestations!$D$2:$D$2000,"Geometry (Setting)"))</f>
        <v>1</v>
      </c>
      <c r="T190" t="str">
        <f t="shared" si="5"/>
        <v>High</v>
      </c>
      <c r="U190" t="str">
        <f>IF($A190="","",IF(COUNTIFS(attestations!$B$2:$B$2000,$A190,attestations!$I$2:$I$2000,"Georeferenced map GCP")&gt;0,"Y","N"))</f>
        <v>Y</v>
      </c>
      <c r="V190" t="s">
        <v>210</v>
      </c>
      <c r="W190" t="s">
        <v>228</v>
      </c>
      <c r="X190" t="s">
        <v>980</v>
      </c>
      <c r="Y190" t="s">
        <v>312</v>
      </c>
      <c r="Z190" t="s">
        <v>955</v>
      </c>
    </row>
    <row r="191" spans="1:27" x14ac:dyDescent="0.2">
      <c r="A191" t="s">
        <v>981</v>
      </c>
      <c r="B191" t="s">
        <v>982</v>
      </c>
      <c r="D191" t="s">
        <v>226</v>
      </c>
      <c r="E191" t="s">
        <v>326</v>
      </c>
      <c r="F191" t="s">
        <v>798</v>
      </c>
      <c r="G191" t="s">
        <v>319</v>
      </c>
      <c r="H191" t="s">
        <v>205</v>
      </c>
      <c r="I191" t="s">
        <v>276</v>
      </c>
      <c r="K191" t="s">
        <v>227</v>
      </c>
      <c r="L191" t="s">
        <v>228</v>
      </c>
      <c r="M191" t="str">
        <f t="shared" si="4"/>
        <v>Point + buffer</v>
      </c>
      <c r="N191">
        <v>150</v>
      </c>
      <c r="O191">
        <f>IF($A191="","",COUNTIF(attestations!$B$2:$B$2000,$A191))</f>
        <v>7</v>
      </c>
      <c r="P191">
        <f>IF($A191="","",COUNTIFS(attestations!$B$2:$B$2000,$A191,attestations!$R$2:$R$2000,"Map"))</f>
        <v>0</v>
      </c>
      <c r="Q191">
        <f>IF($A191="","",COUNTIFS(attestations!$B$2:$B$2000,$A191,attestations!$R$2:$R$2000,"Image"))</f>
        <v>0</v>
      </c>
      <c r="R191">
        <f>IF($A191="","",COUNTIFS(attestations!$B$2:$B$2000,$A191,attestations!$R$2:$R$2000,"Textual"))</f>
        <v>0</v>
      </c>
      <c r="S191">
        <f>IF($A191="","",COUNTIFS(attestations!$B$2:$B$2000,$A191,attestations!$D$2:$D$2000,"Geometry (Setting)"))</f>
        <v>1</v>
      </c>
      <c r="T191" t="str">
        <f t="shared" si="5"/>
        <v>High</v>
      </c>
      <c r="U191" t="str">
        <f>IF($A191="","",IF(COUNTIFS(attestations!$B$2:$B$2000,$A191,attestations!$I$2:$I$2000,"Georeferenced map GCP")&gt;0,"Y","N"))</f>
        <v>Y</v>
      </c>
      <c r="V191" t="s">
        <v>210</v>
      </c>
      <c r="W191" t="s">
        <v>228</v>
      </c>
      <c r="X191" t="s">
        <v>983</v>
      </c>
      <c r="Y191" t="s">
        <v>312</v>
      </c>
      <c r="Z191" t="s">
        <v>955</v>
      </c>
      <c r="AA191" t="s">
        <v>984</v>
      </c>
    </row>
    <row r="192" spans="1:27" x14ac:dyDescent="0.2">
      <c r="A192" t="s">
        <v>985</v>
      </c>
      <c r="B192" t="s">
        <v>986</v>
      </c>
      <c r="C192" t="s">
        <v>987</v>
      </c>
      <c r="D192" t="s">
        <v>226</v>
      </c>
      <c r="E192" t="s">
        <v>227</v>
      </c>
      <c r="F192" t="s">
        <v>227</v>
      </c>
      <c r="G192" t="s">
        <v>339</v>
      </c>
      <c r="H192" t="s">
        <v>205</v>
      </c>
      <c r="I192" t="s">
        <v>276</v>
      </c>
      <c r="K192" t="s">
        <v>227</v>
      </c>
      <c r="L192" t="s">
        <v>228</v>
      </c>
      <c r="M192" t="str">
        <f t="shared" si="4"/>
        <v>Point + buffer</v>
      </c>
      <c r="N192">
        <v>150</v>
      </c>
      <c r="O192">
        <f>IF($A192="","",COUNTIF(attestations!$B$2:$B$2000,$A192))</f>
        <v>7</v>
      </c>
      <c r="P192">
        <f>IF($A192="","",COUNTIFS(attestations!$B$2:$B$2000,$A192,attestations!$R$2:$R$2000,"Map"))</f>
        <v>0</v>
      </c>
      <c r="Q192">
        <f>IF($A192="","",COUNTIFS(attestations!$B$2:$B$2000,$A192,attestations!$R$2:$R$2000,"Image"))</f>
        <v>0</v>
      </c>
      <c r="R192">
        <f>IF($A192="","",COUNTIFS(attestations!$B$2:$B$2000,$A192,attestations!$R$2:$R$2000,"Textual"))</f>
        <v>0</v>
      </c>
      <c r="S192">
        <f>IF($A192="","",COUNTIFS(attestations!$B$2:$B$2000,$A192,attestations!$D$2:$D$2000,"Geometry (Setting)"))</f>
        <v>1</v>
      </c>
      <c r="T192" t="str">
        <f t="shared" si="5"/>
        <v>High</v>
      </c>
      <c r="U192" t="str">
        <f>IF($A192="","",IF(COUNTIFS(attestations!$B$2:$B$2000,$A192,attestations!$I$2:$I$2000,"Georeferenced map GCP")&gt;0,"Y","N"))</f>
        <v>Y</v>
      </c>
      <c r="V192" t="s">
        <v>988</v>
      </c>
      <c r="W192" t="s">
        <v>222</v>
      </c>
      <c r="X192" t="s">
        <v>989</v>
      </c>
      <c r="Y192" t="s">
        <v>312</v>
      </c>
      <c r="Z192" t="s">
        <v>955</v>
      </c>
    </row>
    <row r="193" spans="1:26" x14ac:dyDescent="0.2">
      <c r="A193" t="s">
        <v>990</v>
      </c>
      <c r="B193" t="s">
        <v>991</v>
      </c>
      <c r="D193" t="s">
        <v>294</v>
      </c>
      <c r="E193" t="s">
        <v>227</v>
      </c>
      <c r="F193" t="s">
        <v>227</v>
      </c>
      <c r="G193" t="s">
        <v>319</v>
      </c>
      <c r="H193" t="s">
        <v>242</v>
      </c>
      <c r="I193" t="s">
        <v>710</v>
      </c>
      <c r="K193" t="s">
        <v>208</v>
      </c>
      <c r="L193" t="s">
        <v>222</v>
      </c>
      <c r="M193" t="str">
        <f t="shared" si="4"/>
        <v>Solid point</v>
      </c>
      <c r="N193">
        <v>100</v>
      </c>
      <c r="O193">
        <f>IF($A193="","",COUNTIF(attestations!$B$2:$B$2000,$A193))</f>
        <v>5</v>
      </c>
      <c r="P193">
        <f>IF($A193="","",COUNTIFS(attestations!$B$2:$B$2000,$A193,attestations!$R$2:$R$2000,"Map"))</f>
        <v>0</v>
      </c>
      <c r="Q193">
        <f>IF($A193="","",COUNTIFS(attestations!$B$2:$B$2000,$A193,attestations!$R$2:$R$2000,"Image"))</f>
        <v>0</v>
      </c>
      <c r="R193">
        <f>IF($A193="","",COUNTIFS(attestations!$B$2:$B$2000,$A193,attestations!$R$2:$R$2000,"Textual"))</f>
        <v>0</v>
      </c>
      <c r="S193">
        <f>IF($A193="","",COUNTIFS(attestations!$B$2:$B$2000,$A193,attestations!$D$2:$D$2000,"Geometry (Setting)"))</f>
        <v>2</v>
      </c>
      <c r="T193" t="str">
        <f t="shared" si="5"/>
        <v>Medium</v>
      </c>
      <c r="U193" t="str">
        <f>IF($A193="","",IF(COUNTIFS(attestations!$B$2:$B$2000,$A193,attestations!$I$2:$I$2000,"Georeferenced map GCP")&gt;0,"Y","N"))</f>
        <v>N</v>
      </c>
      <c r="V193" t="s">
        <v>210</v>
      </c>
      <c r="W193" t="s">
        <v>228</v>
      </c>
      <c r="X193" t="s">
        <v>992</v>
      </c>
      <c r="Y193" t="s">
        <v>294</v>
      </c>
      <c r="Z193" t="s">
        <v>354</v>
      </c>
    </row>
    <row r="194" spans="1:26" x14ac:dyDescent="0.2">
      <c r="A194" t="s">
        <v>993</v>
      </c>
      <c r="B194" t="s">
        <v>994</v>
      </c>
      <c r="C194" t="s">
        <v>995</v>
      </c>
      <c r="D194" t="s">
        <v>996</v>
      </c>
      <c r="E194" t="s">
        <v>227</v>
      </c>
      <c r="F194" t="s">
        <v>227</v>
      </c>
      <c r="G194" t="s">
        <v>339</v>
      </c>
      <c r="H194" t="s">
        <v>242</v>
      </c>
      <c r="I194" t="s">
        <v>715</v>
      </c>
      <c r="K194" t="s">
        <v>208</v>
      </c>
      <c r="L194" t="s">
        <v>222</v>
      </c>
      <c r="M194" t="str">
        <f t="shared" ref="M194:M231" si="6">IF($A194="","",IF($L194="High","Solid point",IF($L194="Medium","Point + buffer",IF($L194="Low","Translucent area",IF($L194="Disputed","Candidate points",IF($L194="Unknown","Unplotted (unlocated panel)","-"))))))</f>
        <v>Solid point</v>
      </c>
      <c r="N194">
        <v>250</v>
      </c>
      <c r="O194">
        <f>IF($A194="","",COUNTIF(attestations!$B$2:$B$2000,$A194))</f>
        <v>2</v>
      </c>
      <c r="P194">
        <f>IF($A194="","",COUNTIFS(attestations!$B$2:$B$2000,$A194,attestations!$R$2:$R$2000,"Map"))</f>
        <v>0</v>
      </c>
      <c r="Q194">
        <f>IF($A194="","",COUNTIFS(attestations!$B$2:$B$2000,$A194,attestations!$R$2:$R$2000,"Image"))</f>
        <v>0</v>
      </c>
      <c r="R194">
        <f>IF($A194="","",COUNTIFS(attestations!$B$2:$B$2000,$A194,attestations!$R$2:$R$2000,"Textual"))</f>
        <v>0</v>
      </c>
      <c r="S194">
        <f>IF($A194="","",COUNTIFS(attestations!$B$2:$B$2000,$A194,attestations!$D$2:$D$2000,"Geometry (Setting)"))</f>
        <v>1</v>
      </c>
      <c r="T194" t="str">
        <f t="shared" ref="T194:T231" si="7">IF($A194="","",IF($O194&gt;=6,"High",IF($O194&gt;=3,"Medium",IF($O194&gt;=1,"Low","None"))))</f>
        <v>Low</v>
      </c>
      <c r="U194" t="str">
        <f>IF($A194="","",IF(COUNTIFS(attestations!$B$2:$B$2000,$A194,attestations!$I$2:$I$2000,"Georeferenced map GCP")&gt;0,"Y","N"))</f>
        <v>N</v>
      </c>
      <c r="V194" t="s">
        <v>210</v>
      </c>
      <c r="W194" t="s">
        <v>228</v>
      </c>
      <c r="X194" t="s">
        <v>997</v>
      </c>
      <c r="Y194" t="s">
        <v>333</v>
      </c>
      <c r="Z194" t="s">
        <v>266</v>
      </c>
    </row>
    <row r="195" spans="1:26" x14ac:dyDescent="0.2">
      <c r="A195" t="s">
        <v>998</v>
      </c>
      <c r="B195" t="s">
        <v>999</v>
      </c>
      <c r="C195" t="s">
        <v>1000</v>
      </c>
      <c r="D195" t="s">
        <v>640</v>
      </c>
      <c r="E195" t="s">
        <v>255</v>
      </c>
      <c r="F195" t="s">
        <v>319</v>
      </c>
      <c r="G195" t="s">
        <v>257</v>
      </c>
      <c r="H195" t="s">
        <v>242</v>
      </c>
      <c r="I195" t="s">
        <v>597</v>
      </c>
      <c r="J195" t="s">
        <v>592</v>
      </c>
      <c r="K195" t="s">
        <v>208</v>
      </c>
      <c r="L195" t="s">
        <v>222</v>
      </c>
      <c r="M195" t="str">
        <f t="shared" si="6"/>
        <v>Solid point</v>
      </c>
      <c r="N195">
        <v>300</v>
      </c>
      <c r="O195">
        <f>IF($A195="","",COUNTIF(attestations!$B$2:$B$2000,$A195))</f>
        <v>3</v>
      </c>
      <c r="P195">
        <f>IF($A195="","",COUNTIFS(attestations!$B$2:$B$2000,$A195,attestations!$R$2:$R$2000,"Map"))</f>
        <v>0</v>
      </c>
      <c r="Q195">
        <f>IF($A195="","",COUNTIFS(attestations!$B$2:$B$2000,$A195,attestations!$R$2:$R$2000,"Image"))</f>
        <v>0</v>
      </c>
      <c r="R195">
        <f>IF($A195="","",COUNTIFS(attestations!$B$2:$B$2000,$A195,attestations!$R$2:$R$2000,"Textual"))</f>
        <v>0</v>
      </c>
      <c r="S195">
        <f>IF($A195="","",COUNTIFS(attestations!$B$2:$B$2000,$A195,attestations!$D$2:$D$2000,"Geometry (Setting)"))</f>
        <v>1</v>
      </c>
      <c r="T195" t="str">
        <f t="shared" si="7"/>
        <v>Medium</v>
      </c>
      <c r="U195" t="str">
        <f>IF($A195="","",IF(COUNTIFS(attestations!$B$2:$B$2000,$A195,attestations!$I$2:$I$2000,"Georeferenced map GCP")&gt;0,"Y","N"))</f>
        <v>N</v>
      </c>
      <c r="V195" t="s">
        <v>210</v>
      </c>
      <c r="W195" t="s">
        <v>222</v>
      </c>
      <c r="X195" t="s">
        <v>1001</v>
      </c>
      <c r="Y195" t="s">
        <v>212</v>
      </c>
    </row>
    <row r="196" spans="1:26" x14ac:dyDescent="0.2">
      <c r="A196" t="s">
        <v>1002</v>
      </c>
      <c r="B196" t="s">
        <v>1003</v>
      </c>
      <c r="C196" t="s">
        <v>1004</v>
      </c>
      <c r="D196" t="s">
        <v>640</v>
      </c>
      <c r="E196" t="s">
        <v>255</v>
      </c>
      <c r="F196" t="s">
        <v>319</v>
      </c>
      <c r="G196" t="s">
        <v>257</v>
      </c>
      <c r="H196" t="s">
        <v>242</v>
      </c>
      <c r="I196" t="s">
        <v>1005</v>
      </c>
      <c r="J196" t="s">
        <v>636</v>
      </c>
      <c r="K196" t="s">
        <v>227</v>
      </c>
      <c r="L196" t="s">
        <v>228</v>
      </c>
      <c r="M196" t="str">
        <f t="shared" si="6"/>
        <v>Point + buffer</v>
      </c>
      <c r="N196">
        <v>400</v>
      </c>
      <c r="O196">
        <f>IF($A196="","",COUNTIF(attestations!$B$2:$B$2000,$A196))</f>
        <v>2</v>
      </c>
      <c r="P196">
        <f>IF($A196="","",COUNTIFS(attestations!$B$2:$B$2000,$A196,attestations!$R$2:$R$2000,"Map"))</f>
        <v>0</v>
      </c>
      <c r="Q196">
        <f>IF($A196="","",COUNTIFS(attestations!$B$2:$B$2000,$A196,attestations!$R$2:$R$2000,"Image"))</f>
        <v>0</v>
      </c>
      <c r="R196">
        <f>IF($A196="","",COUNTIFS(attestations!$B$2:$B$2000,$A196,attestations!$R$2:$R$2000,"Textual"))</f>
        <v>0</v>
      </c>
      <c r="S196">
        <f>IF($A196="","",COUNTIFS(attestations!$B$2:$B$2000,$A196,attestations!$D$2:$D$2000,"Geometry (Setting)"))</f>
        <v>1</v>
      </c>
      <c r="T196" t="str">
        <f t="shared" si="7"/>
        <v>Low</v>
      </c>
      <c r="U196" t="str">
        <f>IF($A196="","",IF(COUNTIFS(attestations!$B$2:$B$2000,$A196,attestations!$I$2:$I$2000,"Georeferenced map GCP")&gt;0,"Y","N"))</f>
        <v>N</v>
      </c>
      <c r="V196" t="s">
        <v>210</v>
      </c>
      <c r="W196" t="s">
        <v>222</v>
      </c>
      <c r="X196" t="s">
        <v>1006</v>
      </c>
      <c r="Y196" t="s">
        <v>212</v>
      </c>
    </row>
    <row r="197" spans="1:26" x14ac:dyDescent="0.2">
      <c r="A197" t="s">
        <v>1007</v>
      </c>
      <c r="B197" t="s">
        <v>949</v>
      </c>
      <c r="D197" t="s">
        <v>226</v>
      </c>
      <c r="E197" t="s">
        <v>227</v>
      </c>
      <c r="F197" t="s">
        <v>227</v>
      </c>
      <c r="G197" t="s">
        <v>319</v>
      </c>
      <c r="H197" t="s">
        <v>205</v>
      </c>
      <c r="I197" t="s">
        <v>216</v>
      </c>
      <c r="K197" t="s">
        <v>227</v>
      </c>
      <c r="L197" t="s">
        <v>228</v>
      </c>
      <c r="M197" t="str">
        <f t="shared" si="6"/>
        <v>Point + buffer</v>
      </c>
      <c r="N197">
        <v>800</v>
      </c>
      <c r="O197">
        <f>IF($A197="","",COUNTIF(attestations!$B$2:$B$2000,$A197))</f>
        <v>0</v>
      </c>
      <c r="P197">
        <f>IF($A197="","",COUNTIFS(attestations!$B$2:$B$2000,$A197,attestations!$R$2:$R$2000,"Map"))</f>
        <v>0</v>
      </c>
      <c r="Q197">
        <f>IF($A197="","",COUNTIFS(attestations!$B$2:$B$2000,$A197,attestations!$R$2:$R$2000,"Image"))</f>
        <v>0</v>
      </c>
      <c r="R197">
        <f>IF($A197="","",COUNTIFS(attestations!$B$2:$B$2000,$A197,attestations!$R$2:$R$2000,"Textual"))</f>
        <v>0</v>
      </c>
      <c r="S197">
        <f>IF($A197="","",COUNTIFS(attestations!$B$2:$B$2000,$A197,attestations!$D$2:$D$2000,"Geometry (Setting)"))</f>
        <v>0</v>
      </c>
      <c r="T197" t="str">
        <f t="shared" si="7"/>
        <v>None</v>
      </c>
      <c r="U197" t="str">
        <f>IF($A197="","",IF(COUNTIFS(attestations!$B$2:$B$2000,$A197,attestations!$I$2:$I$2000,"Georeferenced map GCP")&gt;0,"Y","N"))</f>
        <v>N</v>
      </c>
      <c r="V197" t="s">
        <v>303</v>
      </c>
      <c r="W197" t="s">
        <v>228</v>
      </c>
      <c r="X197" t="s">
        <v>1008</v>
      </c>
      <c r="Y197" t="s">
        <v>212</v>
      </c>
    </row>
    <row r="198" spans="1:26" x14ac:dyDescent="0.2">
      <c r="A198" t="s">
        <v>1009</v>
      </c>
      <c r="B198" t="s">
        <v>806</v>
      </c>
      <c r="C198" t="s">
        <v>1010</v>
      </c>
      <c r="D198" t="s">
        <v>1011</v>
      </c>
      <c r="E198" t="s">
        <v>227</v>
      </c>
      <c r="F198" t="s">
        <v>227</v>
      </c>
      <c r="G198" t="s">
        <v>339</v>
      </c>
      <c r="H198" t="s">
        <v>242</v>
      </c>
      <c r="I198" t="s">
        <v>546</v>
      </c>
      <c r="K198" t="s">
        <v>208</v>
      </c>
      <c r="L198" t="s">
        <v>222</v>
      </c>
      <c r="M198" t="str">
        <f t="shared" si="6"/>
        <v>Solid point</v>
      </c>
      <c r="N198">
        <v>150</v>
      </c>
      <c r="O198">
        <f>IF($A198="","",COUNTIF(attestations!$B$2:$B$2000,$A198))</f>
        <v>0</v>
      </c>
      <c r="P198">
        <f>IF($A198="","",COUNTIFS(attestations!$B$2:$B$2000,$A198,attestations!$R$2:$R$2000,"Map"))</f>
        <v>0</v>
      </c>
      <c r="Q198">
        <f>IF($A198="","",COUNTIFS(attestations!$B$2:$B$2000,$A198,attestations!$R$2:$R$2000,"Image"))</f>
        <v>0</v>
      </c>
      <c r="R198">
        <f>IF($A198="","",COUNTIFS(attestations!$B$2:$B$2000,$A198,attestations!$R$2:$R$2000,"Textual"))</f>
        <v>0</v>
      </c>
      <c r="S198">
        <f>IF($A198="","",COUNTIFS(attestations!$B$2:$B$2000,$A198,attestations!$D$2:$D$2000,"Geometry (Setting)"))</f>
        <v>0</v>
      </c>
      <c r="T198" t="str">
        <f t="shared" si="7"/>
        <v>None</v>
      </c>
      <c r="U198" t="str">
        <f>IF($A198="","",IF(COUNTIFS(attestations!$B$2:$B$2000,$A198,attestations!$I$2:$I$2000,"Georeferenced map GCP")&gt;0,"Y","N"))</f>
        <v>N</v>
      </c>
      <c r="V198" t="s">
        <v>303</v>
      </c>
      <c r="W198" t="s">
        <v>222</v>
      </c>
      <c r="X198" t="s">
        <v>1012</v>
      </c>
      <c r="Y198" t="s">
        <v>212</v>
      </c>
    </row>
    <row r="199" spans="1:26" x14ac:dyDescent="0.2">
      <c r="A199" t="s">
        <v>1013</v>
      </c>
      <c r="B199" t="s">
        <v>1014</v>
      </c>
      <c r="D199" t="s">
        <v>640</v>
      </c>
      <c r="E199" t="s">
        <v>227</v>
      </c>
      <c r="F199" t="s">
        <v>227</v>
      </c>
      <c r="G199" t="s">
        <v>339</v>
      </c>
      <c r="H199" t="s">
        <v>242</v>
      </c>
      <c r="I199" t="s">
        <v>428</v>
      </c>
      <c r="K199" t="s">
        <v>227</v>
      </c>
      <c r="L199" t="s">
        <v>222</v>
      </c>
      <c r="M199" t="str">
        <f t="shared" si="6"/>
        <v>Solid point</v>
      </c>
      <c r="N199">
        <v>200</v>
      </c>
      <c r="O199">
        <f>IF($A199="","",COUNTIF(attestations!$B$2:$B$2000,$A199))</f>
        <v>2</v>
      </c>
      <c r="P199">
        <f>IF($A199="","",COUNTIFS(attestations!$B$2:$B$2000,$A199,attestations!$R$2:$R$2000,"Map"))</f>
        <v>0</v>
      </c>
      <c r="Q199">
        <f>IF($A199="","",COUNTIFS(attestations!$B$2:$B$2000,$A199,attestations!$R$2:$R$2000,"Image"))</f>
        <v>0</v>
      </c>
      <c r="R199">
        <f>IF($A199="","",COUNTIFS(attestations!$B$2:$B$2000,$A199,attestations!$R$2:$R$2000,"Textual"))</f>
        <v>0</v>
      </c>
      <c r="S199">
        <f>IF($A199="","",COUNTIFS(attestations!$B$2:$B$2000,$A199,attestations!$D$2:$D$2000,"Geometry (Setting)"))</f>
        <v>1</v>
      </c>
      <c r="T199" t="str">
        <f t="shared" si="7"/>
        <v>Low</v>
      </c>
      <c r="U199" t="str">
        <f>IF($A199="","",IF(COUNTIFS(attestations!$B$2:$B$2000,$A199,attestations!$I$2:$I$2000,"Georeferenced map GCP")&gt;0,"Y","N"))</f>
        <v>N</v>
      </c>
      <c r="V199" t="s">
        <v>210</v>
      </c>
      <c r="W199" t="s">
        <v>222</v>
      </c>
      <c r="X199" t="s">
        <v>1015</v>
      </c>
      <c r="Y199" t="s">
        <v>212</v>
      </c>
    </row>
    <row r="200" spans="1:26" x14ac:dyDescent="0.2">
      <c r="A200" t="s">
        <v>1016</v>
      </c>
      <c r="B200" t="s">
        <v>1017</v>
      </c>
      <c r="C200" t="s">
        <v>1018</v>
      </c>
      <c r="D200" t="s">
        <v>343</v>
      </c>
      <c r="E200" t="s">
        <v>227</v>
      </c>
      <c r="F200" t="s">
        <v>227</v>
      </c>
      <c r="G200" t="s">
        <v>339</v>
      </c>
      <c r="H200" t="s">
        <v>242</v>
      </c>
      <c r="I200" t="s">
        <v>356</v>
      </c>
      <c r="K200" t="s">
        <v>208</v>
      </c>
      <c r="L200" t="s">
        <v>222</v>
      </c>
      <c r="M200" t="str">
        <f t="shared" si="6"/>
        <v>Solid point</v>
      </c>
      <c r="N200">
        <v>200</v>
      </c>
      <c r="O200">
        <f>IF($A200="","",COUNTIF(attestations!$B$2:$B$2000,$A200))</f>
        <v>5</v>
      </c>
      <c r="P200">
        <f>IF($A200="","",COUNTIFS(attestations!$B$2:$B$2000,$A200,attestations!$R$2:$R$2000,"Map"))</f>
        <v>0</v>
      </c>
      <c r="Q200">
        <f>IF($A200="","",COUNTIFS(attestations!$B$2:$B$2000,$A200,attestations!$R$2:$R$2000,"Image"))</f>
        <v>0</v>
      </c>
      <c r="R200">
        <f>IF($A200="","",COUNTIFS(attestations!$B$2:$B$2000,$A200,attestations!$R$2:$R$2000,"Textual"))</f>
        <v>0</v>
      </c>
      <c r="S200">
        <f>IF($A200="","",COUNTIFS(attestations!$B$2:$B$2000,$A200,attestations!$D$2:$D$2000,"Geometry (Setting)"))</f>
        <v>1</v>
      </c>
      <c r="T200" t="str">
        <f t="shared" si="7"/>
        <v>Medium</v>
      </c>
      <c r="U200" t="str">
        <f>IF($A200="","",IF(COUNTIFS(attestations!$B$2:$B$2000,$A200,attestations!$I$2:$I$2000,"Georeferenced map GCP")&gt;0,"Y","N"))</f>
        <v>N</v>
      </c>
      <c r="V200" t="s">
        <v>1019</v>
      </c>
      <c r="W200" t="s">
        <v>222</v>
      </c>
      <c r="X200" t="s">
        <v>1020</v>
      </c>
      <c r="Y200" t="s">
        <v>294</v>
      </c>
      <c r="Z200" t="s">
        <v>434</v>
      </c>
    </row>
    <row r="201" spans="1:26" x14ac:dyDescent="0.2">
      <c r="A201" t="s">
        <v>1021</v>
      </c>
      <c r="B201" t="s">
        <v>1022</v>
      </c>
      <c r="D201" t="s">
        <v>1023</v>
      </c>
      <c r="E201" t="s">
        <v>227</v>
      </c>
      <c r="F201" t="s">
        <v>227</v>
      </c>
      <c r="G201" t="s">
        <v>1024</v>
      </c>
      <c r="H201" t="s">
        <v>242</v>
      </c>
      <c r="I201" t="s">
        <v>1025</v>
      </c>
      <c r="K201" t="s">
        <v>227</v>
      </c>
      <c r="L201" t="s">
        <v>222</v>
      </c>
      <c r="M201" t="str">
        <f t="shared" si="6"/>
        <v>Solid point</v>
      </c>
      <c r="N201">
        <v>250</v>
      </c>
      <c r="O201">
        <f>IF($A201="","",COUNTIF(attestations!$B$2:$B$2000,$A201))</f>
        <v>3</v>
      </c>
      <c r="P201">
        <f>IF($A201="","",COUNTIFS(attestations!$B$2:$B$2000,$A201,attestations!$R$2:$R$2000,"Map"))</f>
        <v>0</v>
      </c>
      <c r="Q201">
        <f>IF($A201="","",COUNTIFS(attestations!$B$2:$B$2000,$A201,attestations!$R$2:$R$2000,"Image"))</f>
        <v>0</v>
      </c>
      <c r="R201">
        <f>IF($A201="","",COUNTIFS(attestations!$B$2:$B$2000,$A201,attestations!$R$2:$R$2000,"Textual"))</f>
        <v>0</v>
      </c>
      <c r="S201">
        <f>IF($A201="","",COUNTIFS(attestations!$B$2:$B$2000,$A201,attestations!$D$2:$D$2000,"Geometry (Setting)"))</f>
        <v>1</v>
      </c>
      <c r="T201" t="str">
        <f t="shared" si="7"/>
        <v>Medium</v>
      </c>
      <c r="U201" t="str">
        <f>IF($A201="","",IF(COUNTIFS(attestations!$B$2:$B$2000,$A201,attestations!$I$2:$I$2000,"Georeferenced map GCP")&gt;0,"Y","N"))</f>
        <v>N</v>
      </c>
      <c r="V201" t="s">
        <v>210</v>
      </c>
      <c r="W201" t="s">
        <v>228</v>
      </c>
      <c r="X201" t="s">
        <v>1026</v>
      </c>
      <c r="Y201" t="s">
        <v>294</v>
      </c>
      <c r="Z201" t="s">
        <v>349</v>
      </c>
    </row>
    <row r="202" spans="1:26" x14ac:dyDescent="0.2">
      <c r="A202" t="s">
        <v>1027</v>
      </c>
      <c r="B202" t="s">
        <v>1028</v>
      </c>
      <c r="C202" t="s">
        <v>873</v>
      </c>
      <c r="D202" t="s">
        <v>308</v>
      </c>
      <c r="E202" t="s">
        <v>202</v>
      </c>
      <c r="F202" t="s">
        <v>203</v>
      </c>
      <c r="G202" t="s">
        <v>339</v>
      </c>
      <c r="H202" t="s">
        <v>309</v>
      </c>
      <c r="I202" t="s">
        <v>881</v>
      </c>
      <c r="J202" t="s">
        <v>1029</v>
      </c>
      <c r="K202" t="s">
        <v>227</v>
      </c>
      <c r="L202" t="s">
        <v>227</v>
      </c>
      <c r="M202" t="str">
        <f t="shared" si="6"/>
        <v>Unplotted (unlocated panel)</v>
      </c>
      <c r="O202">
        <f>IF($A202="","",COUNTIF(attestations!$B$2:$B$2000,$A202))</f>
        <v>2</v>
      </c>
      <c r="P202">
        <f>IF($A202="","",COUNTIFS(attestations!$B$2:$B$2000,$A202,attestations!$R$2:$R$2000,"Map"))</f>
        <v>0</v>
      </c>
      <c r="Q202">
        <f>IF($A202="","",COUNTIFS(attestations!$B$2:$B$2000,$A202,attestations!$R$2:$R$2000,"Image"))</f>
        <v>0</v>
      </c>
      <c r="R202">
        <f>IF($A202="","",COUNTIFS(attestations!$B$2:$B$2000,$A202,attestations!$R$2:$R$2000,"Textual"))</f>
        <v>0</v>
      </c>
      <c r="S202">
        <f>IF($A202="","",COUNTIFS(attestations!$B$2:$B$2000,$A202,attestations!$D$2:$D$2000,"Geometry (Setting)"))</f>
        <v>0</v>
      </c>
      <c r="T202" t="str">
        <f t="shared" si="7"/>
        <v>Low</v>
      </c>
      <c r="U202" t="str">
        <f>IF($A202="","",IF(COUNTIFS(attestations!$B$2:$B$2000,$A202,attestations!$I$2:$I$2000,"Georeferenced map GCP")&gt;0,"Y","N"))</f>
        <v>N</v>
      </c>
      <c r="V202" t="s">
        <v>210</v>
      </c>
      <c r="W202" t="s">
        <v>222</v>
      </c>
      <c r="X202" t="s">
        <v>1030</v>
      </c>
      <c r="Y202" t="s">
        <v>312</v>
      </c>
      <c r="Z202" t="s">
        <v>245</v>
      </c>
    </row>
    <row r="203" spans="1:26" x14ac:dyDescent="0.2">
      <c r="A203" t="s">
        <v>1031</v>
      </c>
      <c r="B203" t="s">
        <v>1032</v>
      </c>
      <c r="D203" t="s">
        <v>226</v>
      </c>
      <c r="E203" t="s">
        <v>202</v>
      </c>
      <c r="F203" t="s">
        <v>575</v>
      </c>
      <c r="G203" t="s">
        <v>204</v>
      </c>
      <c r="H203" t="s">
        <v>205</v>
      </c>
      <c r="I203" t="s">
        <v>624</v>
      </c>
      <c r="J203" t="s">
        <v>497</v>
      </c>
      <c r="K203" t="s">
        <v>278</v>
      </c>
      <c r="L203" t="s">
        <v>209</v>
      </c>
      <c r="M203" t="str">
        <f t="shared" si="6"/>
        <v>Translucent area</v>
      </c>
      <c r="O203">
        <f>IF($A203="","",COUNTIF(attestations!$B$2:$B$2000,$A203))</f>
        <v>2</v>
      </c>
      <c r="P203">
        <f>IF($A203="","",COUNTIFS(attestations!$B$2:$B$2000,$A203,attestations!$R$2:$R$2000,"Map"))</f>
        <v>0</v>
      </c>
      <c r="Q203">
        <f>IF($A203="","",COUNTIFS(attestations!$B$2:$B$2000,$A203,attestations!$R$2:$R$2000,"Image"))</f>
        <v>0</v>
      </c>
      <c r="R203">
        <f>IF($A203="","",COUNTIFS(attestations!$B$2:$B$2000,$A203,attestations!$R$2:$R$2000,"Textual"))</f>
        <v>0</v>
      </c>
      <c r="S203">
        <f>IF($A203="","",COUNTIFS(attestations!$B$2:$B$2000,$A203,attestations!$D$2:$D$2000,"Geometry (Setting)"))</f>
        <v>0</v>
      </c>
      <c r="T203" t="str">
        <f t="shared" si="7"/>
        <v>Low</v>
      </c>
      <c r="U203" t="str">
        <f>IF($A203="","",IF(COUNTIFS(attestations!$B$2:$B$2000,$A203,attestations!$I$2:$I$2000,"Georeferenced map GCP")&gt;0,"Y","N"))</f>
        <v>N</v>
      </c>
      <c r="V203" t="s">
        <v>210</v>
      </c>
      <c r="W203" t="s">
        <v>209</v>
      </c>
      <c r="X203" t="s">
        <v>1033</v>
      </c>
      <c r="Y203" t="s">
        <v>212</v>
      </c>
    </row>
    <row r="204" spans="1:26" x14ac:dyDescent="0.2">
      <c r="A204" t="s">
        <v>1034</v>
      </c>
      <c r="B204" t="s">
        <v>923</v>
      </c>
      <c r="D204" t="s">
        <v>226</v>
      </c>
      <c r="E204" t="s">
        <v>202</v>
      </c>
      <c r="F204" t="s">
        <v>575</v>
      </c>
      <c r="G204" t="s">
        <v>204</v>
      </c>
      <c r="H204" t="s">
        <v>205</v>
      </c>
      <c r="I204" t="s">
        <v>624</v>
      </c>
      <c r="J204" t="s">
        <v>497</v>
      </c>
      <c r="K204" t="s">
        <v>278</v>
      </c>
      <c r="L204" t="s">
        <v>209</v>
      </c>
      <c r="M204" t="str">
        <f t="shared" si="6"/>
        <v>Translucent area</v>
      </c>
      <c r="O204">
        <f>IF($A204="","",COUNTIF(attestations!$B$2:$B$2000,$A204))</f>
        <v>0</v>
      </c>
      <c r="P204">
        <f>IF($A204="","",COUNTIFS(attestations!$B$2:$B$2000,$A204,attestations!$R$2:$R$2000,"Map"))</f>
        <v>0</v>
      </c>
      <c r="Q204">
        <f>IF($A204="","",COUNTIFS(attestations!$B$2:$B$2000,$A204,attestations!$R$2:$R$2000,"Image"))</f>
        <v>0</v>
      </c>
      <c r="R204">
        <f>IF($A204="","",COUNTIFS(attestations!$B$2:$B$2000,$A204,attestations!$R$2:$R$2000,"Textual"))</f>
        <v>0</v>
      </c>
      <c r="S204">
        <f>IF($A204="","",COUNTIFS(attestations!$B$2:$B$2000,$A204,attestations!$D$2:$D$2000,"Geometry (Setting)"))</f>
        <v>0</v>
      </c>
      <c r="T204" t="str">
        <f t="shared" si="7"/>
        <v>None</v>
      </c>
      <c r="U204" t="str">
        <f>IF($A204="","",IF(COUNTIFS(attestations!$B$2:$B$2000,$A204,attestations!$I$2:$I$2000,"Georeferenced map GCP")&gt;0,"Y","N"))</f>
        <v>N</v>
      </c>
      <c r="V204" t="s">
        <v>303</v>
      </c>
      <c r="W204" t="s">
        <v>209</v>
      </c>
      <c r="X204" t="s">
        <v>1035</v>
      </c>
      <c r="Y204" t="s">
        <v>212</v>
      </c>
    </row>
    <row r="205" spans="1:26" x14ac:dyDescent="0.2">
      <c r="A205" t="s">
        <v>1036</v>
      </c>
      <c r="B205" t="s">
        <v>1037</v>
      </c>
      <c r="C205" t="s">
        <v>1038</v>
      </c>
      <c r="D205" t="s">
        <v>226</v>
      </c>
      <c r="E205" t="s">
        <v>202</v>
      </c>
      <c r="F205" t="s">
        <v>575</v>
      </c>
      <c r="G205" t="s">
        <v>204</v>
      </c>
      <c r="H205" t="s">
        <v>205</v>
      </c>
      <c r="I205" t="s">
        <v>624</v>
      </c>
      <c r="J205" t="s">
        <v>497</v>
      </c>
      <c r="K205" t="s">
        <v>278</v>
      </c>
      <c r="L205" t="s">
        <v>209</v>
      </c>
      <c r="M205" t="str">
        <f t="shared" si="6"/>
        <v>Translucent area</v>
      </c>
      <c r="O205">
        <f>IF($A205="","",COUNTIF(attestations!$B$2:$B$2000,$A205))</f>
        <v>2</v>
      </c>
      <c r="P205">
        <f>IF($A205="","",COUNTIFS(attestations!$B$2:$B$2000,$A205,attestations!$R$2:$R$2000,"Map"))</f>
        <v>0</v>
      </c>
      <c r="Q205">
        <f>IF($A205="","",COUNTIFS(attestations!$B$2:$B$2000,$A205,attestations!$R$2:$R$2000,"Image"))</f>
        <v>0</v>
      </c>
      <c r="R205">
        <f>IF($A205="","",COUNTIFS(attestations!$B$2:$B$2000,$A205,attestations!$R$2:$R$2000,"Textual"))</f>
        <v>0</v>
      </c>
      <c r="S205">
        <f>IF($A205="","",COUNTIFS(attestations!$B$2:$B$2000,$A205,attestations!$D$2:$D$2000,"Geometry (Setting)"))</f>
        <v>0</v>
      </c>
      <c r="T205" t="str">
        <f t="shared" si="7"/>
        <v>Low</v>
      </c>
      <c r="U205" t="str">
        <f>IF($A205="","",IF(COUNTIFS(attestations!$B$2:$B$2000,$A205,attestations!$I$2:$I$2000,"Georeferenced map GCP")&gt;0,"Y","N"))</f>
        <v>N</v>
      </c>
      <c r="V205" t="s">
        <v>210</v>
      </c>
      <c r="W205" t="s">
        <v>209</v>
      </c>
      <c r="X205" t="s">
        <v>1039</v>
      </c>
      <c r="Y205" t="s">
        <v>212</v>
      </c>
    </row>
    <row r="206" spans="1:26" x14ac:dyDescent="0.2">
      <c r="A206" t="s">
        <v>1040</v>
      </c>
      <c r="B206" t="s">
        <v>1041</v>
      </c>
      <c r="D206" t="s">
        <v>226</v>
      </c>
      <c r="E206" t="s">
        <v>202</v>
      </c>
      <c r="F206" t="s">
        <v>575</v>
      </c>
      <c r="G206" t="s">
        <v>204</v>
      </c>
      <c r="H206" t="s">
        <v>205</v>
      </c>
      <c r="I206" t="s">
        <v>624</v>
      </c>
      <c r="J206" t="s">
        <v>497</v>
      </c>
      <c r="K206" t="s">
        <v>278</v>
      </c>
      <c r="L206" t="s">
        <v>209</v>
      </c>
      <c r="M206" t="str">
        <f t="shared" si="6"/>
        <v>Translucent area</v>
      </c>
      <c r="O206">
        <f>IF($A206="","",COUNTIF(attestations!$B$2:$B$2000,$A206))</f>
        <v>2</v>
      </c>
      <c r="P206">
        <f>IF($A206="","",COUNTIFS(attestations!$B$2:$B$2000,$A206,attestations!$R$2:$R$2000,"Map"))</f>
        <v>0</v>
      </c>
      <c r="Q206">
        <f>IF($A206="","",COUNTIFS(attestations!$B$2:$B$2000,$A206,attestations!$R$2:$R$2000,"Image"))</f>
        <v>0</v>
      </c>
      <c r="R206">
        <f>IF($A206="","",COUNTIFS(attestations!$B$2:$B$2000,$A206,attestations!$R$2:$R$2000,"Textual"))</f>
        <v>0</v>
      </c>
      <c r="S206">
        <f>IF($A206="","",COUNTIFS(attestations!$B$2:$B$2000,$A206,attestations!$D$2:$D$2000,"Geometry (Setting)"))</f>
        <v>0</v>
      </c>
      <c r="T206" t="str">
        <f t="shared" si="7"/>
        <v>Low</v>
      </c>
      <c r="U206" t="str">
        <f>IF($A206="","",IF(COUNTIFS(attestations!$B$2:$B$2000,$A206,attestations!$I$2:$I$2000,"Georeferenced map GCP")&gt;0,"Y","N"))</f>
        <v>N</v>
      </c>
      <c r="V206" t="s">
        <v>210</v>
      </c>
      <c r="W206" t="s">
        <v>209</v>
      </c>
      <c r="X206" t="s">
        <v>1042</v>
      </c>
      <c r="Y206" t="s">
        <v>212</v>
      </c>
    </row>
    <row r="207" spans="1:26" x14ac:dyDescent="0.2">
      <c r="A207" t="s">
        <v>1043</v>
      </c>
      <c r="B207" t="s">
        <v>927</v>
      </c>
      <c r="D207" t="s">
        <v>226</v>
      </c>
      <c r="E207" t="s">
        <v>202</v>
      </c>
      <c r="F207" t="s">
        <v>575</v>
      </c>
      <c r="G207" t="s">
        <v>204</v>
      </c>
      <c r="H207" t="s">
        <v>205</v>
      </c>
      <c r="I207" t="s">
        <v>624</v>
      </c>
      <c r="J207" t="s">
        <v>497</v>
      </c>
      <c r="K207" t="s">
        <v>278</v>
      </c>
      <c r="L207" t="s">
        <v>209</v>
      </c>
      <c r="M207" t="str">
        <f t="shared" si="6"/>
        <v>Translucent area</v>
      </c>
      <c r="O207">
        <f>IF($A207="","",COUNTIF(attestations!$B$2:$B$2000,$A207))</f>
        <v>0</v>
      </c>
      <c r="P207">
        <f>IF($A207="","",COUNTIFS(attestations!$B$2:$B$2000,$A207,attestations!$R$2:$R$2000,"Map"))</f>
        <v>0</v>
      </c>
      <c r="Q207">
        <f>IF($A207="","",COUNTIFS(attestations!$B$2:$B$2000,$A207,attestations!$R$2:$R$2000,"Image"))</f>
        <v>0</v>
      </c>
      <c r="R207">
        <f>IF($A207="","",COUNTIFS(attestations!$B$2:$B$2000,$A207,attestations!$R$2:$R$2000,"Textual"))</f>
        <v>0</v>
      </c>
      <c r="S207">
        <f>IF($A207="","",COUNTIFS(attestations!$B$2:$B$2000,$A207,attestations!$D$2:$D$2000,"Geometry (Setting)"))</f>
        <v>0</v>
      </c>
      <c r="T207" t="str">
        <f t="shared" si="7"/>
        <v>None</v>
      </c>
      <c r="U207" t="str">
        <f>IF($A207="","",IF(COUNTIFS(attestations!$B$2:$B$2000,$A207,attestations!$I$2:$I$2000,"Georeferenced map GCP")&gt;0,"Y","N"))</f>
        <v>N</v>
      </c>
      <c r="V207" t="s">
        <v>303</v>
      </c>
      <c r="W207" t="s">
        <v>209</v>
      </c>
      <c r="X207" t="s">
        <v>1044</v>
      </c>
      <c r="Y207" t="s">
        <v>212</v>
      </c>
    </row>
    <row r="208" spans="1:26" x14ac:dyDescent="0.2">
      <c r="A208" t="s">
        <v>1045</v>
      </c>
      <c r="B208" t="s">
        <v>1046</v>
      </c>
      <c r="C208" t="s">
        <v>873</v>
      </c>
      <c r="D208" t="s">
        <v>308</v>
      </c>
      <c r="E208" t="s">
        <v>227</v>
      </c>
      <c r="F208" t="s">
        <v>227</v>
      </c>
      <c r="G208" t="s">
        <v>339</v>
      </c>
      <c r="H208" t="s">
        <v>309</v>
      </c>
      <c r="I208" t="s">
        <v>1047</v>
      </c>
      <c r="K208" t="s">
        <v>227</v>
      </c>
      <c r="L208" t="s">
        <v>227</v>
      </c>
      <c r="M208" t="str">
        <f t="shared" si="6"/>
        <v>Unplotted (unlocated panel)</v>
      </c>
      <c r="O208">
        <f>IF($A208="","",COUNTIF(attestations!$B$2:$B$2000,$A208))</f>
        <v>0</v>
      </c>
      <c r="P208">
        <f>IF($A208="","",COUNTIFS(attestations!$B$2:$B$2000,$A208,attestations!$R$2:$R$2000,"Map"))</f>
        <v>0</v>
      </c>
      <c r="Q208">
        <f>IF($A208="","",COUNTIFS(attestations!$B$2:$B$2000,$A208,attestations!$R$2:$R$2000,"Image"))</f>
        <v>0</v>
      </c>
      <c r="R208">
        <f>IF($A208="","",COUNTIFS(attestations!$B$2:$B$2000,$A208,attestations!$R$2:$R$2000,"Textual"))</f>
        <v>0</v>
      </c>
      <c r="S208">
        <f>IF($A208="","",COUNTIFS(attestations!$B$2:$B$2000,$A208,attestations!$D$2:$D$2000,"Geometry (Setting)"))</f>
        <v>0</v>
      </c>
      <c r="T208" t="str">
        <f t="shared" si="7"/>
        <v>None</v>
      </c>
      <c r="U208" t="str">
        <f>IF($A208="","",IF(COUNTIFS(attestations!$B$2:$B$2000,$A208,attestations!$I$2:$I$2000,"Georeferenced map GCP")&gt;0,"Y","N"))</f>
        <v>N</v>
      </c>
      <c r="V208" t="s">
        <v>210</v>
      </c>
      <c r="X208" t="s">
        <v>1048</v>
      </c>
      <c r="Y208" t="s">
        <v>312</v>
      </c>
      <c r="Z208" t="s">
        <v>376</v>
      </c>
    </row>
    <row r="209" spans="1:26" x14ac:dyDescent="0.2">
      <c r="A209" t="s">
        <v>1049</v>
      </c>
      <c r="B209" t="s">
        <v>1050</v>
      </c>
      <c r="D209" t="s">
        <v>347</v>
      </c>
      <c r="E209" t="s">
        <v>255</v>
      </c>
      <c r="F209" t="s">
        <v>256</v>
      </c>
      <c r="G209" t="s">
        <v>268</v>
      </c>
      <c r="H209" t="s">
        <v>269</v>
      </c>
      <c r="I209" t="s">
        <v>715</v>
      </c>
      <c r="J209" t="s">
        <v>264</v>
      </c>
      <c r="K209" t="s">
        <v>278</v>
      </c>
      <c r="L209" t="s">
        <v>227</v>
      </c>
      <c r="M209" t="str">
        <f t="shared" si="6"/>
        <v>Unplotted (unlocated panel)</v>
      </c>
      <c r="O209">
        <f>IF($A209="","",COUNTIF(attestations!$B$2:$B$2000,$A209))</f>
        <v>0</v>
      </c>
      <c r="P209">
        <f>IF($A209="","",COUNTIFS(attestations!$B$2:$B$2000,$A209,attestations!$R$2:$R$2000,"Map"))</f>
        <v>0</v>
      </c>
      <c r="Q209">
        <f>IF($A209="","",COUNTIFS(attestations!$B$2:$B$2000,$A209,attestations!$R$2:$R$2000,"Image"))</f>
        <v>0</v>
      </c>
      <c r="R209">
        <f>IF($A209="","",COUNTIFS(attestations!$B$2:$B$2000,$A209,attestations!$R$2:$R$2000,"Textual"))</f>
        <v>0</v>
      </c>
      <c r="S209">
        <f>IF($A209="","",COUNTIFS(attestations!$B$2:$B$2000,$A209,attestations!$D$2:$D$2000,"Geometry (Setting)"))</f>
        <v>0</v>
      </c>
      <c r="T209" t="str">
        <f t="shared" si="7"/>
        <v>None</v>
      </c>
      <c r="U209" t="str">
        <f>IF($A209="","",IF(COUNTIFS(attestations!$B$2:$B$2000,$A209,attestations!$I$2:$I$2000,"Georeferenced map GCP")&gt;0,"Y","N"))</f>
        <v>N</v>
      </c>
      <c r="V209" t="s">
        <v>210</v>
      </c>
      <c r="X209" t="s">
        <v>1051</v>
      </c>
      <c r="Y209" t="s">
        <v>305</v>
      </c>
      <c r="Z209" t="s">
        <v>266</v>
      </c>
    </row>
    <row r="210" spans="1:26" x14ac:dyDescent="0.2">
      <c r="A210" t="s">
        <v>1052</v>
      </c>
      <c r="B210" t="s">
        <v>1053</v>
      </c>
      <c r="D210" t="s">
        <v>318</v>
      </c>
      <c r="E210" t="s">
        <v>255</v>
      </c>
      <c r="F210" t="s">
        <v>256</v>
      </c>
      <c r="G210" t="s">
        <v>319</v>
      </c>
      <c r="H210" t="s">
        <v>242</v>
      </c>
      <c r="I210" t="s">
        <v>1054</v>
      </c>
      <c r="J210" t="s">
        <v>264</v>
      </c>
      <c r="K210" t="s">
        <v>227</v>
      </c>
      <c r="L210" t="s">
        <v>227</v>
      </c>
      <c r="M210" t="str">
        <f t="shared" si="6"/>
        <v>Unplotted (unlocated panel)</v>
      </c>
      <c r="O210">
        <f>IF($A210="","",COUNTIF(attestations!$B$2:$B$2000,$A210))</f>
        <v>0</v>
      </c>
      <c r="P210">
        <f>IF($A210="","",COUNTIFS(attestations!$B$2:$B$2000,$A210,attestations!$R$2:$R$2000,"Map"))</f>
        <v>0</v>
      </c>
      <c r="Q210">
        <f>IF($A210="","",COUNTIFS(attestations!$B$2:$B$2000,$A210,attestations!$R$2:$R$2000,"Image"))</f>
        <v>0</v>
      </c>
      <c r="R210">
        <f>IF($A210="","",COUNTIFS(attestations!$B$2:$B$2000,$A210,attestations!$R$2:$R$2000,"Textual"))</f>
        <v>0</v>
      </c>
      <c r="S210">
        <f>IF($A210="","",COUNTIFS(attestations!$B$2:$B$2000,$A210,attestations!$D$2:$D$2000,"Geometry (Setting)"))</f>
        <v>0</v>
      </c>
      <c r="T210" t="str">
        <f t="shared" si="7"/>
        <v>None</v>
      </c>
      <c r="U210" t="str">
        <f>IF($A210="","",IF(COUNTIFS(attestations!$B$2:$B$2000,$A210,attestations!$I$2:$I$2000,"Georeferenced map GCP")&gt;0,"Y","N"))</f>
        <v>N</v>
      </c>
      <c r="V210" t="s">
        <v>988</v>
      </c>
      <c r="X210" t="s">
        <v>1055</v>
      </c>
      <c r="Y210" t="s">
        <v>305</v>
      </c>
      <c r="Z210" t="s">
        <v>266</v>
      </c>
    </row>
    <row r="211" spans="1:26" x14ac:dyDescent="0.2">
      <c r="A211" t="s">
        <v>1056</v>
      </c>
      <c r="B211" t="s">
        <v>1057</v>
      </c>
      <c r="C211" t="s">
        <v>1058</v>
      </c>
      <c r="D211" t="s">
        <v>677</v>
      </c>
      <c r="E211" t="s">
        <v>255</v>
      </c>
      <c r="F211" t="s">
        <v>256</v>
      </c>
      <c r="G211" t="s">
        <v>257</v>
      </c>
      <c r="H211" t="s">
        <v>242</v>
      </c>
      <c r="I211" t="s">
        <v>710</v>
      </c>
      <c r="J211" t="s">
        <v>1059</v>
      </c>
      <c r="K211" t="s">
        <v>278</v>
      </c>
      <c r="L211" t="s">
        <v>228</v>
      </c>
      <c r="M211" t="str">
        <f t="shared" si="6"/>
        <v>Point + buffer</v>
      </c>
      <c r="N211">
        <v>200</v>
      </c>
      <c r="O211">
        <f>IF($A211="","",COUNTIF(attestations!$B$2:$B$2000,$A211))</f>
        <v>0</v>
      </c>
      <c r="P211">
        <f>IF($A211="","",COUNTIFS(attestations!$B$2:$B$2000,$A211,attestations!$R$2:$R$2000,"Map"))</f>
        <v>0</v>
      </c>
      <c r="Q211">
        <f>IF($A211="","",COUNTIFS(attestations!$B$2:$B$2000,$A211,attestations!$R$2:$R$2000,"Image"))</f>
        <v>0</v>
      </c>
      <c r="R211">
        <f>IF($A211="","",COUNTIFS(attestations!$B$2:$B$2000,$A211,attestations!$R$2:$R$2000,"Textual"))</f>
        <v>0</v>
      </c>
      <c r="S211">
        <f>IF($A211="","",COUNTIFS(attestations!$B$2:$B$2000,$A211,attestations!$D$2:$D$2000,"Geometry (Setting)"))</f>
        <v>0</v>
      </c>
      <c r="T211" t="str">
        <f t="shared" si="7"/>
        <v>None</v>
      </c>
      <c r="U211" t="str">
        <f>IF($A211="","",IF(COUNTIFS(attestations!$B$2:$B$2000,$A211,attestations!$I$2:$I$2000,"Georeferenced map GCP")&gt;0,"Y","N"))</f>
        <v>N</v>
      </c>
      <c r="V211" t="s">
        <v>210</v>
      </c>
      <c r="X211" t="s">
        <v>1060</v>
      </c>
      <c r="Y211" t="s">
        <v>333</v>
      </c>
      <c r="Z211" t="s">
        <v>261</v>
      </c>
    </row>
    <row r="212" spans="1:26" x14ac:dyDescent="0.2">
      <c r="A212" t="s">
        <v>1061</v>
      </c>
      <c r="B212" t="s">
        <v>1062</v>
      </c>
      <c r="D212" t="s">
        <v>226</v>
      </c>
      <c r="E212" t="s">
        <v>255</v>
      </c>
      <c r="F212" t="s">
        <v>256</v>
      </c>
      <c r="G212" t="s">
        <v>204</v>
      </c>
      <c r="H212" t="s">
        <v>205</v>
      </c>
      <c r="I212" t="s">
        <v>1063</v>
      </c>
      <c r="J212" t="s">
        <v>1059</v>
      </c>
      <c r="K212" t="s">
        <v>278</v>
      </c>
      <c r="L212" t="s">
        <v>227</v>
      </c>
      <c r="M212" t="str">
        <f t="shared" si="6"/>
        <v>Unplotted (unlocated panel)</v>
      </c>
      <c r="O212">
        <f>IF($A212="","",COUNTIF(attestations!$B$2:$B$2000,$A212))</f>
        <v>0</v>
      </c>
      <c r="P212">
        <f>IF($A212="","",COUNTIFS(attestations!$B$2:$B$2000,$A212,attestations!$R$2:$R$2000,"Map"))</f>
        <v>0</v>
      </c>
      <c r="Q212">
        <f>IF($A212="","",COUNTIFS(attestations!$B$2:$B$2000,$A212,attestations!$R$2:$R$2000,"Image"))</f>
        <v>0</v>
      </c>
      <c r="R212">
        <f>IF($A212="","",COUNTIFS(attestations!$B$2:$B$2000,$A212,attestations!$R$2:$R$2000,"Textual"))</f>
        <v>0</v>
      </c>
      <c r="S212">
        <f>IF($A212="","",COUNTIFS(attestations!$B$2:$B$2000,$A212,attestations!$D$2:$D$2000,"Geometry (Setting)"))</f>
        <v>0</v>
      </c>
      <c r="T212" t="str">
        <f t="shared" si="7"/>
        <v>None</v>
      </c>
      <c r="U212" t="str">
        <f>IF($A212="","",IF(COUNTIFS(attestations!$B$2:$B$2000,$A212,attestations!$I$2:$I$2000,"Georeferenced map GCP")&gt;0,"Y","N"))</f>
        <v>N</v>
      </c>
      <c r="V212" t="s">
        <v>988</v>
      </c>
      <c r="X212" t="s">
        <v>1064</v>
      </c>
      <c r="Y212" t="s">
        <v>212</v>
      </c>
    </row>
    <row r="213" spans="1:26" x14ac:dyDescent="0.2">
      <c r="A213" t="s">
        <v>1065</v>
      </c>
      <c r="B213" t="s">
        <v>1066</v>
      </c>
      <c r="D213" t="s">
        <v>1011</v>
      </c>
      <c r="E213" t="s">
        <v>255</v>
      </c>
      <c r="F213" t="s">
        <v>256</v>
      </c>
      <c r="G213" t="s">
        <v>257</v>
      </c>
      <c r="H213" t="s">
        <v>242</v>
      </c>
      <c r="I213" t="s">
        <v>1063</v>
      </c>
      <c r="J213" t="s">
        <v>1059</v>
      </c>
      <c r="K213" t="s">
        <v>278</v>
      </c>
      <c r="L213" t="s">
        <v>227</v>
      </c>
      <c r="M213" t="str">
        <f t="shared" si="6"/>
        <v>Unplotted (unlocated panel)</v>
      </c>
      <c r="O213">
        <f>IF($A213="","",COUNTIF(attestations!$B$2:$B$2000,$A213))</f>
        <v>0</v>
      </c>
      <c r="P213">
        <f>IF($A213="","",COUNTIFS(attestations!$B$2:$B$2000,$A213,attestations!$R$2:$R$2000,"Map"))</f>
        <v>0</v>
      </c>
      <c r="Q213">
        <f>IF($A213="","",COUNTIFS(attestations!$B$2:$B$2000,$A213,attestations!$R$2:$R$2000,"Image"))</f>
        <v>0</v>
      </c>
      <c r="R213">
        <f>IF($A213="","",COUNTIFS(attestations!$B$2:$B$2000,$A213,attestations!$R$2:$R$2000,"Textual"))</f>
        <v>0</v>
      </c>
      <c r="S213">
        <f>IF($A213="","",COUNTIFS(attestations!$B$2:$B$2000,$A213,attestations!$D$2:$D$2000,"Geometry (Setting)"))</f>
        <v>0</v>
      </c>
      <c r="T213" t="str">
        <f t="shared" si="7"/>
        <v>None</v>
      </c>
      <c r="U213" t="str">
        <f>IF($A213="","",IF(COUNTIFS(attestations!$B$2:$B$2000,$A213,attestations!$I$2:$I$2000,"Georeferenced map GCP")&gt;0,"Y","N"))</f>
        <v>N</v>
      </c>
      <c r="V213" t="s">
        <v>988</v>
      </c>
      <c r="X213" t="s">
        <v>1067</v>
      </c>
      <c r="Y213" t="s">
        <v>212</v>
      </c>
    </row>
    <row r="214" spans="1:26" x14ac:dyDescent="0.2">
      <c r="A214" t="s">
        <v>1068</v>
      </c>
      <c r="B214" t="s">
        <v>1069</v>
      </c>
      <c r="C214" t="s">
        <v>1070</v>
      </c>
      <c r="D214" t="s">
        <v>1011</v>
      </c>
      <c r="E214" t="s">
        <v>255</v>
      </c>
      <c r="F214" t="s">
        <v>256</v>
      </c>
      <c r="G214" t="s">
        <v>257</v>
      </c>
      <c r="H214" t="s">
        <v>242</v>
      </c>
      <c r="I214" t="s">
        <v>1063</v>
      </c>
      <c r="J214" t="s">
        <v>1059</v>
      </c>
      <c r="K214" t="s">
        <v>278</v>
      </c>
      <c r="L214" t="s">
        <v>227</v>
      </c>
      <c r="M214" t="str">
        <f t="shared" si="6"/>
        <v>Unplotted (unlocated panel)</v>
      </c>
      <c r="O214">
        <f>IF($A214="","",COUNTIF(attestations!$B$2:$B$2000,$A214))</f>
        <v>0</v>
      </c>
      <c r="P214">
        <f>IF($A214="","",COUNTIFS(attestations!$B$2:$B$2000,$A214,attestations!$R$2:$R$2000,"Map"))</f>
        <v>0</v>
      </c>
      <c r="Q214">
        <f>IF($A214="","",COUNTIFS(attestations!$B$2:$B$2000,$A214,attestations!$R$2:$R$2000,"Image"))</f>
        <v>0</v>
      </c>
      <c r="R214">
        <f>IF($A214="","",COUNTIFS(attestations!$B$2:$B$2000,$A214,attestations!$R$2:$R$2000,"Textual"))</f>
        <v>0</v>
      </c>
      <c r="S214">
        <f>IF($A214="","",COUNTIFS(attestations!$B$2:$B$2000,$A214,attestations!$D$2:$D$2000,"Geometry (Setting)"))</f>
        <v>0</v>
      </c>
      <c r="T214" t="str">
        <f t="shared" si="7"/>
        <v>None</v>
      </c>
      <c r="U214" t="str">
        <f>IF($A214="","",IF(COUNTIFS(attestations!$B$2:$B$2000,$A214,attestations!$I$2:$I$2000,"Georeferenced map GCP")&gt;0,"Y","N"))</f>
        <v>N</v>
      </c>
      <c r="V214" t="s">
        <v>988</v>
      </c>
      <c r="X214" t="s">
        <v>1071</v>
      </c>
      <c r="Y214" t="s">
        <v>212</v>
      </c>
    </row>
    <row r="215" spans="1:26" x14ac:dyDescent="0.2">
      <c r="A215" t="s">
        <v>1072</v>
      </c>
      <c r="B215" t="s">
        <v>1073</v>
      </c>
      <c r="D215" t="s">
        <v>226</v>
      </c>
      <c r="E215" t="s">
        <v>255</v>
      </c>
      <c r="F215" t="s">
        <v>256</v>
      </c>
      <c r="G215" t="s">
        <v>204</v>
      </c>
      <c r="H215" t="s">
        <v>205</v>
      </c>
      <c r="I215" t="s">
        <v>1063</v>
      </c>
      <c r="J215" t="s">
        <v>1059</v>
      </c>
      <c r="K215" t="s">
        <v>278</v>
      </c>
      <c r="L215" t="s">
        <v>227</v>
      </c>
      <c r="M215" t="str">
        <f t="shared" si="6"/>
        <v>Unplotted (unlocated panel)</v>
      </c>
      <c r="O215">
        <f>IF($A215="","",COUNTIF(attestations!$B$2:$B$2000,$A215))</f>
        <v>0</v>
      </c>
      <c r="P215">
        <f>IF($A215="","",COUNTIFS(attestations!$B$2:$B$2000,$A215,attestations!$R$2:$R$2000,"Map"))</f>
        <v>0</v>
      </c>
      <c r="Q215">
        <f>IF($A215="","",COUNTIFS(attestations!$B$2:$B$2000,$A215,attestations!$R$2:$R$2000,"Image"))</f>
        <v>0</v>
      </c>
      <c r="R215">
        <f>IF($A215="","",COUNTIFS(attestations!$B$2:$B$2000,$A215,attestations!$R$2:$R$2000,"Textual"))</f>
        <v>0</v>
      </c>
      <c r="S215">
        <f>IF($A215="","",COUNTIFS(attestations!$B$2:$B$2000,$A215,attestations!$D$2:$D$2000,"Geometry (Setting)"))</f>
        <v>0</v>
      </c>
      <c r="T215" t="str">
        <f t="shared" si="7"/>
        <v>None</v>
      </c>
      <c r="U215" t="str">
        <f>IF($A215="","",IF(COUNTIFS(attestations!$B$2:$B$2000,$A215,attestations!$I$2:$I$2000,"Georeferenced map GCP")&gt;0,"Y","N"))</f>
        <v>N</v>
      </c>
      <c r="V215" t="s">
        <v>988</v>
      </c>
      <c r="X215" t="s">
        <v>1074</v>
      </c>
      <c r="Y215" t="s">
        <v>212</v>
      </c>
    </row>
    <row r="216" spans="1:26" x14ac:dyDescent="0.2">
      <c r="A216" t="s">
        <v>1075</v>
      </c>
      <c r="B216" t="s">
        <v>1076</v>
      </c>
      <c r="D216" t="s">
        <v>728</v>
      </c>
      <c r="E216" t="s">
        <v>227</v>
      </c>
      <c r="F216" t="s">
        <v>227</v>
      </c>
      <c r="G216" t="s">
        <v>319</v>
      </c>
      <c r="H216" t="s">
        <v>1077</v>
      </c>
      <c r="I216" t="s">
        <v>1078</v>
      </c>
      <c r="K216" t="s">
        <v>227</v>
      </c>
      <c r="L216" t="s">
        <v>227</v>
      </c>
      <c r="M216" t="str">
        <f t="shared" si="6"/>
        <v>Unplotted (unlocated panel)</v>
      </c>
      <c r="O216">
        <f>IF($A216="","",COUNTIF(attestations!$B$2:$B$2000,$A216))</f>
        <v>0</v>
      </c>
      <c r="P216">
        <f>IF($A216="","",COUNTIFS(attestations!$B$2:$B$2000,$A216,attestations!$R$2:$R$2000,"Map"))</f>
        <v>0</v>
      </c>
      <c r="Q216">
        <f>IF($A216="","",COUNTIFS(attestations!$B$2:$B$2000,$A216,attestations!$R$2:$R$2000,"Image"))</f>
        <v>0</v>
      </c>
      <c r="R216">
        <f>IF($A216="","",COUNTIFS(attestations!$B$2:$B$2000,$A216,attestations!$R$2:$R$2000,"Textual"))</f>
        <v>0</v>
      </c>
      <c r="S216">
        <f>IF($A216="","",COUNTIFS(attestations!$B$2:$B$2000,$A216,attestations!$D$2:$D$2000,"Geometry (Setting)"))</f>
        <v>0</v>
      </c>
      <c r="T216" t="str">
        <f t="shared" si="7"/>
        <v>None</v>
      </c>
      <c r="U216" t="str">
        <f>IF($A216="","",IF(COUNTIFS(attestations!$B$2:$B$2000,$A216,attestations!$I$2:$I$2000,"Georeferenced map GCP")&gt;0,"Y","N"))</f>
        <v>N</v>
      </c>
      <c r="V216" t="s">
        <v>210</v>
      </c>
      <c r="X216" t="s">
        <v>1079</v>
      </c>
      <c r="Y216" t="s">
        <v>212</v>
      </c>
    </row>
    <row r="217" spans="1:26" x14ac:dyDescent="0.2">
      <c r="A217" t="s">
        <v>1080</v>
      </c>
      <c r="B217" t="s">
        <v>1081</v>
      </c>
      <c r="D217" t="s">
        <v>419</v>
      </c>
      <c r="E217" t="s">
        <v>326</v>
      </c>
      <c r="G217" t="s">
        <v>1024</v>
      </c>
      <c r="H217" t="s">
        <v>1077</v>
      </c>
      <c r="I217" t="s">
        <v>1082</v>
      </c>
      <c r="K217" t="s">
        <v>278</v>
      </c>
      <c r="L217" t="s">
        <v>227</v>
      </c>
      <c r="M217" t="str">
        <f t="shared" si="6"/>
        <v>Unplotted (unlocated panel)</v>
      </c>
      <c r="O217">
        <f>IF($A217="","",COUNTIF(attestations!$B$2:$B$2000,$A217))</f>
        <v>0</v>
      </c>
      <c r="P217">
        <f>IF($A217="","",COUNTIFS(attestations!$B$2:$B$2000,$A217,attestations!$R$2:$R$2000,"Map"))</f>
        <v>0</v>
      </c>
      <c r="Q217">
        <f>IF($A217="","",COUNTIFS(attestations!$B$2:$B$2000,$A217,attestations!$R$2:$R$2000,"Image"))</f>
        <v>0</v>
      </c>
      <c r="R217">
        <f>IF($A217="","",COUNTIFS(attestations!$B$2:$B$2000,$A217,attestations!$R$2:$R$2000,"Textual"))</f>
        <v>0</v>
      </c>
      <c r="S217">
        <f>IF($A217="","",COUNTIFS(attestations!$B$2:$B$2000,$A217,attestations!$D$2:$D$2000,"Geometry (Setting)"))</f>
        <v>0</v>
      </c>
      <c r="T217" t="str">
        <f t="shared" si="7"/>
        <v>None</v>
      </c>
      <c r="U217" t="str">
        <f>IF($A217="","",IF(COUNTIFS(attestations!$B$2:$B$2000,$A217,attestations!$I$2:$I$2000,"Georeferenced map GCP")&gt;0,"Y","N"))</f>
        <v>N</v>
      </c>
      <c r="V217" t="s">
        <v>988</v>
      </c>
      <c r="X217" t="s">
        <v>1083</v>
      </c>
      <c r="Y217" t="s">
        <v>294</v>
      </c>
    </row>
    <row r="218" spans="1:26" x14ac:dyDescent="0.2">
      <c r="A218" t="s">
        <v>1084</v>
      </c>
      <c r="B218" t="s">
        <v>1085</v>
      </c>
      <c r="D218" t="s">
        <v>419</v>
      </c>
      <c r="E218" t="s">
        <v>326</v>
      </c>
      <c r="G218" t="s">
        <v>1024</v>
      </c>
      <c r="H218" t="s">
        <v>1077</v>
      </c>
      <c r="I218" t="s">
        <v>1082</v>
      </c>
      <c r="K218" t="s">
        <v>278</v>
      </c>
      <c r="L218" t="s">
        <v>227</v>
      </c>
      <c r="M218" t="str">
        <f t="shared" si="6"/>
        <v>Unplotted (unlocated panel)</v>
      </c>
      <c r="O218">
        <f>IF($A218="","",COUNTIF(attestations!$B$2:$B$2000,$A218))</f>
        <v>0</v>
      </c>
      <c r="P218">
        <f>IF($A218="","",COUNTIFS(attestations!$B$2:$B$2000,$A218,attestations!$R$2:$R$2000,"Map"))</f>
        <v>0</v>
      </c>
      <c r="Q218">
        <f>IF($A218="","",COUNTIFS(attestations!$B$2:$B$2000,$A218,attestations!$R$2:$R$2000,"Image"))</f>
        <v>0</v>
      </c>
      <c r="R218">
        <f>IF($A218="","",COUNTIFS(attestations!$B$2:$B$2000,$A218,attestations!$R$2:$R$2000,"Textual"))</f>
        <v>0</v>
      </c>
      <c r="S218">
        <f>IF($A218="","",COUNTIFS(attestations!$B$2:$B$2000,$A218,attestations!$D$2:$D$2000,"Geometry (Setting)"))</f>
        <v>0</v>
      </c>
      <c r="T218" t="str">
        <f t="shared" si="7"/>
        <v>None</v>
      </c>
      <c r="U218" t="str">
        <f>IF($A218="","",IF(COUNTIFS(attestations!$B$2:$B$2000,$A218,attestations!$I$2:$I$2000,"Georeferenced map GCP")&gt;0,"Y","N"))</f>
        <v>N</v>
      </c>
      <c r="V218" t="s">
        <v>988</v>
      </c>
      <c r="X218" t="s">
        <v>1086</v>
      </c>
      <c r="Y218" t="s">
        <v>294</v>
      </c>
    </row>
    <row r="219" spans="1:26" x14ac:dyDescent="0.2">
      <c r="A219" t="s">
        <v>1087</v>
      </c>
      <c r="B219" t="s">
        <v>1088</v>
      </c>
      <c r="C219" t="s">
        <v>1089</v>
      </c>
      <c r="D219" t="s">
        <v>215</v>
      </c>
      <c r="E219" t="s">
        <v>326</v>
      </c>
      <c r="G219" t="s">
        <v>204</v>
      </c>
      <c r="H219" t="s">
        <v>205</v>
      </c>
      <c r="I219" t="s">
        <v>1082</v>
      </c>
      <c r="K219" t="s">
        <v>278</v>
      </c>
      <c r="L219" t="s">
        <v>227</v>
      </c>
      <c r="M219" t="str">
        <f t="shared" si="6"/>
        <v>Unplotted (unlocated panel)</v>
      </c>
      <c r="O219">
        <f>IF($A219="","",COUNTIF(attestations!$B$2:$B$2000,$A219))</f>
        <v>0</v>
      </c>
      <c r="P219">
        <f>IF($A219="","",COUNTIFS(attestations!$B$2:$B$2000,$A219,attestations!$R$2:$R$2000,"Map"))</f>
        <v>0</v>
      </c>
      <c r="Q219">
        <f>IF($A219="","",COUNTIFS(attestations!$B$2:$B$2000,$A219,attestations!$R$2:$R$2000,"Image"))</f>
        <v>0</v>
      </c>
      <c r="R219">
        <f>IF($A219="","",COUNTIFS(attestations!$B$2:$B$2000,$A219,attestations!$R$2:$R$2000,"Textual"))</f>
        <v>0</v>
      </c>
      <c r="S219">
        <f>IF($A219="","",COUNTIFS(attestations!$B$2:$B$2000,$A219,attestations!$D$2:$D$2000,"Geometry (Setting)"))</f>
        <v>0</v>
      </c>
      <c r="T219" t="str">
        <f t="shared" si="7"/>
        <v>None</v>
      </c>
      <c r="U219" t="str">
        <f>IF($A219="","",IF(COUNTIFS(attestations!$B$2:$B$2000,$A219,attestations!$I$2:$I$2000,"Georeferenced map GCP")&gt;0,"Y","N"))</f>
        <v>N</v>
      </c>
      <c r="V219" t="s">
        <v>210</v>
      </c>
      <c r="X219" t="s">
        <v>1090</v>
      </c>
      <c r="Y219" t="s">
        <v>212</v>
      </c>
    </row>
    <row r="220" spans="1:26" x14ac:dyDescent="0.2">
      <c r="A220" t="s">
        <v>1091</v>
      </c>
      <c r="B220" t="s">
        <v>1092</v>
      </c>
      <c r="C220" t="s">
        <v>1093</v>
      </c>
      <c r="D220" t="s">
        <v>215</v>
      </c>
      <c r="E220" t="s">
        <v>326</v>
      </c>
      <c r="G220" t="s">
        <v>204</v>
      </c>
      <c r="H220" t="s">
        <v>205</v>
      </c>
      <c r="I220" t="s">
        <v>1082</v>
      </c>
      <c r="K220" t="s">
        <v>278</v>
      </c>
      <c r="L220" t="s">
        <v>227</v>
      </c>
      <c r="M220" t="str">
        <f t="shared" si="6"/>
        <v>Unplotted (unlocated panel)</v>
      </c>
      <c r="O220">
        <f>IF($A220="","",COUNTIF(attestations!$B$2:$B$2000,$A220))</f>
        <v>0</v>
      </c>
      <c r="P220">
        <f>IF($A220="","",COUNTIFS(attestations!$B$2:$B$2000,$A220,attestations!$R$2:$R$2000,"Map"))</f>
        <v>0</v>
      </c>
      <c r="Q220">
        <f>IF($A220="","",COUNTIFS(attestations!$B$2:$B$2000,$A220,attestations!$R$2:$R$2000,"Image"))</f>
        <v>0</v>
      </c>
      <c r="R220">
        <f>IF($A220="","",COUNTIFS(attestations!$B$2:$B$2000,$A220,attestations!$R$2:$R$2000,"Textual"))</f>
        <v>0</v>
      </c>
      <c r="S220">
        <f>IF($A220="","",COUNTIFS(attestations!$B$2:$B$2000,$A220,attestations!$D$2:$D$2000,"Geometry (Setting)"))</f>
        <v>0</v>
      </c>
      <c r="T220" t="str">
        <f t="shared" si="7"/>
        <v>None</v>
      </c>
      <c r="U220" t="str">
        <f>IF($A220="","",IF(COUNTIFS(attestations!$B$2:$B$2000,$A220,attestations!$I$2:$I$2000,"Georeferenced map GCP")&gt;0,"Y","N"))</f>
        <v>N</v>
      </c>
      <c r="V220" t="s">
        <v>210</v>
      </c>
      <c r="X220" t="s">
        <v>1094</v>
      </c>
      <c r="Y220" t="s">
        <v>212</v>
      </c>
    </row>
    <row r="221" spans="1:26" x14ac:dyDescent="0.2">
      <c r="A221" t="s">
        <v>1095</v>
      </c>
      <c r="B221" t="s">
        <v>1096</v>
      </c>
      <c r="C221" t="s">
        <v>1097</v>
      </c>
      <c r="D221" t="s">
        <v>215</v>
      </c>
      <c r="E221" t="s">
        <v>326</v>
      </c>
      <c r="G221" t="s">
        <v>204</v>
      </c>
      <c r="H221" t="s">
        <v>205</v>
      </c>
      <c r="I221" t="s">
        <v>1082</v>
      </c>
      <c r="K221" t="s">
        <v>278</v>
      </c>
      <c r="L221" t="s">
        <v>227</v>
      </c>
      <c r="M221" t="str">
        <f t="shared" si="6"/>
        <v>Unplotted (unlocated panel)</v>
      </c>
      <c r="O221">
        <f>IF($A221="","",COUNTIF(attestations!$B$2:$B$2000,$A221))</f>
        <v>0</v>
      </c>
      <c r="P221">
        <f>IF($A221="","",COUNTIFS(attestations!$B$2:$B$2000,$A221,attestations!$R$2:$R$2000,"Map"))</f>
        <v>0</v>
      </c>
      <c r="Q221">
        <f>IF($A221="","",COUNTIFS(attestations!$B$2:$B$2000,$A221,attestations!$R$2:$R$2000,"Image"))</f>
        <v>0</v>
      </c>
      <c r="R221">
        <f>IF($A221="","",COUNTIFS(attestations!$B$2:$B$2000,$A221,attestations!$R$2:$R$2000,"Textual"))</f>
        <v>0</v>
      </c>
      <c r="S221">
        <f>IF($A221="","",COUNTIFS(attestations!$B$2:$B$2000,$A221,attestations!$D$2:$D$2000,"Geometry (Setting)"))</f>
        <v>0</v>
      </c>
      <c r="T221" t="str">
        <f t="shared" si="7"/>
        <v>None</v>
      </c>
      <c r="U221" t="str">
        <f>IF($A221="","",IF(COUNTIFS(attestations!$B$2:$B$2000,$A221,attestations!$I$2:$I$2000,"Georeferenced map GCP")&gt;0,"Y","N"))</f>
        <v>N</v>
      </c>
      <c r="V221" t="s">
        <v>210</v>
      </c>
      <c r="X221" t="s">
        <v>1098</v>
      </c>
      <c r="Y221" t="s">
        <v>212</v>
      </c>
    </row>
    <row r="222" spans="1:26" x14ac:dyDescent="0.2">
      <c r="A222" t="s">
        <v>1099</v>
      </c>
      <c r="B222" t="s">
        <v>1100</v>
      </c>
      <c r="C222" t="s">
        <v>1101</v>
      </c>
      <c r="D222" t="s">
        <v>215</v>
      </c>
      <c r="E222" t="s">
        <v>326</v>
      </c>
      <c r="G222" t="s">
        <v>204</v>
      </c>
      <c r="H222" t="s">
        <v>205</v>
      </c>
      <c r="I222" t="s">
        <v>1082</v>
      </c>
      <c r="K222" t="s">
        <v>278</v>
      </c>
      <c r="L222" t="s">
        <v>227</v>
      </c>
      <c r="M222" t="str">
        <f t="shared" si="6"/>
        <v>Unplotted (unlocated panel)</v>
      </c>
      <c r="O222">
        <f>IF($A222="","",COUNTIF(attestations!$B$2:$B$2000,$A222))</f>
        <v>0</v>
      </c>
      <c r="P222">
        <f>IF($A222="","",COUNTIFS(attestations!$B$2:$B$2000,$A222,attestations!$R$2:$R$2000,"Map"))</f>
        <v>0</v>
      </c>
      <c r="Q222">
        <f>IF($A222="","",COUNTIFS(attestations!$B$2:$B$2000,$A222,attestations!$R$2:$R$2000,"Image"))</f>
        <v>0</v>
      </c>
      <c r="R222">
        <f>IF($A222="","",COUNTIFS(attestations!$B$2:$B$2000,$A222,attestations!$R$2:$R$2000,"Textual"))</f>
        <v>0</v>
      </c>
      <c r="S222">
        <f>IF($A222="","",COUNTIFS(attestations!$B$2:$B$2000,$A222,attestations!$D$2:$D$2000,"Geometry (Setting)"))</f>
        <v>0</v>
      </c>
      <c r="T222" t="str">
        <f t="shared" si="7"/>
        <v>None</v>
      </c>
      <c r="U222" t="str">
        <f>IF($A222="","",IF(COUNTIFS(attestations!$B$2:$B$2000,$A222,attestations!$I$2:$I$2000,"Georeferenced map GCP")&gt;0,"Y","N"))</f>
        <v>N</v>
      </c>
      <c r="V222" t="s">
        <v>210</v>
      </c>
      <c r="X222" t="s">
        <v>1102</v>
      </c>
      <c r="Y222" t="s">
        <v>212</v>
      </c>
    </row>
    <row r="223" spans="1:26" x14ac:dyDescent="0.2">
      <c r="A223" t="s">
        <v>1103</v>
      </c>
      <c r="B223" t="s">
        <v>1104</v>
      </c>
      <c r="D223" t="s">
        <v>325</v>
      </c>
      <c r="E223" t="s">
        <v>326</v>
      </c>
      <c r="G223" t="s">
        <v>333</v>
      </c>
      <c r="H223" t="s">
        <v>269</v>
      </c>
      <c r="I223" t="s">
        <v>1082</v>
      </c>
      <c r="K223" t="s">
        <v>278</v>
      </c>
      <c r="L223" t="s">
        <v>227</v>
      </c>
      <c r="M223" t="str">
        <f t="shared" si="6"/>
        <v>Unplotted (unlocated panel)</v>
      </c>
      <c r="O223">
        <f>IF($A223="","",COUNTIF(attestations!$B$2:$B$2000,$A223))</f>
        <v>0</v>
      </c>
      <c r="P223">
        <f>IF($A223="","",COUNTIFS(attestations!$B$2:$B$2000,$A223,attestations!$R$2:$R$2000,"Map"))</f>
        <v>0</v>
      </c>
      <c r="Q223">
        <f>IF($A223="","",COUNTIFS(attestations!$B$2:$B$2000,$A223,attestations!$R$2:$R$2000,"Image"))</f>
        <v>0</v>
      </c>
      <c r="R223">
        <f>IF($A223="","",COUNTIFS(attestations!$B$2:$B$2000,$A223,attestations!$R$2:$R$2000,"Textual"))</f>
        <v>0</v>
      </c>
      <c r="S223">
        <f>IF($A223="","",COUNTIFS(attestations!$B$2:$B$2000,$A223,attestations!$D$2:$D$2000,"Geometry (Setting)"))</f>
        <v>0</v>
      </c>
      <c r="T223" t="str">
        <f t="shared" si="7"/>
        <v>None</v>
      </c>
      <c r="U223" t="str">
        <f>IF($A223="","",IF(COUNTIFS(attestations!$B$2:$B$2000,$A223,attestations!$I$2:$I$2000,"Georeferenced map GCP")&gt;0,"Y","N"))</f>
        <v>N</v>
      </c>
      <c r="V223" t="s">
        <v>988</v>
      </c>
      <c r="X223" t="s">
        <v>1105</v>
      </c>
      <c r="Y223" t="s">
        <v>212</v>
      </c>
    </row>
    <row r="224" spans="1:26" x14ac:dyDescent="0.2">
      <c r="A224" t="s">
        <v>1106</v>
      </c>
      <c r="B224" t="s">
        <v>1107</v>
      </c>
      <c r="D224" t="s">
        <v>215</v>
      </c>
      <c r="E224" t="s">
        <v>326</v>
      </c>
      <c r="G224" t="s">
        <v>333</v>
      </c>
      <c r="H224" t="s">
        <v>242</v>
      </c>
      <c r="I224" t="s">
        <v>1082</v>
      </c>
      <c r="K224" t="s">
        <v>278</v>
      </c>
      <c r="L224" t="s">
        <v>227</v>
      </c>
      <c r="M224" t="str">
        <f t="shared" si="6"/>
        <v>Unplotted (unlocated panel)</v>
      </c>
      <c r="O224">
        <f>IF($A224="","",COUNTIF(attestations!$B$2:$B$2000,$A224))</f>
        <v>0</v>
      </c>
      <c r="P224">
        <f>IF($A224="","",COUNTIFS(attestations!$B$2:$B$2000,$A224,attestations!$R$2:$R$2000,"Map"))</f>
        <v>0</v>
      </c>
      <c r="Q224">
        <f>IF($A224="","",COUNTIFS(attestations!$B$2:$B$2000,$A224,attestations!$R$2:$R$2000,"Image"))</f>
        <v>0</v>
      </c>
      <c r="R224">
        <f>IF($A224="","",COUNTIFS(attestations!$B$2:$B$2000,$A224,attestations!$R$2:$R$2000,"Textual"))</f>
        <v>0</v>
      </c>
      <c r="S224">
        <f>IF($A224="","",COUNTIFS(attestations!$B$2:$B$2000,$A224,attestations!$D$2:$D$2000,"Geometry (Setting)"))</f>
        <v>0</v>
      </c>
      <c r="T224" t="str">
        <f t="shared" si="7"/>
        <v>None</v>
      </c>
      <c r="U224" t="str">
        <f>IF($A224="","",IF(COUNTIFS(attestations!$B$2:$B$2000,$A224,attestations!$I$2:$I$2000,"Georeferenced map GCP")&gt;0,"Y","N"))</f>
        <v>N</v>
      </c>
      <c r="V224" t="s">
        <v>988</v>
      </c>
      <c r="X224" t="s">
        <v>1108</v>
      </c>
      <c r="Y224" t="s">
        <v>212</v>
      </c>
    </row>
    <row r="225" spans="1:26" x14ac:dyDescent="0.2">
      <c r="A225" t="s">
        <v>1109</v>
      </c>
      <c r="B225" t="s">
        <v>1110</v>
      </c>
      <c r="D225" t="s">
        <v>325</v>
      </c>
      <c r="E225" t="s">
        <v>326</v>
      </c>
      <c r="G225" t="s">
        <v>268</v>
      </c>
      <c r="H225" t="s">
        <v>269</v>
      </c>
      <c r="I225" t="s">
        <v>1082</v>
      </c>
      <c r="K225" t="s">
        <v>278</v>
      </c>
      <c r="L225" t="s">
        <v>227</v>
      </c>
      <c r="M225" t="str">
        <f t="shared" si="6"/>
        <v>Unplotted (unlocated panel)</v>
      </c>
      <c r="O225">
        <f>IF($A225="","",COUNTIF(attestations!$B$2:$B$2000,$A225))</f>
        <v>0</v>
      </c>
      <c r="P225">
        <f>IF($A225="","",COUNTIFS(attestations!$B$2:$B$2000,$A225,attestations!$R$2:$R$2000,"Map"))</f>
        <v>0</v>
      </c>
      <c r="Q225">
        <f>IF($A225="","",COUNTIFS(attestations!$B$2:$B$2000,$A225,attestations!$R$2:$R$2000,"Image"))</f>
        <v>0</v>
      </c>
      <c r="R225">
        <f>IF($A225="","",COUNTIFS(attestations!$B$2:$B$2000,$A225,attestations!$R$2:$R$2000,"Textual"))</f>
        <v>0</v>
      </c>
      <c r="S225">
        <f>IF($A225="","",COUNTIFS(attestations!$B$2:$B$2000,$A225,attestations!$D$2:$D$2000,"Geometry (Setting)"))</f>
        <v>0</v>
      </c>
      <c r="T225" t="str">
        <f t="shared" si="7"/>
        <v>None</v>
      </c>
      <c r="U225" t="str">
        <f>IF($A225="","",IF(COUNTIFS(attestations!$B$2:$B$2000,$A225,attestations!$I$2:$I$2000,"Georeferenced map GCP")&gt;0,"Y","N"))</f>
        <v>N</v>
      </c>
      <c r="V225" t="s">
        <v>988</v>
      </c>
      <c r="X225" t="s">
        <v>1111</v>
      </c>
      <c r="Y225" t="s">
        <v>212</v>
      </c>
      <c r="Z225" t="s">
        <v>388</v>
      </c>
    </row>
    <row r="226" spans="1:26" x14ac:dyDescent="0.2">
      <c r="A226" t="s">
        <v>1112</v>
      </c>
      <c r="B226" t="s">
        <v>1113</v>
      </c>
      <c r="D226" t="s">
        <v>325</v>
      </c>
      <c r="E226" t="s">
        <v>326</v>
      </c>
      <c r="G226" t="s">
        <v>268</v>
      </c>
      <c r="H226" t="s">
        <v>242</v>
      </c>
      <c r="I226" t="s">
        <v>1082</v>
      </c>
      <c r="K226" t="s">
        <v>278</v>
      </c>
      <c r="L226" t="s">
        <v>227</v>
      </c>
      <c r="M226" t="str">
        <f t="shared" si="6"/>
        <v>Unplotted (unlocated panel)</v>
      </c>
      <c r="O226">
        <f>IF($A226="","",COUNTIF(attestations!$B$2:$B$2000,$A226))</f>
        <v>0</v>
      </c>
      <c r="P226">
        <f>IF($A226="","",COUNTIFS(attestations!$B$2:$B$2000,$A226,attestations!$R$2:$R$2000,"Map"))</f>
        <v>0</v>
      </c>
      <c r="Q226">
        <f>IF($A226="","",COUNTIFS(attestations!$B$2:$B$2000,$A226,attestations!$R$2:$R$2000,"Image"))</f>
        <v>0</v>
      </c>
      <c r="R226">
        <f>IF($A226="","",COUNTIFS(attestations!$B$2:$B$2000,$A226,attestations!$R$2:$R$2000,"Textual"))</f>
        <v>0</v>
      </c>
      <c r="S226">
        <f>IF($A226="","",COUNTIFS(attestations!$B$2:$B$2000,$A226,attestations!$D$2:$D$2000,"Geometry (Setting)"))</f>
        <v>0</v>
      </c>
      <c r="T226" t="str">
        <f t="shared" si="7"/>
        <v>None</v>
      </c>
      <c r="U226" t="str">
        <f>IF($A226="","",IF(COUNTIFS(attestations!$B$2:$B$2000,$A226,attestations!$I$2:$I$2000,"Georeferenced map GCP")&gt;0,"Y","N"))</f>
        <v>N</v>
      </c>
      <c r="V226" t="s">
        <v>988</v>
      </c>
      <c r="X226" t="s">
        <v>1114</v>
      </c>
      <c r="Y226" t="s">
        <v>212</v>
      </c>
      <c r="Z226" t="s">
        <v>388</v>
      </c>
    </row>
    <row r="227" spans="1:26" x14ac:dyDescent="0.2">
      <c r="A227" t="s">
        <v>1115</v>
      </c>
      <c r="B227" t="s">
        <v>1116</v>
      </c>
      <c r="D227" t="s">
        <v>419</v>
      </c>
      <c r="E227" t="s">
        <v>326</v>
      </c>
      <c r="G227" t="s">
        <v>1024</v>
      </c>
      <c r="H227" t="s">
        <v>1077</v>
      </c>
      <c r="I227" t="s">
        <v>1082</v>
      </c>
      <c r="K227" t="s">
        <v>278</v>
      </c>
      <c r="L227" t="s">
        <v>227</v>
      </c>
      <c r="M227" t="str">
        <f t="shared" si="6"/>
        <v>Unplotted (unlocated panel)</v>
      </c>
      <c r="O227">
        <f>IF($A227="","",COUNTIF(attestations!$B$2:$B$2000,$A227))</f>
        <v>0</v>
      </c>
      <c r="P227">
        <f>IF($A227="","",COUNTIFS(attestations!$B$2:$B$2000,$A227,attestations!$R$2:$R$2000,"Map"))</f>
        <v>0</v>
      </c>
      <c r="Q227">
        <f>IF($A227="","",COUNTIFS(attestations!$B$2:$B$2000,$A227,attestations!$R$2:$R$2000,"Image"))</f>
        <v>0</v>
      </c>
      <c r="R227">
        <f>IF($A227="","",COUNTIFS(attestations!$B$2:$B$2000,$A227,attestations!$R$2:$R$2000,"Textual"))</f>
        <v>0</v>
      </c>
      <c r="S227">
        <f>IF($A227="","",COUNTIFS(attestations!$B$2:$B$2000,$A227,attestations!$D$2:$D$2000,"Geometry (Setting)"))</f>
        <v>0</v>
      </c>
      <c r="T227" t="str">
        <f t="shared" si="7"/>
        <v>None</v>
      </c>
      <c r="U227" t="str">
        <f>IF($A227="","",IF(COUNTIFS(attestations!$B$2:$B$2000,$A227,attestations!$I$2:$I$2000,"Georeferenced map GCP")&gt;0,"Y","N"))</f>
        <v>N</v>
      </c>
      <c r="V227" t="s">
        <v>988</v>
      </c>
      <c r="X227" t="s">
        <v>1117</v>
      </c>
      <c r="Y227" t="s">
        <v>294</v>
      </c>
    </row>
    <row r="228" spans="1:26" x14ac:dyDescent="0.2">
      <c r="A228" t="s">
        <v>1118</v>
      </c>
      <c r="B228" t="s">
        <v>1119</v>
      </c>
      <c r="C228" t="s">
        <v>1120</v>
      </c>
      <c r="D228" t="s">
        <v>419</v>
      </c>
      <c r="E228" t="s">
        <v>326</v>
      </c>
      <c r="G228" t="s">
        <v>1024</v>
      </c>
      <c r="H228" t="s">
        <v>1077</v>
      </c>
      <c r="I228" t="s">
        <v>1082</v>
      </c>
      <c r="K228" t="s">
        <v>278</v>
      </c>
      <c r="L228" t="s">
        <v>227</v>
      </c>
      <c r="M228" t="str">
        <f t="shared" si="6"/>
        <v>Unplotted (unlocated panel)</v>
      </c>
      <c r="O228">
        <f>IF($A228="","",COUNTIF(attestations!$B$2:$B$2000,$A228))</f>
        <v>0</v>
      </c>
      <c r="P228">
        <f>IF($A228="","",COUNTIFS(attestations!$B$2:$B$2000,$A228,attestations!$R$2:$R$2000,"Map"))</f>
        <v>0</v>
      </c>
      <c r="Q228">
        <f>IF($A228="","",COUNTIFS(attestations!$B$2:$B$2000,$A228,attestations!$R$2:$R$2000,"Image"))</f>
        <v>0</v>
      </c>
      <c r="R228">
        <f>IF($A228="","",COUNTIFS(attestations!$B$2:$B$2000,$A228,attestations!$R$2:$R$2000,"Textual"))</f>
        <v>0</v>
      </c>
      <c r="S228">
        <f>IF($A228="","",COUNTIFS(attestations!$B$2:$B$2000,$A228,attestations!$D$2:$D$2000,"Geometry (Setting)"))</f>
        <v>0</v>
      </c>
      <c r="T228" t="str">
        <f t="shared" si="7"/>
        <v>None</v>
      </c>
      <c r="U228" t="str">
        <f>IF($A228="","",IF(COUNTIFS(attestations!$B$2:$B$2000,$A228,attestations!$I$2:$I$2000,"Georeferenced map GCP")&gt;0,"Y","N"))</f>
        <v>N</v>
      </c>
      <c r="V228" t="s">
        <v>988</v>
      </c>
      <c r="X228" t="s">
        <v>1121</v>
      </c>
      <c r="Y228" t="s">
        <v>294</v>
      </c>
    </row>
    <row r="229" spans="1:26" x14ac:dyDescent="0.2">
      <c r="A229" t="s">
        <v>1122</v>
      </c>
      <c r="B229" t="s">
        <v>1123</v>
      </c>
      <c r="D229" t="s">
        <v>325</v>
      </c>
      <c r="E229" t="s">
        <v>326</v>
      </c>
      <c r="G229" t="s">
        <v>268</v>
      </c>
      <c r="H229" t="s">
        <v>269</v>
      </c>
      <c r="I229" t="s">
        <v>1124</v>
      </c>
      <c r="K229" t="s">
        <v>278</v>
      </c>
      <c r="L229" t="s">
        <v>227</v>
      </c>
      <c r="M229" t="str">
        <f t="shared" si="6"/>
        <v>Unplotted (unlocated panel)</v>
      </c>
      <c r="O229">
        <f>IF($A229="","",COUNTIF(attestations!$B$2:$B$2000,$A229))</f>
        <v>0</v>
      </c>
      <c r="P229">
        <f>IF($A229="","",COUNTIFS(attestations!$B$2:$B$2000,$A229,attestations!$R$2:$R$2000,"Map"))</f>
        <v>0</v>
      </c>
      <c r="Q229">
        <f>IF($A229="","",COUNTIFS(attestations!$B$2:$B$2000,$A229,attestations!$R$2:$R$2000,"Image"))</f>
        <v>0</v>
      </c>
      <c r="R229">
        <f>IF($A229="","",COUNTIFS(attestations!$B$2:$B$2000,$A229,attestations!$R$2:$R$2000,"Textual"))</f>
        <v>0</v>
      </c>
      <c r="S229">
        <f>IF($A229="","",COUNTIFS(attestations!$B$2:$B$2000,$A229,attestations!$D$2:$D$2000,"Geometry (Setting)"))</f>
        <v>0</v>
      </c>
      <c r="T229" t="str">
        <f t="shared" si="7"/>
        <v>None</v>
      </c>
      <c r="U229" t="str">
        <f>IF($A229="","",IF(COUNTIFS(attestations!$B$2:$B$2000,$A229,attestations!$I$2:$I$2000,"Georeferenced map GCP")&gt;0,"Y","N"))</f>
        <v>N</v>
      </c>
      <c r="V229" t="s">
        <v>988</v>
      </c>
      <c r="X229" t="s">
        <v>1125</v>
      </c>
      <c r="Y229" t="s">
        <v>212</v>
      </c>
      <c r="Z229" t="s">
        <v>838</v>
      </c>
    </row>
    <row r="230" spans="1:26" x14ac:dyDescent="0.2">
      <c r="A230" t="s">
        <v>1126</v>
      </c>
      <c r="B230" t="s">
        <v>1127</v>
      </c>
      <c r="D230" t="s">
        <v>325</v>
      </c>
      <c r="E230" t="s">
        <v>326</v>
      </c>
      <c r="G230" t="s">
        <v>268</v>
      </c>
      <c r="H230" t="s">
        <v>269</v>
      </c>
      <c r="I230" t="s">
        <v>1124</v>
      </c>
      <c r="K230" t="s">
        <v>278</v>
      </c>
      <c r="L230" t="s">
        <v>227</v>
      </c>
      <c r="M230" t="str">
        <f t="shared" si="6"/>
        <v>Unplotted (unlocated panel)</v>
      </c>
      <c r="O230">
        <f>IF($A230="","",COUNTIF(attestations!$B$2:$B$2000,$A230))</f>
        <v>0</v>
      </c>
      <c r="P230">
        <f>IF($A230="","",COUNTIFS(attestations!$B$2:$B$2000,$A230,attestations!$R$2:$R$2000,"Map"))</f>
        <v>0</v>
      </c>
      <c r="Q230">
        <f>IF($A230="","",COUNTIFS(attestations!$B$2:$B$2000,$A230,attestations!$R$2:$R$2000,"Image"))</f>
        <v>0</v>
      </c>
      <c r="R230">
        <f>IF($A230="","",COUNTIFS(attestations!$B$2:$B$2000,$A230,attestations!$R$2:$R$2000,"Textual"))</f>
        <v>0</v>
      </c>
      <c r="S230">
        <f>IF($A230="","",COUNTIFS(attestations!$B$2:$B$2000,$A230,attestations!$D$2:$D$2000,"Geometry (Setting)"))</f>
        <v>0</v>
      </c>
      <c r="T230" t="str">
        <f t="shared" si="7"/>
        <v>None</v>
      </c>
      <c r="U230" t="str">
        <f>IF($A230="","",IF(COUNTIFS(attestations!$B$2:$B$2000,$A230,attestations!$I$2:$I$2000,"Georeferenced map GCP")&gt;0,"Y","N"))</f>
        <v>N</v>
      </c>
      <c r="V230" t="s">
        <v>988</v>
      </c>
      <c r="X230" t="s">
        <v>1128</v>
      </c>
      <c r="Y230" t="s">
        <v>212</v>
      </c>
    </row>
    <row r="231" spans="1:26" x14ac:dyDescent="0.2">
      <c r="A231" t="s">
        <v>1129</v>
      </c>
      <c r="B231" t="s">
        <v>1130</v>
      </c>
      <c r="C231" t="s">
        <v>1131</v>
      </c>
      <c r="D231" t="s">
        <v>308</v>
      </c>
      <c r="E231" t="s">
        <v>255</v>
      </c>
      <c r="F231" t="s">
        <v>256</v>
      </c>
      <c r="G231" t="s">
        <v>319</v>
      </c>
      <c r="H231" t="s">
        <v>242</v>
      </c>
      <c r="I231" t="s">
        <v>1063</v>
      </c>
      <c r="J231" t="s">
        <v>292</v>
      </c>
      <c r="K231" t="s">
        <v>227</v>
      </c>
      <c r="L231" t="s">
        <v>227</v>
      </c>
      <c r="M231" t="str">
        <f t="shared" si="6"/>
        <v>Unplotted (unlocated panel)</v>
      </c>
      <c r="O231">
        <f>IF($A231="","",COUNTIF(attestations!$B$2:$B$2000,$A231))</f>
        <v>0</v>
      </c>
      <c r="P231">
        <f>IF($A231="","",COUNTIFS(attestations!$B$2:$B$2000,$A231,attestations!$R$2:$R$2000,"Map"))</f>
        <v>0</v>
      </c>
      <c r="Q231">
        <f>IF($A231="","",COUNTIFS(attestations!$B$2:$B$2000,$A231,attestations!$R$2:$R$2000,"Image"))</f>
        <v>0</v>
      </c>
      <c r="R231">
        <f>IF($A231="","",COUNTIFS(attestations!$B$2:$B$2000,$A231,attestations!$R$2:$R$2000,"Textual"))</f>
        <v>0</v>
      </c>
      <c r="S231">
        <f>IF($A231="","",COUNTIFS(attestations!$B$2:$B$2000,$A231,attestations!$D$2:$D$2000,"Geometry (Setting)"))</f>
        <v>0</v>
      </c>
      <c r="T231" t="str">
        <f t="shared" si="7"/>
        <v>None</v>
      </c>
      <c r="U231" t="str">
        <f>IF($A231="","",IF(COUNTIFS(attestations!$B$2:$B$2000,$A231,attestations!$I$2:$I$2000,"Georeferenced map GCP")&gt;0,"Y","N"))</f>
        <v>N</v>
      </c>
      <c r="V231" t="s">
        <v>988</v>
      </c>
      <c r="X231" t="s">
        <v>1132</v>
      </c>
      <c r="Y231" t="s">
        <v>305</v>
      </c>
      <c r="Z231" t="s">
        <v>252</v>
      </c>
    </row>
  </sheetData>
  <dataValidations count="8">
    <dataValidation type="list" allowBlank="1" prompt="Select" sqref="E2:E600" xr:uid="{00000000-0002-0000-0200-000000000000}">
      <formula1>"Submerged,Depopulated-not flooded,Relocated,Renamed,Persists,Unknown"</formula1>
      <formula2>0</formula2>
    </dataValidation>
    <dataValidation type="list" allowBlank="1" prompt="Select" sqref="F2:F600" xr:uid="{00000000-0002-0000-0200-000001000000}">
      <formula1>"Gatun Lake flooding,Gatun Dam construction,1912 depopulation order,Railroad relocation,Other,Unknown"</formula1>
      <formula2>0</formula2>
    </dataValidation>
    <dataValidation type="list" allowBlank="1" prompt="Select" sqref="G2:G600" xr:uid="{00000000-0002-0000-0200-000002000000}">
      <formula1>"Displacement,Labor,U.S. administration,Afro-Caribbean life,Infrastructure,Other"</formula1>
      <formula2>0</formula2>
    </dataValidation>
    <dataValidation type="list" allowBlank="1" prompt="Select" sqref="H2:H600" xr:uid="{00000000-0002-0000-0200-000003000000}">
      <formula1>"Panamanian village,West Indian / Silver Roll,Gold Roll town,Mixed,Indigenous,Unknown"</formula1>
      <formula2>0</formula2>
    </dataValidation>
    <dataValidation type="list" allowBlank="1" prompt="Select" sqref="K2:K600" xr:uid="{00000000-0002-0000-0200-000004000000}">
      <formula1>"Exact,Approximate,Inferred,Unknown"</formula1>
      <formula2>0</formula2>
    </dataValidation>
    <dataValidation type="list" allowBlank="1" prompt="Select" sqref="L2:L600" xr:uid="{00000000-0002-0000-0200-000005000000}">
      <formula1>"High,Medium,Low,Disputed,Unknown"</formula1>
      <formula2>0</formula2>
    </dataValidation>
    <dataValidation type="list" allowBlank="1" prompt="Select" sqref="V2:V600" xr:uid="{00000000-0002-0000-0200-000006000000}">
      <formula1>"Candidate,Shortlisted,Included,Excluded"</formula1>
      <formula2>0</formula2>
    </dataValidation>
    <dataValidation type="list" allowBlank="1" prompt="Select" sqref="W2:W600" xr:uid="{00000000-0002-0000-0200-000007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O58"/>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11" customWidth="1"/>
    <col min="2" max="2" width="16" customWidth="1"/>
    <col min="3" max="3" width="32" customWidth="1"/>
    <col min="4" max="4" width="18" customWidth="1"/>
    <col min="5" max="5" width="11" customWidth="1"/>
    <col min="6" max="6" width="22" customWidth="1"/>
    <col min="7" max="7" width="16" customWidth="1"/>
    <col min="8" max="8" width="24" customWidth="1"/>
    <col min="9" max="9" width="16" customWidth="1"/>
    <col min="10" max="10" width="10" customWidth="1"/>
    <col min="11" max="11" width="11" customWidth="1"/>
    <col min="12" max="12" width="10" customWidth="1"/>
    <col min="13" max="13" width="20" customWidth="1"/>
    <col min="14" max="14" width="26" customWidth="1"/>
  </cols>
  <sheetData>
    <row r="1" spans="1:15" ht="33.75" customHeight="1" x14ac:dyDescent="0.2">
      <c r="A1" s="6" t="s">
        <v>1133</v>
      </c>
      <c r="B1" s="6" t="s">
        <v>1134</v>
      </c>
      <c r="C1" s="6" t="s">
        <v>1135</v>
      </c>
      <c r="D1" s="6" t="s">
        <v>1136</v>
      </c>
      <c r="E1" s="6" t="s">
        <v>1137</v>
      </c>
      <c r="F1" s="6" t="s">
        <v>1138</v>
      </c>
      <c r="G1" s="6" t="s">
        <v>1139</v>
      </c>
      <c r="H1" s="6" t="s">
        <v>1140</v>
      </c>
      <c r="I1" s="6" t="s">
        <v>1141</v>
      </c>
      <c r="J1" s="6" t="s">
        <v>1142</v>
      </c>
      <c r="K1" s="6" t="s">
        <v>1143</v>
      </c>
      <c r="L1" s="6" t="s">
        <v>1144</v>
      </c>
      <c r="M1" s="6" t="s">
        <v>1145</v>
      </c>
      <c r="N1" s="6" t="s">
        <v>195</v>
      </c>
      <c r="O1" t="s">
        <v>1146</v>
      </c>
    </row>
    <row r="2" spans="1:15" ht="23.25" customHeight="1" x14ac:dyDescent="0.2">
      <c r="A2" s="9" t="s">
        <v>1147</v>
      </c>
      <c r="B2" s="9" t="s">
        <v>1148</v>
      </c>
      <c r="C2" s="9" t="s">
        <v>1149</v>
      </c>
      <c r="D2" s="9" t="s">
        <v>1150</v>
      </c>
      <c r="E2" s="9" t="s">
        <v>1151</v>
      </c>
      <c r="F2" s="9" t="s">
        <v>1152</v>
      </c>
      <c r="G2" s="9" t="s">
        <v>1153</v>
      </c>
      <c r="H2" s="9" t="s">
        <v>1154</v>
      </c>
      <c r="I2" s="9" t="s">
        <v>242</v>
      </c>
      <c r="J2" s="9" t="s">
        <v>209</v>
      </c>
      <c r="K2" s="9" t="s">
        <v>1155</v>
      </c>
      <c r="L2" s="9"/>
      <c r="M2" s="9"/>
      <c r="N2" s="9" t="s">
        <v>1156</v>
      </c>
      <c r="O2" t="s">
        <v>1157</v>
      </c>
    </row>
    <row r="3" spans="1:15" ht="23.25" customHeight="1" x14ac:dyDescent="0.2">
      <c r="A3" s="9" t="s">
        <v>1158</v>
      </c>
      <c r="B3" s="9" t="s">
        <v>1159</v>
      </c>
      <c r="C3" s="9" t="s">
        <v>1160</v>
      </c>
      <c r="D3" s="9" t="s">
        <v>1161</v>
      </c>
      <c r="E3" s="9" t="s">
        <v>1162</v>
      </c>
      <c r="F3" s="9" t="s">
        <v>1163</v>
      </c>
      <c r="G3" s="9" t="s">
        <v>1164</v>
      </c>
      <c r="H3" s="9" t="s">
        <v>1153</v>
      </c>
      <c r="I3" s="9" t="s">
        <v>1159</v>
      </c>
      <c r="J3" s="9" t="s">
        <v>222</v>
      </c>
      <c r="K3" s="9" t="s">
        <v>1155</v>
      </c>
      <c r="L3" s="9"/>
      <c r="M3" s="9"/>
      <c r="N3" s="9" t="s">
        <v>1165</v>
      </c>
      <c r="O3" t="s">
        <v>1166</v>
      </c>
    </row>
    <row r="4" spans="1:15" ht="23.25" customHeight="1" x14ac:dyDescent="0.2">
      <c r="A4" s="9" t="s">
        <v>1167</v>
      </c>
      <c r="B4" s="9" t="s">
        <v>1168</v>
      </c>
      <c r="C4" s="9" t="s">
        <v>1169</v>
      </c>
      <c r="D4" s="9" t="s">
        <v>1170</v>
      </c>
      <c r="E4" s="9" t="s">
        <v>1171</v>
      </c>
      <c r="F4" s="9" t="s">
        <v>1172</v>
      </c>
      <c r="G4" s="9" t="s">
        <v>1153</v>
      </c>
      <c r="H4" s="9" t="s">
        <v>1173</v>
      </c>
      <c r="I4" s="9" t="s">
        <v>1174</v>
      </c>
      <c r="J4" s="9" t="s">
        <v>222</v>
      </c>
      <c r="K4" s="9" t="s">
        <v>1155</v>
      </c>
      <c r="L4" s="9"/>
      <c r="M4" s="9"/>
      <c r="N4" s="9" t="s">
        <v>1175</v>
      </c>
      <c r="O4" t="s">
        <v>1176</v>
      </c>
    </row>
    <row r="5" spans="1:15" ht="23.25" customHeight="1" x14ac:dyDescent="0.2">
      <c r="A5" s="9" t="s">
        <v>1177</v>
      </c>
      <c r="B5" s="9" t="s">
        <v>1178</v>
      </c>
      <c r="C5" s="9" t="s">
        <v>1179</v>
      </c>
      <c r="D5" s="9" t="s">
        <v>1180</v>
      </c>
      <c r="E5" s="9" t="s">
        <v>1181</v>
      </c>
      <c r="F5" s="9" t="s">
        <v>1182</v>
      </c>
      <c r="G5" s="9" t="s">
        <v>1183</v>
      </c>
      <c r="H5" s="9" t="s">
        <v>1184</v>
      </c>
      <c r="I5" s="9" t="s">
        <v>1174</v>
      </c>
      <c r="J5" s="9" t="s">
        <v>222</v>
      </c>
      <c r="K5" s="9" t="s">
        <v>1155</v>
      </c>
      <c r="L5" s="9"/>
      <c r="M5" s="9"/>
      <c r="N5" s="9" t="s">
        <v>1185</v>
      </c>
      <c r="O5" t="s">
        <v>1186</v>
      </c>
    </row>
    <row r="6" spans="1:15" ht="15" customHeight="1" x14ac:dyDescent="0.2">
      <c r="A6" s="9" t="s">
        <v>1187</v>
      </c>
      <c r="B6" s="9" t="s">
        <v>1188</v>
      </c>
      <c r="C6" s="9" t="s">
        <v>1189</v>
      </c>
      <c r="D6" s="9" t="s">
        <v>1190</v>
      </c>
      <c r="E6" s="9" t="s">
        <v>1191</v>
      </c>
      <c r="F6" s="9" t="s">
        <v>1192</v>
      </c>
      <c r="G6" s="9" t="s">
        <v>1193</v>
      </c>
      <c r="H6" s="9" t="s">
        <v>1194</v>
      </c>
      <c r="I6" s="9" t="s">
        <v>1174</v>
      </c>
      <c r="J6" s="9" t="s">
        <v>222</v>
      </c>
      <c r="K6" s="9" t="s">
        <v>1195</v>
      </c>
      <c r="L6" s="9">
        <v>250</v>
      </c>
      <c r="M6" s="9"/>
      <c r="N6" s="9" t="s">
        <v>1196</v>
      </c>
      <c r="O6" t="s">
        <v>1197</v>
      </c>
    </row>
    <row r="7" spans="1:15" ht="23.25" customHeight="1" x14ac:dyDescent="0.2">
      <c r="A7" s="9" t="s">
        <v>1198</v>
      </c>
      <c r="B7" s="9" t="s">
        <v>1188</v>
      </c>
      <c r="C7" s="9" t="s">
        <v>1199</v>
      </c>
      <c r="D7" s="9" t="s">
        <v>1170</v>
      </c>
      <c r="E7" s="9" t="s">
        <v>1200</v>
      </c>
      <c r="F7" s="9" t="s">
        <v>1201</v>
      </c>
      <c r="G7" s="9" t="s">
        <v>1153</v>
      </c>
      <c r="H7" s="9" t="s">
        <v>1153</v>
      </c>
      <c r="I7" s="9" t="s">
        <v>1174</v>
      </c>
      <c r="J7" s="9" t="s">
        <v>222</v>
      </c>
      <c r="K7" s="9" t="s">
        <v>1195</v>
      </c>
      <c r="L7" s="9">
        <v>300</v>
      </c>
      <c r="M7" s="9"/>
      <c r="N7" s="9" t="s">
        <v>1202</v>
      </c>
      <c r="O7" t="s">
        <v>1197</v>
      </c>
    </row>
    <row r="8" spans="1:15" ht="23.25" customHeight="1" x14ac:dyDescent="0.2">
      <c r="A8" s="9" t="s">
        <v>1203</v>
      </c>
      <c r="B8" s="9" t="s">
        <v>1178</v>
      </c>
      <c r="C8" s="9" t="s">
        <v>1204</v>
      </c>
      <c r="D8" s="9" t="s">
        <v>1205</v>
      </c>
      <c r="E8" s="9" t="s">
        <v>1206</v>
      </c>
      <c r="F8" s="9" t="s">
        <v>1207</v>
      </c>
      <c r="G8" s="9" t="s">
        <v>1208</v>
      </c>
      <c r="H8" s="9" t="s">
        <v>1209</v>
      </c>
      <c r="I8" s="9" t="s">
        <v>1210</v>
      </c>
      <c r="J8" s="9" t="s">
        <v>222</v>
      </c>
      <c r="K8" s="9" t="s">
        <v>1155</v>
      </c>
      <c r="L8" s="9"/>
      <c r="M8" s="9"/>
      <c r="N8" s="9" t="s">
        <v>1211</v>
      </c>
      <c r="O8" t="s">
        <v>1212</v>
      </c>
    </row>
    <row r="9" spans="1:15" ht="23.25" customHeight="1" x14ac:dyDescent="0.2">
      <c r="A9" s="9" t="s">
        <v>1213</v>
      </c>
      <c r="B9" s="9" t="s">
        <v>1178</v>
      </c>
      <c r="C9" s="9" t="s">
        <v>1214</v>
      </c>
      <c r="D9" s="9" t="s">
        <v>1215</v>
      </c>
      <c r="E9" s="9" t="s">
        <v>1216</v>
      </c>
      <c r="F9" s="9" t="s">
        <v>1217</v>
      </c>
      <c r="G9" s="9" t="s">
        <v>1153</v>
      </c>
      <c r="H9" s="9" t="s">
        <v>1218</v>
      </c>
      <c r="I9" s="9" t="s">
        <v>1219</v>
      </c>
      <c r="J9" s="9" t="s">
        <v>228</v>
      </c>
      <c r="K9" s="9" t="s">
        <v>1155</v>
      </c>
      <c r="L9" s="9"/>
      <c r="M9" s="9"/>
      <c r="N9" s="9" t="s">
        <v>1220</v>
      </c>
      <c r="O9" t="s">
        <v>1221</v>
      </c>
    </row>
    <row r="10" spans="1:15" x14ac:dyDescent="0.2">
      <c r="A10" t="s">
        <v>1222</v>
      </c>
      <c r="B10" t="s">
        <v>1223</v>
      </c>
      <c r="C10" t="s">
        <v>1224</v>
      </c>
      <c r="D10" t="s">
        <v>1225</v>
      </c>
      <c r="E10" t="s">
        <v>1226</v>
      </c>
      <c r="F10" t="s">
        <v>1227</v>
      </c>
      <c r="G10" t="s">
        <v>1153</v>
      </c>
      <c r="H10" t="s">
        <v>1228</v>
      </c>
      <c r="I10" t="s">
        <v>1229</v>
      </c>
      <c r="J10" t="s">
        <v>228</v>
      </c>
      <c r="K10" t="s">
        <v>1155</v>
      </c>
      <c r="L10" t="s">
        <v>1230</v>
      </c>
      <c r="O10" t="s">
        <v>1231</v>
      </c>
    </row>
    <row r="11" spans="1:15" x14ac:dyDescent="0.2">
      <c r="A11" t="s">
        <v>1232</v>
      </c>
      <c r="B11" t="s">
        <v>1223</v>
      </c>
      <c r="C11" t="s">
        <v>1233</v>
      </c>
      <c r="D11" t="s">
        <v>1234</v>
      </c>
      <c r="E11" t="s">
        <v>1235</v>
      </c>
      <c r="F11" t="s">
        <v>1236</v>
      </c>
      <c r="G11" t="s">
        <v>1237</v>
      </c>
      <c r="H11" t="s">
        <v>1238</v>
      </c>
      <c r="I11" t="s">
        <v>1229</v>
      </c>
      <c r="J11" t="s">
        <v>222</v>
      </c>
      <c r="K11" t="s">
        <v>1155</v>
      </c>
      <c r="L11" t="s">
        <v>1239</v>
      </c>
      <c r="O11" t="s">
        <v>1231</v>
      </c>
    </row>
    <row r="12" spans="1:15" x14ac:dyDescent="0.2">
      <c r="A12" t="s">
        <v>1240</v>
      </c>
      <c r="B12" t="s">
        <v>1223</v>
      </c>
      <c r="C12" t="s">
        <v>1241</v>
      </c>
      <c r="D12" t="s">
        <v>1242</v>
      </c>
      <c r="E12" t="s">
        <v>1243</v>
      </c>
      <c r="F12" t="s">
        <v>1236</v>
      </c>
      <c r="G12" t="s">
        <v>1244</v>
      </c>
      <c r="H12" t="s">
        <v>1245</v>
      </c>
      <c r="I12" t="s">
        <v>1229</v>
      </c>
      <c r="J12" t="s">
        <v>228</v>
      </c>
      <c r="K12" t="s">
        <v>1155</v>
      </c>
      <c r="L12" t="s">
        <v>1246</v>
      </c>
      <c r="O12" t="s">
        <v>1231</v>
      </c>
    </row>
    <row r="13" spans="1:15" x14ac:dyDescent="0.2">
      <c r="A13" t="s">
        <v>1247</v>
      </c>
      <c r="B13" t="s">
        <v>1223</v>
      </c>
      <c r="C13" t="s">
        <v>1248</v>
      </c>
      <c r="D13" t="s">
        <v>1249</v>
      </c>
      <c r="E13" t="s">
        <v>243</v>
      </c>
      <c r="F13" t="s">
        <v>1236</v>
      </c>
      <c r="G13" t="s">
        <v>1250</v>
      </c>
      <c r="H13" t="s">
        <v>1251</v>
      </c>
      <c r="I13" t="s">
        <v>1174</v>
      </c>
      <c r="J13" t="s">
        <v>222</v>
      </c>
      <c r="K13" t="s">
        <v>1155</v>
      </c>
      <c r="L13" t="s">
        <v>1252</v>
      </c>
      <c r="O13" t="s">
        <v>1231</v>
      </c>
    </row>
    <row r="14" spans="1:15" x14ac:dyDescent="0.2">
      <c r="A14" t="s">
        <v>1253</v>
      </c>
      <c r="B14" t="s">
        <v>1223</v>
      </c>
      <c r="C14" t="s">
        <v>1254</v>
      </c>
      <c r="D14" t="s">
        <v>1255</v>
      </c>
      <c r="E14" t="s">
        <v>1256</v>
      </c>
      <c r="F14" t="s">
        <v>1236</v>
      </c>
      <c r="G14" t="s">
        <v>1257</v>
      </c>
      <c r="H14" t="s">
        <v>1258</v>
      </c>
      <c r="I14" t="s">
        <v>1219</v>
      </c>
      <c r="J14" t="s">
        <v>228</v>
      </c>
      <c r="K14" t="s">
        <v>1155</v>
      </c>
      <c r="L14" t="s">
        <v>1259</v>
      </c>
      <c r="O14" t="s">
        <v>1231</v>
      </c>
    </row>
    <row r="15" spans="1:15" x14ac:dyDescent="0.2">
      <c r="A15" t="s">
        <v>1260</v>
      </c>
      <c r="B15" t="s">
        <v>1261</v>
      </c>
      <c r="C15" t="s">
        <v>1262</v>
      </c>
      <c r="D15" t="s">
        <v>1263</v>
      </c>
      <c r="E15" t="s">
        <v>1264</v>
      </c>
      <c r="F15" t="s">
        <v>1265</v>
      </c>
      <c r="G15" t="s">
        <v>1266</v>
      </c>
      <c r="H15" t="s">
        <v>1267</v>
      </c>
      <c r="I15" t="s">
        <v>1174</v>
      </c>
      <c r="J15" t="s">
        <v>222</v>
      </c>
      <c r="K15" t="s">
        <v>1155</v>
      </c>
      <c r="L15" t="s">
        <v>1268</v>
      </c>
      <c r="O15" t="s">
        <v>1186</v>
      </c>
    </row>
    <row r="16" spans="1:15" x14ac:dyDescent="0.2">
      <c r="A16" t="s">
        <v>1269</v>
      </c>
      <c r="B16" t="s">
        <v>1188</v>
      </c>
      <c r="C16" t="s">
        <v>1270</v>
      </c>
      <c r="D16" t="s">
        <v>1271</v>
      </c>
      <c r="E16" t="s">
        <v>1272</v>
      </c>
      <c r="F16" t="s">
        <v>1273</v>
      </c>
      <c r="G16" t="s">
        <v>1274</v>
      </c>
      <c r="H16" t="s">
        <v>1275</v>
      </c>
      <c r="I16" t="s">
        <v>1174</v>
      </c>
      <c r="J16" t="s">
        <v>222</v>
      </c>
      <c r="K16" t="s">
        <v>1155</v>
      </c>
      <c r="L16" t="s">
        <v>1276</v>
      </c>
      <c r="O16" t="s">
        <v>1186</v>
      </c>
    </row>
    <row r="17" spans="1:15" x14ac:dyDescent="0.2">
      <c r="A17" t="s">
        <v>1277</v>
      </c>
      <c r="B17" t="s">
        <v>1178</v>
      </c>
      <c r="C17" t="s">
        <v>1278</v>
      </c>
      <c r="D17" t="s">
        <v>1279</v>
      </c>
      <c r="E17" t="s">
        <v>1280</v>
      </c>
      <c r="F17" t="s">
        <v>1281</v>
      </c>
      <c r="G17" t="s">
        <v>1282</v>
      </c>
      <c r="H17" t="s">
        <v>1283</v>
      </c>
      <c r="I17" t="s">
        <v>1174</v>
      </c>
      <c r="J17" t="s">
        <v>222</v>
      </c>
      <c r="K17" t="s">
        <v>1155</v>
      </c>
      <c r="L17" t="s">
        <v>1284</v>
      </c>
      <c r="O17" t="s">
        <v>1285</v>
      </c>
    </row>
    <row r="18" spans="1:15" x14ac:dyDescent="0.2">
      <c r="A18" t="s">
        <v>1286</v>
      </c>
      <c r="B18" t="s">
        <v>1261</v>
      </c>
      <c r="C18" t="s">
        <v>1287</v>
      </c>
      <c r="D18" t="s">
        <v>1288</v>
      </c>
      <c r="E18" t="s">
        <v>1289</v>
      </c>
      <c r="F18" t="s">
        <v>1290</v>
      </c>
      <c r="G18" t="s">
        <v>1291</v>
      </c>
      <c r="H18" t="s">
        <v>1292</v>
      </c>
      <c r="I18" t="s">
        <v>1229</v>
      </c>
      <c r="J18" t="s">
        <v>222</v>
      </c>
      <c r="K18" t="s">
        <v>1155</v>
      </c>
      <c r="L18" t="s">
        <v>1293</v>
      </c>
      <c r="O18" t="s">
        <v>1285</v>
      </c>
    </row>
    <row r="19" spans="1:15" x14ac:dyDescent="0.2">
      <c r="A19" t="s">
        <v>1294</v>
      </c>
      <c r="B19" t="s">
        <v>1188</v>
      </c>
      <c r="C19" t="s">
        <v>1295</v>
      </c>
      <c r="D19" t="s">
        <v>1296</v>
      </c>
      <c r="E19" t="s">
        <v>1191</v>
      </c>
      <c r="F19" t="s">
        <v>1297</v>
      </c>
      <c r="G19" t="s">
        <v>1298</v>
      </c>
      <c r="H19" t="s">
        <v>1299</v>
      </c>
      <c r="I19" t="s">
        <v>1159</v>
      </c>
      <c r="J19" t="s">
        <v>228</v>
      </c>
      <c r="K19" t="s">
        <v>1300</v>
      </c>
      <c r="L19" t="s">
        <v>1301</v>
      </c>
      <c r="O19" t="s">
        <v>1302</v>
      </c>
    </row>
    <row r="20" spans="1:15" x14ac:dyDescent="0.2">
      <c r="A20" t="s">
        <v>1303</v>
      </c>
      <c r="B20" t="s">
        <v>1223</v>
      </c>
      <c r="C20" t="s">
        <v>1304</v>
      </c>
      <c r="E20" t="s">
        <v>1305</v>
      </c>
      <c r="F20" t="s">
        <v>1306</v>
      </c>
      <c r="G20" t="s">
        <v>1307</v>
      </c>
      <c r="H20" t="s">
        <v>1308</v>
      </c>
      <c r="I20" t="s">
        <v>1229</v>
      </c>
      <c r="J20" t="s">
        <v>228</v>
      </c>
      <c r="N20" t="s">
        <v>1309</v>
      </c>
      <c r="O20" t="s">
        <v>1310</v>
      </c>
    </row>
    <row r="21" spans="1:15" x14ac:dyDescent="0.2">
      <c r="A21" t="s">
        <v>1311</v>
      </c>
      <c r="B21" t="s">
        <v>1148</v>
      </c>
      <c r="C21" t="s">
        <v>1312</v>
      </c>
      <c r="E21" t="s">
        <v>1313</v>
      </c>
      <c r="F21" t="s">
        <v>1306</v>
      </c>
      <c r="G21" t="s">
        <v>1307</v>
      </c>
      <c r="H21" t="s">
        <v>1308</v>
      </c>
      <c r="I21" t="s">
        <v>1229</v>
      </c>
      <c r="J21" t="s">
        <v>228</v>
      </c>
      <c r="N21" t="s">
        <v>1314</v>
      </c>
      <c r="O21" t="s">
        <v>1310</v>
      </c>
    </row>
    <row r="22" spans="1:15" x14ac:dyDescent="0.2">
      <c r="A22" t="s">
        <v>1315</v>
      </c>
      <c r="B22" t="s">
        <v>1148</v>
      </c>
      <c r="C22" t="s">
        <v>1316</v>
      </c>
      <c r="E22" t="s">
        <v>1317</v>
      </c>
      <c r="F22" t="s">
        <v>1318</v>
      </c>
      <c r="G22" t="s">
        <v>1319</v>
      </c>
      <c r="H22" t="s">
        <v>1320</v>
      </c>
      <c r="I22" t="s">
        <v>242</v>
      </c>
      <c r="J22" t="s">
        <v>228</v>
      </c>
      <c r="N22" t="s">
        <v>1321</v>
      </c>
      <c r="O22" t="s">
        <v>1322</v>
      </c>
    </row>
    <row r="23" spans="1:15" x14ac:dyDescent="0.2">
      <c r="A23" t="s">
        <v>1323</v>
      </c>
      <c r="B23" t="s">
        <v>1188</v>
      </c>
      <c r="C23" t="s">
        <v>1324</v>
      </c>
      <c r="D23" t="s">
        <v>1325</v>
      </c>
      <c r="E23" t="s">
        <v>1326</v>
      </c>
      <c r="F23" t="s">
        <v>1192</v>
      </c>
      <c r="G23" t="s">
        <v>1327</v>
      </c>
      <c r="H23" t="s">
        <v>1328</v>
      </c>
      <c r="I23" t="s">
        <v>1174</v>
      </c>
      <c r="J23" t="s">
        <v>222</v>
      </c>
      <c r="K23" t="s">
        <v>1195</v>
      </c>
      <c r="L23">
        <v>400</v>
      </c>
      <c r="M23" t="s">
        <v>1329</v>
      </c>
      <c r="N23" t="e">
        <v>#N/A</v>
      </c>
      <c r="O23" t="s">
        <v>1197</v>
      </c>
    </row>
    <row r="24" spans="1:15" x14ac:dyDescent="0.2">
      <c r="A24" t="s">
        <v>1330</v>
      </c>
      <c r="B24" t="s">
        <v>1188</v>
      </c>
      <c r="C24" t="s">
        <v>1331</v>
      </c>
      <c r="D24" t="s">
        <v>1332</v>
      </c>
      <c r="E24">
        <v>1910</v>
      </c>
      <c r="F24" t="s">
        <v>1192</v>
      </c>
      <c r="G24" t="s">
        <v>1333</v>
      </c>
      <c r="H24" t="s">
        <v>1334</v>
      </c>
      <c r="I24" t="s">
        <v>1174</v>
      </c>
      <c r="J24" t="s">
        <v>222</v>
      </c>
      <c r="K24" t="s">
        <v>1195</v>
      </c>
      <c r="L24">
        <v>250</v>
      </c>
      <c r="M24" t="s">
        <v>1335</v>
      </c>
      <c r="N24" t="e">
        <v>#N/A</v>
      </c>
      <c r="O24" t="s">
        <v>1197</v>
      </c>
    </row>
    <row r="25" spans="1:15" x14ac:dyDescent="0.2">
      <c r="A25" t="s">
        <v>1336</v>
      </c>
      <c r="B25" t="s">
        <v>1188</v>
      </c>
      <c r="C25" t="s">
        <v>1337</v>
      </c>
      <c r="D25" t="s">
        <v>1338</v>
      </c>
      <c r="E25">
        <v>1905</v>
      </c>
      <c r="F25" t="s">
        <v>1192</v>
      </c>
      <c r="G25" t="s">
        <v>1339</v>
      </c>
      <c r="H25" t="s">
        <v>1340</v>
      </c>
      <c r="I25" t="s">
        <v>1174</v>
      </c>
      <c r="J25" t="s">
        <v>222</v>
      </c>
      <c r="K25" t="s">
        <v>1195</v>
      </c>
      <c r="L25">
        <v>150</v>
      </c>
      <c r="M25" t="s">
        <v>1341</v>
      </c>
      <c r="N25" t="e">
        <v>#N/A</v>
      </c>
      <c r="O25" t="s">
        <v>1197</v>
      </c>
    </row>
    <row r="26" spans="1:15" x14ac:dyDescent="0.2">
      <c r="A26" t="s">
        <v>1342</v>
      </c>
      <c r="B26" t="s">
        <v>1188</v>
      </c>
      <c r="C26" t="s">
        <v>1343</v>
      </c>
      <c r="D26" t="s">
        <v>1338</v>
      </c>
      <c r="E26">
        <v>1908</v>
      </c>
      <c r="F26" t="s">
        <v>1192</v>
      </c>
      <c r="G26" t="s">
        <v>1344</v>
      </c>
      <c r="H26" t="s">
        <v>1345</v>
      </c>
      <c r="I26" t="s">
        <v>1174</v>
      </c>
      <c r="J26" t="s">
        <v>222</v>
      </c>
      <c r="K26" t="s">
        <v>1195</v>
      </c>
      <c r="L26">
        <v>100</v>
      </c>
      <c r="M26" t="s">
        <v>1346</v>
      </c>
      <c r="N26" t="e">
        <v>#N/A</v>
      </c>
      <c r="O26" t="s">
        <v>1197</v>
      </c>
    </row>
    <row r="27" spans="1:15" x14ac:dyDescent="0.2">
      <c r="A27" t="s">
        <v>1347</v>
      </c>
      <c r="B27" t="s">
        <v>1188</v>
      </c>
      <c r="C27" t="s">
        <v>1348</v>
      </c>
      <c r="D27" t="s">
        <v>1349</v>
      </c>
      <c r="E27">
        <v>1890</v>
      </c>
      <c r="F27" t="s">
        <v>1192</v>
      </c>
      <c r="G27" t="s">
        <v>1350</v>
      </c>
      <c r="H27" t="s">
        <v>1351</v>
      </c>
      <c r="I27" t="s">
        <v>1352</v>
      </c>
      <c r="J27" t="s">
        <v>222</v>
      </c>
      <c r="K27" t="s">
        <v>1195</v>
      </c>
      <c r="L27">
        <v>50</v>
      </c>
      <c r="M27" t="s">
        <v>1353</v>
      </c>
      <c r="N27" t="e">
        <v>#N/A</v>
      </c>
      <c r="O27" t="s">
        <v>1197</v>
      </c>
    </row>
    <row r="28" spans="1:15" x14ac:dyDescent="0.2">
      <c r="A28" t="s">
        <v>1354</v>
      </c>
      <c r="B28" t="s">
        <v>1188</v>
      </c>
      <c r="C28" t="s">
        <v>1355</v>
      </c>
      <c r="D28" t="s">
        <v>1170</v>
      </c>
      <c r="E28">
        <v>1908</v>
      </c>
      <c r="F28" t="s">
        <v>1192</v>
      </c>
      <c r="G28" t="s">
        <v>1356</v>
      </c>
      <c r="H28" t="s">
        <v>1357</v>
      </c>
      <c r="I28" t="s">
        <v>1174</v>
      </c>
      <c r="J28" t="s">
        <v>222</v>
      </c>
      <c r="K28" t="s">
        <v>1195</v>
      </c>
      <c r="L28">
        <v>200</v>
      </c>
      <c r="M28" t="s">
        <v>1358</v>
      </c>
      <c r="N28" t="e">
        <v>#N/A</v>
      </c>
      <c r="O28" t="s">
        <v>1197</v>
      </c>
    </row>
    <row r="29" spans="1:15" x14ac:dyDescent="0.2">
      <c r="A29" t="s">
        <v>1359</v>
      </c>
      <c r="B29" t="s">
        <v>1188</v>
      </c>
      <c r="C29" t="s">
        <v>1360</v>
      </c>
      <c r="D29" t="s">
        <v>1361</v>
      </c>
      <c r="E29">
        <v>1862</v>
      </c>
      <c r="F29" t="s">
        <v>1192</v>
      </c>
      <c r="G29" t="s">
        <v>1362</v>
      </c>
      <c r="H29" t="s">
        <v>1363</v>
      </c>
      <c r="I29" t="s">
        <v>1364</v>
      </c>
      <c r="J29" t="s">
        <v>228</v>
      </c>
      <c r="K29" t="s">
        <v>1195</v>
      </c>
      <c r="L29">
        <v>800</v>
      </c>
      <c r="M29" t="s">
        <v>1365</v>
      </c>
      <c r="N29" t="e">
        <v>#N/A</v>
      </c>
      <c r="O29" t="s">
        <v>1197</v>
      </c>
    </row>
    <row r="30" spans="1:15" x14ac:dyDescent="0.2">
      <c r="A30" t="s">
        <v>1366</v>
      </c>
      <c r="B30" t="s">
        <v>1188</v>
      </c>
      <c r="C30" t="s">
        <v>1367</v>
      </c>
      <c r="D30" t="s">
        <v>1368</v>
      </c>
      <c r="E30">
        <v>1895</v>
      </c>
      <c r="F30" t="s">
        <v>1192</v>
      </c>
      <c r="G30">
        <v>93680805</v>
      </c>
      <c r="H30" t="s">
        <v>1369</v>
      </c>
      <c r="I30" t="s">
        <v>1352</v>
      </c>
      <c r="J30" t="s">
        <v>222</v>
      </c>
      <c r="K30" t="s">
        <v>1195</v>
      </c>
      <c r="L30">
        <v>300</v>
      </c>
      <c r="M30" t="s">
        <v>1370</v>
      </c>
      <c r="N30" t="e">
        <v>#N/A</v>
      </c>
      <c r="O30" t="s">
        <v>1197</v>
      </c>
    </row>
    <row r="31" spans="1:15" x14ac:dyDescent="0.2">
      <c r="A31" t="s">
        <v>1371</v>
      </c>
      <c r="B31" t="s">
        <v>1188</v>
      </c>
      <c r="C31" t="s">
        <v>1372</v>
      </c>
      <c r="D31" t="s">
        <v>1325</v>
      </c>
      <c r="E31" s="24">
        <v>2709</v>
      </c>
      <c r="F31" t="s">
        <v>1192</v>
      </c>
      <c r="G31">
        <v>83694727</v>
      </c>
      <c r="H31" t="s">
        <v>1373</v>
      </c>
      <c r="I31" t="s">
        <v>1174</v>
      </c>
      <c r="J31" t="s">
        <v>222</v>
      </c>
      <c r="K31" t="s">
        <v>1195</v>
      </c>
      <c r="L31">
        <v>200</v>
      </c>
      <c r="M31" t="s">
        <v>1374</v>
      </c>
      <c r="N31" t="e">
        <v>#N/A</v>
      </c>
      <c r="O31" t="s">
        <v>1197</v>
      </c>
    </row>
    <row r="32" spans="1:15" x14ac:dyDescent="0.2">
      <c r="A32" t="s">
        <v>1375</v>
      </c>
      <c r="B32" t="s">
        <v>1188</v>
      </c>
      <c r="C32" t="s">
        <v>1376</v>
      </c>
      <c r="D32" t="s">
        <v>1377</v>
      </c>
      <c r="E32">
        <v>1947</v>
      </c>
      <c r="F32" t="s">
        <v>1192</v>
      </c>
      <c r="G32" t="s">
        <v>1378</v>
      </c>
      <c r="H32" t="s">
        <v>1379</v>
      </c>
      <c r="I32" t="s">
        <v>1174</v>
      </c>
      <c r="J32" t="s">
        <v>222</v>
      </c>
      <c r="K32" t="s">
        <v>1195</v>
      </c>
      <c r="L32">
        <v>150</v>
      </c>
      <c r="M32" t="s">
        <v>1380</v>
      </c>
      <c r="N32" t="e">
        <v>#N/A</v>
      </c>
      <c r="O32" t="s">
        <v>1197</v>
      </c>
    </row>
    <row r="33" spans="1:15" x14ac:dyDescent="0.2">
      <c r="A33" t="s">
        <v>1381</v>
      </c>
      <c r="B33" t="s">
        <v>1159</v>
      </c>
      <c r="C33" t="s">
        <v>1382</v>
      </c>
      <c r="D33" t="s">
        <v>1383</v>
      </c>
      <c r="E33" t="s">
        <v>1384</v>
      </c>
      <c r="F33" t="s">
        <v>1385</v>
      </c>
      <c r="G33" t="s">
        <v>1386</v>
      </c>
      <c r="H33" t="s">
        <v>1387</v>
      </c>
      <c r="I33" t="s">
        <v>1210</v>
      </c>
      <c r="J33" t="s">
        <v>228</v>
      </c>
      <c r="N33" t="s">
        <v>1388</v>
      </c>
      <c r="O33" t="s">
        <v>1212</v>
      </c>
    </row>
    <row r="34" spans="1:15" x14ac:dyDescent="0.2">
      <c r="A34" t="s">
        <v>1389</v>
      </c>
      <c r="B34" t="s">
        <v>1188</v>
      </c>
      <c r="C34" t="s">
        <v>1390</v>
      </c>
      <c r="D34" t="s">
        <v>1391</v>
      </c>
      <c r="E34" t="s">
        <v>1392</v>
      </c>
      <c r="F34" t="s">
        <v>1393</v>
      </c>
      <c r="G34" t="s">
        <v>1394</v>
      </c>
      <c r="H34" t="s">
        <v>1395</v>
      </c>
      <c r="I34" t="s">
        <v>1174</v>
      </c>
      <c r="J34" t="s">
        <v>222</v>
      </c>
      <c r="N34" t="s">
        <v>1396</v>
      </c>
      <c r="O34" t="s">
        <v>1397</v>
      </c>
    </row>
    <row r="35" spans="1:15" x14ac:dyDescent="0.2">
      <c r="A35" t="s">
        <v>1398</v>
      </c>
      <c r="B35" t="s">
        <v>1188</v>
      </c>
      <c r="C35" t="s">
        <v>1399</v>
      </c>
      <c r="D35" t="s">
        <v>1391</v>
      </c>
      <c r="E35" t="s">
        <v>334</v>
      </c>
      <c r="F35" t="s">
        <v>1393</v>
      </c>
      <c r="G35" t="s">
        <v>1400</v>
      </c>
      <c r="H35" t="s">
        <v>1401</v>
      </c>
      <c r="I35" t="s">
        <v>1174</v>
      </c>
      <c r="J35" t="s">
        <v>222</v>
      </c>
      <c r="N35" t="s">
        <v>1402</v>
      </c>
      <c r="O35" t="s">
        <v>1397</v>
      </c>
    </row>
    <row r="36" spans="1:15" x14ac:dyDescent="0.2">
      <c r="A36" t="s">
        <v>1403</v>
      </c>
      <c r="B36" t="s">
        <v>1223</v>
      </c>
      <c r="C36" t="s">
        <v>1404</v>
      </c>
      <c r="D36" t="s">
        <v>1405</v>
      </c>
      <c r="E36" t="s">
        <v>1406</v>
      </c>
      <c r="F36" t="s">
        <v>1407</v>
      </c>
      <c r="G36" t="s">
        <v>1408</v>
      </c>
      <c r="H36" t="s">
        <v>1409</v>
      </c>
      <c r="I36" t="s">
        <v>1219</v>
      </c>
      <c r="J36" t="s">
        <v>228</v>
      </c>
      <c r="N36" t="s">
        <v>1410</v>
      </c>
      <c r="O36" t="s">
        <v>1411</v>
      </c>
    </row>
    <row r="37" spans="1:15" x14ac:dyDescent="0.2">
      <c r="A37" t="s">
        <v>1412</v>
      </c>
      <c r="B37" t="s">
        <v>1148</v>
      </c>
      <c r="C37" t="s">
        <v>1413</v>
      </c>
      <c r="D37" t="s">
        <v>1414</v>
      </c>
      <c r="E37" t="s">
        <v>1415</v>
      </c>
      <c r="F37" t="s">
        <v>1416</v>
      </c>
      <c r="G37" t="s">
        <v>1417</v>
      </c>
      <c r="H37" t="s">
        <v>1418</v>
      </c>
      <c r="I37" t="s">
        <v>1219</v>
      </c>
      <c r="J37" t="s">
        <v>222</v>
      </c>
      <c r="N37" t="s">
        <v>1419</v>
      </c>
      <c r="O37" t="s">
        <v>1411</v>
      </c>
    </row>
    <row r="38" spans="1:15" x14ac:dyDescent="0.2">
      <c r="A38" t="s">
        <v>1420</v>
      </c>
      <c r="B38" t="s">
        <v>1188</v>
      </c>
      <c r="C38" t="s">
        <v>1421</v>
      </c>
      <c r="D38" t="s">
        <v>1422</v>
      </c>
      <c r="E38" t="s">
        <v>1423</v>
      </c>
      <c r="F38" t="s">
        <v>1192</v>
      </c>
      <c r="G38" t="s">
        <v>1424</v>
      </c>
      <c r="I38" t="s">
        <v>1425</v>
      </c>
      <c r="J38" t="s">
        <v>222</v>
      </c>
      <c r="K38" t="s">
        <v>1426</v>
      </c>
      <c r="L38">
        <v>20</v>
      </c>
      <c r="O38" t="s">
        <v>1197</v>
      </c>
    </row>
    <row r="39" spans="1:15" x14ac:dyDescent="0.2">
      <c r="A39" t="s">
        <v>1427</v>
      </c>
      <c r="B39" t="s">
        <v>1188</v>
      </c>
      <c r="C39" t="s">
        <v>1428</v>
      </c>
      <c r="D39" t="s">
        <v>1429</v>
      </c>
      <c r="E39" t="s">
        <v>1430</v>
      </c>
      <c r="F39" t="s">
        <v>1192</v>
      </c>
      <c r="G39" t="s">
        <v>1431</v>
      </c>
      <c r="I39" t="s">
        <v>1210</v>
      </c>
      <c r="J39" t="s">
        <v>222</v>
      </c>
      <c r="K39" t="s">
        <v>1426</v>
      </c>
      <c r="L39">
        <v>80</v>
      </c>
      <c r="O39" t="s">
        <v>1197</v>
      </c>
    </row>
    <row r="40" spans="1:15" x14ac:dyDescent="0.2">
      <c r="A40" t="s">
        <v>1432</v>
      </c>
      <c r="B40" t="s">
        <v>1168</v>
      </c>
      <c r="C40" t="s">
        <v>1433</v>
      </c>
      <c r="D40" t="s">
        <v>1434</v>
      </c>
      <c r="E40" t="s">
        <v>1435</v>
      </c>
      <c r="F40" t="s">
        <v>1436</v>
      </c>
      <c r="G40" t="s">
        <v>1437</v>
      </c>
      <c r="H40" t="s">
        <v>1438</v>
      </c>
      <c r="I40" t="s">
        <v>1352</v>
      </c>
      <c r="J40" t="s">
        <v>222</v>
      </c>
      <c r="N40" t="s">
        <v>1439</v>
      </c>
      <c r="O40" t="s">
        <v>1440</v>
      </c>
    </row>
    <row r="41" spans="1:15" x14ac:dyDescent="0.2">
      <c r="A41" t="s">
        <v>1441</v>
      </c>
      <c r="B41" t="s">
        <v>1159</v>
      </c>
      <c r="C41" t="s">
        <v>1442</v>
      </c>
      <c r="D41" t="s">
        <v>1443</v>
      </c>
      <c r="E41" t="s">
        <v>1444</v>
      </c>
      <c r="F41" t="s">
        <v>1436</v>
      </c>
      <c r="G41" t="s">
        <v>1445</v>
      </c>
      <c r="H41" t="s">
        <v>1446</v>
      </c>
      <c r="I41" t="s">
        <v>1352</v>
      </c>
      <c r="J41" t="s">
        <v>228</v>
      </c>
      <c r="N41" t="s">
        <v>1439</v>
      </c>
      <c r="O41" t="s">
        <v>1440</v>
      </c>
    </row>
    <row r="42" spans="1:15" x14ac:dyDescent="0.2">
      <c r="A42" t="s">
        <v>1447</v>
      </c>
      <c r="B42" t="s">
        <v>1168</v>
      </c>
      <c r="C42" t="s">
        <v>1448</v>
      </c>
      <c r="D42" t="s">
        <v>1449</v>
      </c>
      <c r="E42" t="s">
        <v>1450</v>
      </c>
      <c r="F42" t="s">
        <v>1436</v>
      </c>
      <c r="G42" t="s">
        <v>1451</v>
      </c>
      <c r="H42" t="s">
        <v>1452</v>
      </c>
      <c r="I42" t="s">
        <v>1352</v>
      </c>
      <c r="J42" t="s">
        <v>222</v>
      </c>
      <c r="N42" t="s">
        <v>1439</v>
      </c>
      <c r="O42" t="s">
        <v>1440</v>
      </c>
    </row>
    <row r="43" spans="1:15" x14ac:dyDescent="0.2">
      <c r="A43" t="s">
        <v>1453</v>
      </c>
      <c r="B43" t="s">
        <v>1188</v>
      </c>
      <c r="C43" t="s">
        <v>1454</v>
      </c>
      <c r="D43" t="s">
        <v>1455</v>
      </c>
      <c r="E43" t="s">
        <v>1456</v>
      </c>
      <c r="F43" t="s">
        <v>1192</v>
      </c>
      <c r="G43" t="s">
        <v>1457</v>
      </c>
      <c r="I43" t="s">
        <v>1458</v>
      </c>
      <c r="J43" t="s">
        <v>228</v>
      </c>
      <c r="K43" t="s">
        <v>1426</v>
      </c>
      <c r="L43">
        <v>400</v>
      </c>
      <c r="O43" t="s">
        <v>1197</v>
      </c>
    </row>
    <row r="44" spans="1:15" x14ac:dyDescent="0.2">
      <c r="A44" t="s">
        <v>1459</v>
      </c>
      <c r="B44" t="s">
        <v>1188</v>
      </c>
      <c r="C44" t="s">
        <v>1460</v>
      </c>
      <c r="D44" t="s">
        <v>1461</v>
      </c>
      <c r="E44" t="s">
        <v>1462</v>
      </c>
      <c r="F44" t="s">
        <v>1192</v>
      </c>
      <c r="G44" t="s">
        <v>1463</v>
      </c>
      <c r="I44" t="s">
        <v>1458</v>
      </c>
      <c r="J44" t="s">
        <v>222</v>
      </c>
      <c r="K44" t="s">
        <v>1426</v>
      </c>
      <c r="L44">
        <v>120</v>
      </c>
      <c r="O44" t="s">
        <v>1197</v>
      </c>
    </row>
    <row r="45" spans="1:15" x14ac:dyDescent="0.2">
      <c r="A45" t="s">
        <v>1464</v>
      </c>
      <c r="B45" t="s">
        <v>1223</v>
      </c>
      <c r="C45" t="s">
        <v>1465</v>
      </c>
      <c r="D45" t="s">
        <v>1466</v>
      </c>
      <c r="E45" t="s">
        <v>1467</v>
      </c>
      <c r="F45" t="s">
        <v>1468</v>
      </c>
      <c r="G45" t="s">
        <v>1469</v>
      </c>
      <c r="H45" t="s">
        <v>1470</v>
      </c>
      <c r="I45" t="s">
        <v>1210</v>
      </c>
      <c r="J45" t="s">
        <v>228</v>
      </c>
      <c r="N45" t="s">
        <v>1471</v>
      </c>
      <c r="O45" t="s">
        <v>1472</v>
      </c>
    </row>
    <row r="46" spans="1:15" x14ac:dyDescent="0.2">
      <c r="A46" t="s">
        <v>1473</v>
      </c>
      <c r="B46" t="s">
        <v>1188</v>
      </c>
      <c r="C46" t="s">
        <v>1474</v>
      </c>
      <c r="D46" t="s">
        <v>1475</v>
      </c>
      <c r="E46" t="s">
        <v>1476</v>
      </c>
      <c r="F46" t="s">
        <v>1477</v>
      </c>
      <c r="G46" t="s">
        <v>1478</v>
      </c>
      <c r="I46" t="s">
        <v>1425</v>
      </c>
      <c r="J46" t="s">
        <v>222</v>
      </c>
      <c r="K46" t="s">
        <v>1426</v>
      </c>
      <c r="L46">
        <v>20</v>
      </c>
      <c r="O46" t="s">
        <v>1479</v>
      </c>
    </row>
    <row r="47" spans="1:15" x14ac:dyDescent="0.2">
      <c r="A47" t="s">
        <v>1480</v>
      </c>
      <c r="B47" t="s">
        <v>1188</v>
      </c>
      <c r="C47" t="s">
        <v>1481</v>
      </c>
      <c r="D47" t="s">
        <v>1482</v>
      </c>
      <c r="E47" t="s">
        <v>1483</v>
      </c>
      <c r="F47" t="s">
        <v>1484</v>
      </c>
      <c r="G47" t="s">
        <v>1485</v>
      </c>
      <c r="I47" t="s">
        <v>1486</v>
      </c>
      <c r="J47" t="s">
        <v>209</v>
      </c>
      <c r="K47" t="s">
        <v>1487</v>
      </c>
      <c r="O47" t="s">
        <v>1479</v>
      </c>
    </row>
    <row r="48" spans="1:15" x14ac:dyDescent="0.2">
      <c r="A48" t="s">
        <v>1488</v>
      </c>
      <c r="B48" t="s">
        <v>1188</v>
      </c>
      <c r="C48" t="s">
        <v>1489</v>
      </c>
      <c r="D48" t="s">
        <v>1490</v>
      </c>
      <c r="E48" t="s">
        <v>1491</v>
      </c>
      <c r="F48" t="s">
        <v>1492</v>
      </c>
      <c r="G48" t="s">
        <v>1493</v>
      </c>
      <c r="I48" t="s">
        <v>1174</v>
      </c>
      <c r="J48" t="s">
        <v>228</v>
      </c>
      <c r="K48" t="s">
        <v>1487</v>
      </c>
      <c r="O48" t="s">
        <v>1310</v>
      </c>
    </row>
    <row r="49" spans="1:15" x14ac:dyDescent="0.2">
      <c r="A49" t="s">
        <v>1494</v>
      </c>
      <c r="B49" t="s">
        <v>1188</v>
      </c>
      <c r="C49" t="s">
        <v>1495</v>
      </c>
      <c r="D49" t="s">
        <v>1496</v>
      </c>
      <c r="E49" t="s">
        <v>1497</v>
      </c>
      <c r="F49" t="s">
        <v>1498</v>
      </c>
      <c r="G49" t="s">
        <v>1499</v>
      </c>
      <c r="I49" t="s">
        <v>1500</v>
      </c>
      <c r="J49" t="s">
        <v>228</v>
      </c>
      <c r="K49" t="s">
        <v>1487</v>
      </c>
      <c r="O49" t="s">
        <v>1479</v>
      </c>
    </row>
    <row r="50" spans="1:15" x14ac:dyDescent="0.2">
      <c r="A50" t="s">
        <v>1501</v>
      </c>
      <c r="B50" t="s">
        <v>1188</v>
      </c>
      <c r="C50" t="s">
        <v>1502</v>
      </c>
      <c r="D50" t="s">
        <v>1503</v>
      </c>
      <c r="E50" t="s">
        <v>1504</v>
      </c>
      <c r="F50" t="s">
        <v>1505</v>
      </c>
      <c r="G50" t="s">
        <v>1506</v>
      </c>
      <c r="I50" t="s">
        <v>1507</v>
      </c>
      <c r="J50" t="s">
        <v>228</v>
      </c>
      <c r="K50" t="s">
        <v>1487</v>
      </c>
      <c r="O50" t="s">
        <v>1508</v>
      </c>
    </row>
    <row r="51" spans="1:15" x14ac:dyDescent="0.2">
      <c r="A51" t="s">
        <v>1509</v>
      </c>
      <c r="B51" t="s">
        <v>1188</v>
      </c>
      <c r="C51" t="s">
        <v>1510</v>
      </c>
      <c r="D51" t="s">
        <v>1511</v>
      </c>
      <c r="E51" t="s">
        <v>1512</v>
      </c>
      <c r="F51" t="s">
        <v>1436</v>
      </c>
      <c r="G51" t="s">
        <v>1513</v>
      </c>
      <c r="H51" t="s">
        <v>1514</v>
      </c>
      <c r="I51" t="s">
        <v>1352</v>
      </c>
      <c r="J51" t="s">
        <v>222</v>
      </c>
      <c r="K51" t="s">
        <v>1300</v>
      </c>
      <c r="N51" t="s">
        <v>1515</v>
      </c>
      <c r="O51" t="s">
        <v>1440</v>
      </c>
    </row>
    <row r="52" spans="1:15" x14ac:dyDescent="0.2">
      <c r="A52" t="s">
        <v>1516</v>
      </c>
      <c r="B52" t="s">
        <v>1188</v>
      </c>
      <c r="C52" t="s">
        <v>1517</v>
      </c>
      <c r="D52" t="s">
        <v>1511</v>
      </c>
      <c r="E52" t="s">
        <v>1450</v>
      </c>
      <c r="F52" t="s">
        <v>1436</v>
      </c>
      <c r="G52" t="s">
        <v>1518</v>
      </c>
      <c r="H52" t="s">
        <v>1519</v>
      </c>
      <c r="I52" t="s">
        <v>1352</v>
      </c>
      <c r="J52" t="s">
        <v>222</v>
      </c>
      <c r="K52" t="s">
        <v>1300</v>
      </c>
      <c r="N52" t="s">
        <v>1520</v>
      </c>
      <c r="O52" t="s">
        <v>1440</v>
      </c>
    </row>
    <row r="53" spans="1:15" x14ac:dyDescent="0.2">
      <c r="A53" t="s">
        <v>1521</v>
      </c>
      <c r="B53" t="s">
        <v>1188</v>
      </c>
      <c r="C53" t="s">
        <v>1522</v>
      </c>
      <c r="D53" t="s">
        <v>1523</v>
      </c>
      <c r="E53" t="s">
        <v>1524</v>
      </c>
      <c r="F53" t="s">
        <v>1525</v>
      </c>
      <c r="G53" t="s">
        <v>1526</v>
      </c>
      <c r="H53" t="s">
        <v>1527</v>
      </c>
      <c r="I53" t="s">
        <v>1174</v>
      </c>
      <c r="J53" t="s">
        <v>222</v>
      </c>
      <c r="K53" t="s">
        <v>1487</v>
      </c>
      <c r="O53" t="s">
        <v>1186</v>
      </c>
    </row>
    <row r="54" spans="1:15" x14ac:dyDescent="0.2">
      <c r="A54" t="s">
        <v>1528</v>
      </c>
      <c r="B54" t="s">
        <v>1188</v>
      </c>
      <c r="C54" t="s">
        <v>1529</v>
      </c>
      <c r="D54" t="s">
        <v>1530</v>
      </c>
      <c r="E54" t="s">
        <v>420</v>
      </c>
      <c r="F54" t="s">
        <v>1192</v>
      </c>
      <c r="G54" t="s">
        <v>1531</v>
      </c>
      <c r="H54" t="s">
        <v>1532</v>
      </c>
      <c r="I54" t="s">
        <v>1174</v>
      </c>
      <c r="J54" t="s">
        <v>222</v>
      </c>
      <c r="K54" t="s">
        <v>1426</v>
      </c>
      <c r="L54">
        <v>300</v>
      </c>
      <c r="O54" t="s">
        <v>1197</v>
      </c>
    </row>
    <row r="55" spans="1:15" x14ac:dyDescent="0.2">
      <c r="A55" t="s">
        <v>1533</v>
      </c>
      <c r="B55" t="s">
        <v>1188</v>
      </c>
      <c r="C55" t="s">
        <v>1534</v>
      </c>
      <c r="D55" t="s">
        <v>1535</v>
      </c>
      <c r="E55" t="s">
        <v>1536</v>
      </c>
      <c r="F55" t="s">
        <v>1537</v>
      </c>
      <c r="G55" t="s">
        <v>1538</v>
      </c>
      <c r="H55" t="s">
        <v>1539</v>
      </c>
      <c r="I55" t="s">
        <v>1540</v>
      </c>
      <c r="J55" t="s">
        <v>222</v>
      </c>
      <c r="K55" t="s">
        <v>1487</v>
      </c>
      <c r="O55" t="s">
        <v>1186</v>
      </c>
    </row>
    <row r="56" spans="1:15" x14ac:dyDescent="0.2">
      <c r="A56" t="s">
        <v>1541</v>
      </c>
      <c r="B56" t="s">
        <v>1188</v>
      </c>
      <c r="C56" t="s">
        <v>1542</v>
      </c>
      <c r="D56" t="s">
        <v>1543</v>
      </c>
      <c r="E56" t="s">
        <v>1544</v>
      </c>
      <c r="F56" t="s">
        <v>1545</v>
      </c>
      <c r="G56" t="s">
        <v>1546</v>
      </c>
      <c r="H56" t="s">
        <v>1547</v>
      </c>
      <c r="I56" t="s">
        <v>1548</v>
      </c>
      <c r="J56" t="s">
        <v>228</v>
      </c>
      <c r="K56" t="s">
        <v>1487</v>
      </c>
      <c r="O56" t="s">
        <v>1186</v>
      </c>
    </row>
    <row r="57" spans="1:15" x14ac:dyDescent="0.2">
      <c r="A57" t="s">
        <v>1549</v>
      </c>
      <c r="B57" t="s">
        <v>1188</v>
      </c>
      <c r="C57" t="s">
        <v>1550</v>
      </c>
      <c r="D57" t="s">
        <v>1551</v>
      </c>
      <c r="E57" t="s">
        <v>1552</v>
      </c>
      <c r="F57" t="s">
        <v>1553</v>
      </c>
      <c r="G57" t="s">
        <v>1554</v>
      </c>
      <c r="H57" t="s">
        <v>1555</v>
      </c>
      <c r="I57" t="s">
        <v>1556</v>
      </c>
      <c r="J57" t="s">
        <v>222</v>
      </c>
      <c r="K57" t="s">
        <v>1487</v>
      </c>
      <c r="O57" t="s">
        <v>1186</v>
      </c>
    </row>
    <row r="58" spans="1:15" x14ac:dyDescent="0.2">
      <c r="A58" t="s">
        <v>1557</v>
      </c>
      <c r="B58" t="s">
        <v>1188</v>
      </c>
      <c r="C58" t="s">
        <v>1558</v>
      </c>
      <c r="D58" t="s">
        <v>1559</v>
      </c>
      <c r="E58" t="s">
        <v>1560</v>
      </c>
      <c r="F58" t="s">
        <v>1436</v>
      </c>
      <c r="G58" t="s">
        <v>1561</v>
      </c>
      <c r="H58" t="s">
        <v>1562</v>
      </c>
      <c r="I58" t="s">
        <v>1563</v>
      </c>
      <c r="J58" t="s">
        <v>222</v>
      </c>
      <c r="K58" t="s">
        <v>1487</v>
      </c>
      <c r="N58" t="s">
        <v>1564</v>
      </c>
      <c r="O58" t="s">
        <v>1440</v>
      </c>
    </row>
  </sheetData>
  <dataValidations count="4">
    <dataValidation type="list" allowBlank="1" prompt="Select" sqref="B2:B600" xr:uid="{00000000-0002-0000-0300-000000000000}">
      <formula1>"Map,Photograph,Census or roll,Report,Newspaper,Letter,Memoir,Postcard,Administrative,Legal claim,Secondary,Web compilation,Other"</formula1>
      <formula2>0</formula2>
    </dataValidation>
    <dataValidation type="list" allowBlank="1" prompt="Select" sqref="I2:I600" xr:uid="{00000000-0002-0000-0300-000001000000}">
      <formula1>"US official,Panamanian,Caribbean community,Mixed"</formula1>
      <formula2>0</formula2>
    </dataValidation>
    <dataValidation type="list" allowBlank="1" prompt="Select" sqref="J2:J600" xr:uid="{00000000-0002-0000-0300-000002000000}">
      <formula1>"High,Medium,Low"</formula1>
      <formula2>0</formula2>
    </dataValidation>
    <dataValidation type="list" allowBlank="1" prompt="Select" sqref="K2:K600" xr:uid="{00000000-0002-0000-0300-000003000000}">
      <formula1>"Y,N,NA"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S3029"/>
  <sheetViews>
    <sheetView zoomScaleNormal="100" workbookViewId="0">
      <pane xSplit="3" ySplit="1" topLeftCell="D702" activePane="bottomRight" state="frozen"/>
      <selection pane="topRight" activeCell="D1" sqref="D1"/>
      <selection pane="bottomLeft" activeCell="A2" sqref="A2"/>
      <selection pane="bottomRight" activeCell="A375" sqref="A375"/>
    </sheetView>
  </sheetViews>
  <sheetFormatPr baseColWidth="10" defaultColWidth="8.6640625" defaultRowHeight="15" x14ac:dyDescent="0.2"/>
  <cols>
    <col min="1" max="1" width="12" customWidth="1"/>
    <col min="2" max="3" width="11" customWidth="1"/>
    <col min="4" max="4" width="17" customWidth="1"/>
    <col min="5" max="5" width="18" customWidth="1"/>
    <col min="6" max="8" width="8" customWidth="1"/>
    <col min="9" max="9" width="20" customWidth="1"/>
    <col min="10" max="10" width="13" customWidth="1"/>
    <col min="11" max="12" width="11" customWidth="1"/>
    <col min="13" max="13" width="12" customWidth="1"/>
    <col min="14" max="14" width="10" customWidth="1"/>
    <col min="15" max="15" width="13" customWidth="1"/>
    <col min="16" max="16" width="32" customWidth="1"/>
    <col min="17" max="19" width="13" customWidth="1"/>
  </cols>
  <sheetData>
    <row r="1" spans="1:19" ht="33.75" customHeight="1" x14ac:dyDescent="0.2">
      <c r="A1" s="6" t="s">
        <v>1565</v>
      </c>
      <c r="B1" s="6" t="s">
        <v>1566</v>
      </c>
      <c r="C1" s="6" t="s">
        <v>1567</v>
      </c>
      <c r="D1" s="6" t="s">
        <v>1568</v>
      </c>
      <c r="E1" s="6" t="s">
        <v>1569</v>
      </c>
      <c r="F1" s="6" t="s">
        <v>1570</v>
      </c>
      <c r="G1" s="6" t="s">
        <v>1571</v>
      </c>
      <c r="H1" s="6" t="s">
        <v>1572</v>
      </c>
      <c r="I1" s="6" t="s">
        <v>1573</v>
      </c>
      <c r="J1" s="6" t="s">
        <v>1574</v>
      </c>
      <c r="K1" s="6" t="s">
        <v>1575</v>
      </c>
      <c r="L1" s="6" t="s">
        <v>1576</v>
      </c>
      <c r="M1" s="6" t="s">
        <v>1577</v>
      </c>
      <c r="N1" s="6" t="s">
        <v>1578</v>
      </c>
      <c r="O1" s="6" t="s">
        <v>1579</v>
      </c>
      <c r="P1" s="6" t="s">
        <v>1580</v>
      </c>
      <c r="Q1" s="6" t="s">
        <v>1581</v>
      </c>
      <c r="R1" s="6" t="s">
        <v>1582</v>
      </c>
      <c r="S1" s="6" t="s">
        <v>1583</v>
      </c>
    </row>
    <row r="2" spans="1:19" ht="15" customHeight="1" x14ac:dyDescent="0.2">
      <c r="A2" s="9" t="s">
        <v>1584</v>
      </c>
      <c r="B2" s="9" t="s">
        <v>218</v>
      </c>
      <c r="C2" s="9" t="s">
        <v>1147</v>
      </c>
      <c r="D2" s="9" t="s">
        <v>1585</v>
      </c>
      <c r="E2" s="9" t="s">
        <v>1586</v>
      </c>
      <c r="F2" s="9" t="s">
        <v>1587</v>
      </c>
      <c r="G2" s="9"/>
      <c r="H2" s="9"/>
      <c r="I2" s="9" t="s">
        <v>1077</v>
      </c>
      <c r="J2" s="9"/>
      <c r="K2" s="9"/>
      <c r="L2" s="9"/>
      <c r="M2" s="9" t="s">
        <v>209</v>
      </c>
      <c r="N2" s="9" t="s">
        <v>209</v>
      </c>
      <c r="O2" s="9" t="s">
        <v>1153</v>
      </c>
      <c r="P2" s="9" t="s">
        <v>1588</v>
      </c>
      <c r="Q2" s="7" t="str">
        <f>IF($C2="","",IFERROR(VLOOKUP($C2,sources!$A$2:$N$200,2,FALSE()),"?"))</f>
        <v>Web compilation</v>
      </c>
      <c r="R2" s="7" t="str">
        <f t="shared" ref="R2:R65" si="0">IF($Q2="","",IF($Q2="Map","Map",IF(OR($Q2="Photograph",$Q2="Postcard"),"Image",IF(OR($Q2="Census or roll",$Q2="Report",$Q2="Newspaper",$Q2="Letter",$Q2="Memoir",$Q2="Administrative",$Q2="Web compilation"),"Textual",IF($Q2="Legal claim","Legal/admin",IF($Q2="Secondary","Secondary","Other"))))))</f>
        <v>Textual</v>
      </c>
      <c r="S2" s="7" t="str">
        <f>IF($C2="","",IFERROR(VLOOKUP($C2,sources!$A$2:$N$200,9,FALSE()),"?"))</f>
        <v>Mixed</v>
      </c>
    </row>
    <row r="3" spans="1:19" ht="15" customHeight="1" x14ac:dyDescent="0.2">
      <c r="A3" s="9" t="s">
        <v>1589</v>
      </c>
      <c r="B3" s="9" t="s">
        <v>218</v>
      </c>
      <c r="C3" s="9" t="s">
        <v>1158</v>
      </c>
      <c r="D3" s="9" t="s">
        <v>1585</v>
      </c>
      <c r="E3" s="9" t="s">
        <v>1590</v>
      </c>
      <c r="F3" s="9" t="s">
        <v>1587</v>
      </c>
      <c r="G3" s="9"/>
      <c r="H3" s="9"/>
      <c r="I3" s="9" t="s">
        <v>1077</v>
      </c>
      <c r="J3" s="9"/>
      <c r="K3" s="9" t="s">
        <v>1591</v>
      </c>
      <c r="L3" s="9" t="s">
        <v>1592</v>
      </c>
      <c r="M3" s="9" t="s">
        <v>228</v>
      </c>
      <c r="N3" s="9" t="s">
        <v>222</v>
      </c>
      <c r="O3" s="9" t="s">
        <v>1153</v>
      </c>
      <c r="P3" s="9" t="s">
        <v>223</v>
      </c>
      <c r="Q3" s="7" t="str">
        <f>IF($C3="","",IFERROR(VLOOKUP($C3,sources!$A$2:$N$200,2,FALSE()),"?"))</f>
        <v>Secondary</v>
      </c>
      <c r="R3" s="7" t="str">
        <f t="shared" si="0"/>
        <v>Secondary</v>
      </c>
      <c r="S3" s="7" t="str">
        <f>IF($C3="","",IFERROR(VLOOKUP($C3,sources!$A$2:$N$200,9,FALSE()),"?"))</f>
        <v>Secondary</v>
      </c>
    </row>
    <row r="4" spans="1:19" ht="23.25" customHeight="1" x14ac:dyDescent="0.2">
      <c r="A4" s="9" t="s">
        <v>1593</v>
      </c>
      <c r="B4" s="9" t="s">
        <v>218</v>
      </c>
      <c r="C4" s="9" t="s">
        <v>1198</v>
      </c>
      <c r="D4" s="9" t="s">
        <v>1594</v>
      </c>
      <c r="E4" s="9" t="s">
        <v>219</v>
      </c>
      <c r="F4" s="9" t="s">
        <v>1587</v>
      </c>
      <c r="G4" s="9"/>
      <c r="H4" s="9"/>
      <c r="I4" s="9" t="s">
        <v>1595</v>
      </c>
      <c r="J4" s="9"/>
      <c r="K4" s="9" t="s">
        <v>1200</v>
      </c>
      <c r="L4" s="9" t="s">
        <v>1200</v>
      </c>
      <c r="M4" s="9" t="s">
        <v>228</v>
      </c>
      <c r="N4" s="9" t="s">
        <v>222</v>
      </c>
      <c r="O4" s="9" t="s">
        <v>1596</v>
      </c>
      <c r="P4" s="9" t="s">
        <v>1597</v>
      </c>
      <c r="Q4" s="7" t="str">
        <f>IF($C4="","",IFERROR(VLOOKUP($C4,sources!$A$2:$N$200,2,FALSE()),"?"))</f>
        <v>Map</v>
      </c>
      <c r="R4" s="7" t="str">
        <f t="shared" si="0"/>
        <v>Map</v>
      </c>
      <c r="S4" s="7" t="str">
        <f>IF($C4="","",IFERROR(VLOOKUP($C4,sources!$A$2:$N$200,9,FALSE()),"?"))</f>
        <v>US official</v>
      </c>
    </row>
    <row r="5" spans="1:19" ht="15" customHeight="1" x14ac:dyDescent="0.2">
      <c r="A5" s="9" t="s">
        <v>1598</v>
      </c>
      <c r="B5" s="9" t="s">
        <v>218</v>
      </c>
      <c r="C5" s="9" t="s">
        <v>1167</v>
      </c>
      <c r="D5" s="9" t="s">
        <v>1599</v>
      </c>
      <c r="E5" s="9" t="s">
        <v>219</v>
      </c>
      <c r="F5" s="9" t="s">
        <v>1587</v>
      </c>
      <c r="G5" s="9"/>
      <c r="H5" s="9"/>
      <c r="I5" s="9" t="s">
        <v>1077</v>
      </c>
      <c r="J5" s="9"/>
      <c r="K5" s="9"/>
      <c r="L5" s="9"/>
      <c r="M5" s="9" t="s">
        <v>228</v>
      </c>
      <c r="N5" s="9" t="s">
        <v>222</v>
      </c>
      <c r="O5" s="9" t="s">
        <v>1600</v>
      </c>
      <c r="P5" s="9" t="s">
        <v>1601</v>
      </c>
      <c r="Q5" s="7" t="str">
        <f>IF($C5="","",IFERROR(VLOOKUP($C5,sources!$A$2:$N$200,2,FALSE()),"?"))</f>
        <v>Report</v>
      </c>
      <c r="R5" s="7" t="str">
        <f t="shared" si="0"/>
        <v>Textual</v>
      </c>
      <c r="S5" s="7" t="str">
        <f>IF($C5="","",IFERROR(VLOOKUP($C5,sources!$A$2:$N$200,9,FALSE()),"?"))</f>
        <v>US official</v>
      </c>
    </row>
    <row r="6" spans="1:19" ht="15" customHeight="1" x14ac:dyDescent="0.2">
      <c r="A6" s="9" t="s">
        <v>1602</v>
      </c>
      <c r="B6" s="9" t="s">
        <v>238</v>
      </c>
      <c r="C6" s="9" t="s">
        <v>1147</v>
      </c>
      <c r="D6" s="9" t="s">
        <v>1603</v>
      </c>
      <c r="E6" s="9" t="s">
        <v>1604</v>
      </c>
      <c r="F6" s="9" t="s">
        <v>1587</v>
      </c>
      <c r="G6" s="9"/>
      <c r="H6" s="9"/>
      <c r="I6" s="9" t="s">
        <v>1077</v>
      </c>
      <c r="J6" s="9"/>
      <c r="K6" s="9" t="s">
        <v>250</v>
      </c>
      <c r="L6" s="9" t="s">
        <v>250</v>
      </c>
      <c r="M6" s="9" t="s">
        <v>228</v>
      </c>
      <c r="N6" s="9" t="s">
        <v>209</v>
      </c>
      <c r="O6" s="9" t="s">
        <v>1153</v>
      </c>
      <c r="P6" s="9" t="s">
        <v>1605</v>
      </c>
      <c r="Q6" s="7" t="str">
        <f>IF($C6="","",IFERROR(VLOOKUP($C6,sources!$A$2:$N$200,2,FALSE()),"?"))</f>
        <v>Web compilation</v>
      </c>
      <c r="R6" s="7" t="str">
        <f t="shared" si="0"/>
        <v>Textual</v>
      </c>
      <c r="S6" s="7" t="str">
        <f>IF($C6="","",IFERROR(VLOOKUP($C6,sources!$A$2:$N$200,9,FALSE()),"?"))</f>
        <v>Mixed</v>
      </c>
    </row>
    <row r="7" spans="1:19" ht="23.25" customHeight="1" x14ac:dyDescent="0.2">
      <c r="A7" s="9" t="s">
        <v>1606</v>
      </c>
      <c r="B7" s="9" t="s">
        <v>238</v>
      </c>
      <c r="C7" s="9" t="s">
        <v>1198</v>
      </c>
      <c r="D7" s="9" t="s">
        <v>1594</v>
      </c>
      <c r="E7" s="9" t="s">
        <v>1607</v>
      </c>
      <c r="F7" s="9" t="s">
        <v>1587</v>
      </c>
      <c r="G7" s="9"/>
      <c r="H7" s="9"/>
      <c r="I7" s="9" t="s">
        <v>1595</v>
      </c>
      <c r="J7" s="9"/>
      <c r="K7" s="9" t="s">
        <v>250</v>
      </c>
      <c r="L7" s="9" t="s">
        <v>250</v>
      </c>
      <c r="M7" s="9" t="s">
        <v>228</v>
      </c>
      <c r="N7" s="9" t="s">
        <v>228</v>
      </c>
      <c r="O7" s="9" t="s">
        <v>1596</v>
      </c>
      <c r="P7" s="9" t="s">
        <v>1608</v>
      </c>
      <c r="Q7" s="7" t="str">
        <f>IF($C7="","",IFERROR(VLOOKUP($C7,sources!$A$2:$N$200,2,FALSE()),"?"))</f>
        <v>Map</v>
      </c>
      <c r="R7" s="7" t="str">
        <f t="shared" si="0"/>
        <v>Map</v>
      </c>
      <c r="S7" s="7" t="str">
        <f>IF($C7="","",IFERROR(VLOOKUP($C7,sources!$A$2:$N$200,9,FALSE()),"?"))</f>
        <v>US official</v>
      </c>
    </row>
    <row r="8" spans="1:19" ht="15" customHeight="1" x14ac:dyDescent="0.2">
      <c r="A8" s="9" t="s">
        <v>1609</v>
      </c>
      <c r="B8" s="9" t="s">
        <v>238</v>
      </c>
      <c r="C8" s="9" t="s">
        <v>1158</v>
      </c>
      <c r="D8" s="9" t="s">
        <v>1599</v>
      </c>
      <c r="E8" s="9" t="s">
        <v>1607</v>
      </c>
      <c r="F8" s="9" t="s">
        <v>1587</v>
      </c>
      <c r="G8" s="9"/>
      <c r="H8" s="9"/>
      <c r="I8" s="9" t="s">
        <v>1077</v>
      </c>
      <c r="J8" s="9"/>
      <c r="K8" s="9"/>
      <c r="L8" s="9"/>
      <c r="M8" s="9" t="s">
        <v>228</v>
      </c>
      <c r="N8" s="9" t="s">
        <v>222</v>
      </c>
      <c r="O8" s="9" t="s">
        <v>1153</v>
      </c>
      <c r="P8" s="9" t="s">
        <v>1610</v>
      </c>
      <c r="Q8" s="7" t="str">
        <f>IF($C8="","",IFERROR(VLOOKUP($C8,sources!$A$2:$N$200,2,FALSE()),"?"))</f>
        <v>Secondary</v>
      </c>
      <c r="R8" s="7" t="str">
        <f t="shared" si="0"/>
        <v>Secondary</v>
      </c>
      <c r="S8" s="7" t="str">
        <f>IF($C8="","",IFERROR(VLOOKUP($C8,sources!$A$2:$N$200,9,FALSE()),"?"))</f>
        <v>Secondary</v>
      </c>
    </row>
    <row r="9" spans="1:19" ht="15" customHeight="1" x14ac:dyDescent="0.2">
      <c r="A9" s="9" t="s">
        <v>1611</v>
      </c>
      <c r="B9" s="9" t="s">
        <v>245</v>
      </c>
      <c r="C9" s="9" t="s">
        <v>1167</v>
      </c>
      <c r="D9" s="9" t="s">
        <v>1599</v>
      </c>
      <c r="E9" s="9" t="s">
        <v>246</v>
      </c>
      <c r="F9" s="9" t="s">
        <v>1612</v>
      </c>
      <c r="G9" s="9"/>
      <c r="H9" s="9"/>
      <c r="I9" s="9" t="s">
        <v>1077</v>
      </c>
      <c r="J9" s="9"/>
      <c r="K9" s="9" t="s">
        <v>250</v>
      </c>
      <c r="L9" s="9"/>
      <c r="M9" s="9" t="s">
        <v>228</v>
      </c>
      <c r="N9" s="9" t="s">
        <v>222</v>
      </c>
      <c r="O9" s="9" t="s">
        <v>1600</v>
      </c>
      <c r="P9" s="9" t="s">
        <v>1613</v>
      </c>
      <c r="Q9" s="7" t="str">
        <f>IF($C9="","",IFERROR(VLOOKUP($C9,sources!$A$2:$N$200,2,FALSE()),"?"))</f>
        <v>Report</v>
      </c>
      <c r="R9" s="7" t="str">
        <f t="shared" si="0"/>
        <v>Textual</v>
      </c>
      <c r="S9" s="7" t="str">
        <f>IF($C9="","",IFERROR(VLOOKUP($C9,sources!$A$2:$N$200,9,FALSE()),"?"))</f>
        <v>US official</v>
      </c>
    </row>
    <row r="10" spans="1:19" ht="23.25" customHeight="1" x14ac:dyDescent="0.2">
      <c r="A10" s="9" t="s">
        <v>1614</v>
      </c>
      <c r="B10" s="9" t="s">
        <v>245</v>
      </c>
      <c r="C10" s="9" t="s">
        <v>1187</v>
      </c>
      <c r="D10" s="9" t="s">
        <v>1594</v>
      </c>
      <c r="E10" s="9" t="s">
        <v>1607</v>
      </c>
      <c r="F10" s="9" t="s">
        <v>1612</v>
      </c>
      <c r="G10" s="9"/>
      <c r="H10" s="9"/>
      <c r="I10" s="9" t="s">
        <v>1595</v>
      </c>
      <c r="J10" s="9"/>
      <c r="K10" s="9" t="s">
        <v>1191</v>
      </c>
      <c r="L10" s="9" t="s">
        <v>1191</v>
      </c>
      <c r="M10" s="9" t="s">
        <v>228</v>
      </c>
      <c r="N10" s="9" t="s">
        <v>222</v>
      </c>
      <c r="O10" s="9" t="s">
        <v>1615</v>
      </c>
      <c r="P10" s="9" t="s">
        <v>1616</v>
      </c>
      <c r="Q10" s="7" t="str">
        <f>IF($C10="","",IFERROR(VLOOKUP($C10,sources!$A$2:$N$200,2,FALSE()),"?"))</f>
        <v>Map</v>
      </c>
      <c r="R10" s="7" t="str">
        <f t="shared" si="0"/>
        <v>Map</v>
      </c>
      <c r="S10" s="7" t="str">
        <f>IF($C10="","",IFERROR(VLOOKUP($C10,sources!$A$2:$N$200,9,FALSE()),"?"))</f>
        <v>US official</v>
      </c>
    </row>
    <row r="11" spans="1:19" ht="15" customHeight="1" x14ac:dyDescent="0.2">
      <c r="A11" s="9" t="s">
        <v>1617</v>
      </c>
      <c r="B11" s="9" t="s">
        <v>252</v>
      </c>
      <c r="C11" s="9" t="s">
        <v>1167</v>
      </c>
      <c r="D11" s="9" t="s">
        <v>1585</v>
      </c>
      <c r="E11" s="9" t="s">
        <v>253</v>
      </c>
      <c r="F11" s="9" t="s">
        <v>1612</v>
      </c>
      <c r="G11" s="9"/>
      <c r="H11" s="9"/>
      <c r="I11" s="9" t="s">
        <v>1077</v>
      </c>
      <c r="J11" s="9"/>
      <c r="K11" s="9" t="s">
        <v>302</v>
      </c>
      <c r="L11" s="9" t="s">
        <v>292</v>
      </c>
      <c r="M11" s="9" t="s">
        <v>222</v>
      </c>
      <c r="N11" s="9" t="s">
        <v>222</v>
      </c>
      <c r="O11" s="9" t="s">
        <v>1600</v>
      </c>
      <c r="P11" s="9" t="s">
        <v>1618</v>
      </c>
      <c r="Q11" s="7" t="str">
        <f>IF($C11="","",IFERROR(VLOOKUP($C11,sources!$A$2:$N$200,2,FALSE()),"?"))</f>
        <v>Report</v>
      </c>
      <c r="R11" s="7" t="str">
        <f t="shared" si="0"/>
        <v>Textual</v>
      </c>
      <c r="S11" s="7" t="str">
        <f>IF($C11="","",IFERROR(VLOOKUP($C11,sources!$A$2:$N$200,9,FALSE()),"?"))</f>
        <v>US official</v>
      </c>
    </row>
    <row r="12" spans="1:19" ht="15" customHeight="1" x14ac:dyDescent="0.2">
      <c r="A12" s="9" t="s">
        <v>1619</v>
      </c>
      <c r="B12" s="9" t="s">
        <v>252</v>
      </c>
      <c r="C12" s="9" t="s">
        <v>1158</v>
      </c>
      <c r="D12" s="9" t="s">
        <v>1585</v>
      </c>
      <c r="E12" s="9" t="s">
        <v>324</v>
      </c>
      <c r="F12" s="9" t="s">
        <v>1587</v>
      </c>
      <c r="G12" s="9"/>
      <c r="H12" s="9"/>
      <c r="I12" s="9" t="s">
        <v>1077</v>
      </c>
      <c r="J12" s="9"/>
      <c r="K12" s="9"/>
      <c r="L12" s="9"/>
      <c r="M12" s="9" t="s">
        <v>228</v>
      </c>
      <c r="N12" s="9" t="s">
        <v>222</v>
      </c>
      <c r="O12" s="9" t="s">
        <v>1153</v>
      </c>
      <c r="P12" s="9" t="s">
        <v>1620</v>
      </c>
      <c r="Q12" s="7" t="str">
        <f>IF($C12="","",IFERROR(VLOOKUP($C12,sources!$A$2:$N$200,2,FALSE()),"?"))</f>
        <v>Secondary</v>
      </c>
      <c r="R12" s="7" t="str">
        <f t="shared" si="0"/>
        <v>Secondary</v>
      </c>
      <c r="S12" s="7" t="str">
        <f>IF($C12="","",IFERROR(VLOOKUP($C12,sources!$A$2:$N$200,9,FALSE()),"?"))</f>
        <v>Secondary</v>
      </c>
    </row>
    <row r="13" spans="1:19" ht="15" customHeight="1" x14ac:dyDescent="0.2">
      <c r="A13" s="9" t="s">
        <v>1621</v>
      </c>
      <c r="B13" s="9" t="s">
        <v>252</v>
      </c>
      <c r="C13" s="9" t="s">
        <v>1158</v>
      </c>
      <c r="D13" s="9" t="s">
        <v>1603</v>
      </c>
      <c r="E13" s="9" t="s">
        <v>253</v>
      </c>
      <c r="F13" s="9" t="s">
        <v>1612</v>
      </c>
      <c r="G13" s="9"/>
      <c r="H13" s="9"/>
      <c r="I13" s="9" t="s">
        <v>1077</v>
      </c>
      <c r="J13" s="9"/>
      <c r="K13" s="9" t="s">
        <v>361</v>
      </c>
      <c r="L13" s="9" t="s">
        <v>292</v>
      </c>
      <c r="M13" s="9" t="s">
        <v>228</v>
      </c>
      <c r="N13" s="9" t="s">
        <v>222</v>
      </c>
      <c r="O13" s="9" t="s">
        <v>1153</v>
      </c>
      <c r="P13" s="9" t="s">
        <v>1622</v>
      </c>
      <c r="Q13" s="7" t="str">
        <f>IF($C13="","",IFERROR(VLOOKUP($C13,sources!$A$2:$N$200,2,FALSE()),"?"))</f>
        <v>Secondary</v>
      </c>
      <c r="R13" s="7" t="str">
        <f t="shared" si="0"/>
        <v>Secondary</v>
      </c>
      <c r="S13" s="7" t="str">
        <f>IF($C13="","",IFERROR(VLOOKUP($C13,sources!$A$2:$N$200,9,FALSE()),"?"))</f>
        <v>Secondary</v>
      </c>
    </row>
    <row r="14" spans="1:19" ht="23.25" customHeight="1" x14ac:dyDescent="0.2">
      <c r="A14" s="9" t="s">
        <v>1623</v>
      </c>
      <c r="B14" s="9" t="s">
        <v>252</v>
      </c>
      <c r="C14" s="9" t="s">
        <v>1187</v>
      </c>
      <c r="D14" s="9" t="s">
        <v>1594</v>
      </c>
      <c r="E14" s="9" t="s">
        <v>253</v>
      </c>
      <c r="F14" s="9" t="s">
        <v>1612</v>
      </c>
      <c r="G14" s="9"/>
      <c r="H14" s="9"/>
      <c r="I14" s="9" t="s">
        <v>1595</v>
      </c>
      <c r="J14" s="9"/>
      <c r="K14" s="9" t="s">
        <v>1191</v>
      </c>
      <c r="L14" s="9" t="s">
        <v>1191</v>
      </c>
      <c r="M14" s="9" t="s">
        <v>228</v>
      </c>
      <c r="N14" s="9" t="s">
        <v>222</v>
      </c>
      <c r="O14" s="9" t="s">
        <v>1615</v>
      </c>
      <c r="P14" s="9" t="s">
        <v>1624</v>
      </c>
      <c r="Q14" s="7" t="str">
        <f>IF($C14="","",IFERROR(VLOOKUP($C14,sources!$A$2:$N$200,2,FALSE()),"?"))</f>
        <v>Map</v>
      </c>
      <c r="R14" s="7" t="str">
        <f t="shared" si="0"/>
        <v>Map</v>
      </c>
      <c r="S14" s="7" t="str">
        <f>IF($C14="","",IFERROR(VLOOKUP($C14,sources!$A$2:$N$200,9,FALSE()),"?"))</f>
        <v>US official</v>
      </c>
    </row>
    <row r="15" spans="1:19" ht="21.75" customHeight="1" x14ac:dyDescent="0.2">
      <c r="A15" s="9" t="s">
        <v>1625</v>
      </c>
      <c r="B15" s="9" t="s">
        <v>252</v>
      </c>
      <c r="C15" s="9" t="s">
        <v>1213</v>
      </c>
      <c r="D15" s="9" t="s">
        <v>1599</v>
      </c>
      <c r="E15" s="9" t="s">
        <v>253</v>
      </c>
      <c r="F15" s="9" t="s">
        <v>1612</v>
      </c>
      <c r="G15" s="9"/>
      <c r="H15" s="9"/>
      <c r="I15" s="9" t="s">
        <v>1077</v>
      </c>
      <c r="J15" s="9"/>
      <c r="K15" s="9" t="s">
        <v>302</v>
      </c>
      <c r="L15" s="9" t="s">
        <v>292</v>
      </c>
      <c r="M15" s="9" t="s">
        <v>209</v>
      </c>
      <c r="N15" s="9" t="s">
        <v>228</v>
      </c>
      <c r="O15" s="9" t="s">
        <v>1153</v>
      </c>
      <c r="P15" s="9" t="s">
        <v>1626</v>
      </c>
      <c r="Q15" s="7" t="str">
        <f>IF($C15="","",IFERROR(VLOOKUP($C15,sources!$A$2:$N$200,2,FALSE()),"?"))</f>
        <v>Administrative</v>
      </c>
      <c r="R15" s="7" t="str">
        <f t="shared" si="0"/>
        <v>Textual</v>
      </c>
      <c r="S15" s="7" t="str">
        <f>IF($C15="","",IFERROR(VLOOKUP($C15,sources!$A$2:$N$200,9,FALSE()),"?"))</f>
        <v>Caribbean community</v>
      </c>
    </row>
    <row r="16" spans="1:19" ht="15" customHeight="1" x14ac:dyDescent="0.2">
      <c r="A16" s="9" t="s">
        <v>1627</v>
      </c>
      <c r="B16" s="9" t="s">
        <v>261</v>
      </c>
      <c r="C16" s="9" t="s">
        <v>1167</v>
      </c>
      <c r="D16" s="9" t="s">
        <v>1585</v>
      </c>
      <c r="E16" s="9" t="s">
        <v>262</v>
      </c>
      <c r="F16" s="9" t="s">
        <v>1587</v>
      </c>
      <c r="G16" s="9"/>
      <c r="H16" s="9"/>
      <c r="I16" s="9" t="s">
        <v>1077</v>
      </c>
      <c r="J16" s="9"/>
      <c r="K16" s="9" t="s">
        <v>302</v>
      </c>
      <c r="L16" s="9" t="s">
        <v>1628</v>
      </c>
      <c r="M16" s="9" t="s">
        <v>222</v>
      </c>
      <c r="N16" s="9" t="s">
        <v>222</v>
      </c>
      <c r="O16" s="9" t="s">
        <v>1600</v>
      </c>
      <c r="P16" s="9" t="s">
        <v>1629</v>
      </c>
      <c r="Q16" s="7" t="str">
        <f>IF($C16="","",IFERROR(VLOOKUP($C16,sources!$A$2:$N$200,2,FALSE()),"?"))</f>
        <v>Report</v>
      </c>
      <c r="R16" s="7" t="str">
        <f t="shared" si="0"/>
        <v>Textual</v>
      </c>
      <c r="S16" s="7" t="str">
        <f>IF($C16="","",IFERROR(VLOOKUP($C16,sources!$A$2:$N$200,9,FALSE()),"?"))</f>
        <v>US official</v>
      </c>
    </row>
    <row r="17" spans="1:19" ht="15" customHeight="1" x14ac:dyDescent="0.2">
      <c r="A17" s="9" t="s">
        <v>1630</v>
      </c>
      <c r="B17" s="9" t="s">
        <v>261</v>
      </c>
      <c r="C17" s="9" t="s">
        <v>1158</v>
      </c>
      <c r="D17" s="9" t="s">
        <v>1603</v>
      </c>
      <c r="E17" s="9" t="s">
        <v>262</v>
      </c>
      <c r="F17" s="9" t="s">
        <v>1587</v>
      </c>
      <c r="G17" s="9"/>
      <c r="H17" s="9"/>
      <c r="I17" s="9" t="s">
        <v>1077</v>
      </c>
      <c r="J17" s="9"/>
      <c r="K17" s="9" t="s">
        <v>361</v>
      </c>
      <c r="L17" s="9" t="s">
        <v>1628</v>
      </c>
      <c r="M17" s="9" t="s">
        <v>228</v>
      </c>
      <c r="N17" s="9" t="s">
        <v>222</v>
      </c>
      <c r="O17" s="9" t="s">
        <v>1153</v>
      </c>
      <c r="P17" s="9" t="s">
        <v>1631</v>
      </c>
      <c r="Q17" s="7" t="str">
        <f>IF($C17="","",IFERROR(VLOOKUP($C17,sources!$A$2:$N$200,2,FALSE()),"?"))</f>
        <v>Secondary</v>
      </c>
      <c r="R17" s="7" t="str">
        <f t="shared" si="0"/>
        <v>Secondary</v>
      </c>
      <c r="S17" s="7" t="str">
        <f>IF($C17="","",IFERROR(VLOOKUP($C17,sources!$A$2:$N$200,9,FALSE()),"?"))</f>
        <v>Secondary</v>
      </c>
    </row>
    <row r="18" spans="1:19" ht="23.25" customHeight="1" x14ac:dyDescent="0.2">
      <c r="A18" s="9" t="s">
        <v>1632</v>
      </c>
      <c r="B18" s="9" t="s">
        <v>261</v>
      </c>
      <c r="C18" s="9" t="s">
        <v>1198</v>
      </c>
      <c r="D18" s="9" t="s">
        <v>1594</v>
      </c>
      <c r="E18" s="9" t="s">
        <v>262</v>
      </c>
      <c r="F18" s="9" t="s">
        <v>1587</v>
      </c>
      <c r="G18" s="9"/>
      <c r="H18" s="9"/>
      <c r="I18" s="9" t="s">
        <v>1595</v>
      </c>
      <c r="J18" s="9"/>
      <c r="K18" s="9" t="s">
        <v>1200</v>
      </c>
      <c r="L18" s="9" t="s">
        <v>1200</v>
      </c>
      <c r="M18" s="9" t="s">
        <v>228</v>
      </c>
      <c r="N18" s="9" t="s">
        <v>222</v>
      </c>
      <c r="O18" s="9" t="s">
        <v>1596</v>
      </c>
      <c r="P18" s="9" t="s">
        <v>1633</v>
      </c>
      <c r="Q18" s="7" t="str">
        <f>IF($C18="","",IFERROR(VLOOKUP($C18,sources!$A$2:$N$200,2,FALSE()),"?"))</f>
        <v>Map</v>
      </c>
      <c r="R18" s="7" t="str">
        <f t="shared" si="0"/>
        <v>Map</v>
      </c>
      <c r="S18" s="7" t="str">
        <f>IF($C18="","",IFERROR(VLOOKUP($C18,sources!$A$2:$N$200,9,FALSE()),"?"))</f>
        <v>US official</v>
      </c>
    </row>
    <row r="19" spans="1:19" ht="23.25" customHeight="1" x14ac:dyDescent="0.2">
      <c r="A19" s="9" t="s">
        <v>1634</v>
      </c>
      <c r="B19" s="9" t="s">
        <v>266</v>
      </c>
      <c r="C19" s="9" t="s">
        <v>1198</v>
      </c>
      <c r="D19" s="9" t="s">
        <v>1594</v>
      </c>
      <c r="E19" s="9" t="s">
        <v>267</v>
      </c>
      <c r="F19" s="9" t="s">
        <v>1587</v>
      </c>
      <c r="G19" s="9"/>
      <c r="H19" s="9"/>
      <c r="I19" s="9" t="s">
        <v>1595</v>
      </c>
      <c r="J19" s="9"/>
      <c r="K19" s="9" t="s">
        <v>1200</v>
      </c>
      <c r="L19" s="9" t="s">
        <v>1200</v>
      </c>
      <c r="M19" s="9" t="s">
        <v>228</v>
      </c>
      <c r="N19" s="9" t="s">
        <v>222</v>
      </c>
      <c r="O19" s="9" t="s">
        <v>1596</v>
      </c>
      <c r="P19" s="9" t="s">
        <v>1635</v>
      </c>
      <c r="Q19" s="7" t="str">
        <f>IF($C19="","",IFERROR(VLOOKUP($C19,sources!$A$2:$N$200,2,FALSE()),"?"))</f>
        <v>Map</v>
      </c>
      <c r="R19" s="7" t="str">
        <f t="shared" si="0"/>
        <v>Map</v>
      </c>
      <c r="S19" s="7" t="str">
        <f>IF($C19="","",IFERROR(VLOOKUP($C19,sources!$A$2:$N$200,9,FALSE()),"?"))</f>
        <v>US official</v>
      </c>
    </row>
    <row r="20" spans="1:19" ht="15" customHeight="1" x14ac:dyDescent="0.2">
      <c r="A20" s="9" t="s">
        <v>1636</v>
      </c>
      <c r="B20" s="9" t="s">
        <v>266</v>
      </c>
      <c r="C20" s="9" t="s">
        <v>1158</v>
      </c>
      <c r="D20" s="9" t="s">
        <v>1599</v>
      </c>
      <c r="E20" s="9" t="s">
        <v>267</v>
      </c>
      <c r="F20" s="9" t="s">
        <v>1587</v>
      </c>
      <c r="G20" s="9"/>
      <c r="H20" s="9"/>
      <c r="I20" s="9" t="s">
        <v>1077</v>
      </c>
      <c r="J20" s="9"/>
      <c r="K20" s="9"/>
      <c r="L20" s="9"/>
      <c r="M20" s="9" t="s">
        <v>228</v>
      </c>
      <c r="N20" s="9" t="s">
        <v>222</v>
      </c>
      <c r="O20" s="9" t="s">
        <v>1153</v>
      </c>
      <c r="P20" s="9" t="s">
        <v>1637</v>
      </c>
      <c r="Q20" s="7" t="str">
        <f>IF($C20="","",IFERROR(VLOOKUP($C20,sources!$A$2:$N$200,2,FALSE()),"?"))</f>
        <v>Secondary</v>
      </c>
      <c r="R20" s="7" t="str">
        <f t="shared" si="0"/>
        <v>Secondary</v>
      </c>
      <c r="S20" s="7" t="str">
        <f>IF($C20="","",IFERROR(VLOOKUP($C20,sources!$A$2:$N$200,9,FALSE()),"?"))</f>
        <v>Secondary</v>
      </c>
    </row>
    <row r="21" spans="1:19" ht="15" customHeight="1" x14ac:dyDescent="0.2">
      <c r="A21" s="9" t="s">
        <v>1638</v>
      </c>
      <c r="B21" s="9" t="s">
        <v>198</v>
      </c>
      <c r="C21" s="9" t="s">
        <v>1147</v>
      </c>
      <c r="D21" s="9" t="s">
        <v>1585</v>
      </c>
      <c r="E21" s="9" t="s">
        <v>199</v>
      </c>
      <c r="F21" s="9" t="s">
        <v>1587</v>
      </c>
      <c r="G21" s="9"/>
      <c r="H21" s="9"/>
      <c r="I21" s="9" t="s">
        <v>1077</v>
      </c>
      <c r="J21" s="9"/>
      <c r="K21" s="9"/>
      <c r="L21" s="9"/>
      <c r="M21" s="9" t="s">
        <v>209</v>
      </c>
      <c r="N21" s="9" t="s">
        <v>209</v>
      </c>
      <c r="O21" s="9" t="s">
        <v>1153</v>
      </c>
      <c r="P21" s="9" t="s">
        <v>1639</v>
      </c>
      <c r="Q21" s="7" t="str">
        <f>IF($C21="","",IFERROR(VLOOKUP($C21,sources!$A$2:$N$200,2,FALSE()),"?"))</f>
        <v>Web compilation</v>
      </c>
      <c r="R21" s="7" t="str">
        <f t="shared" si="0"/>
        <v>Textual</v>
      </c>
      <c r="S21" s="7" t="str">
        <f>IF($C21="","",IFERROR(VLOOKUP($C21,sources!$A$2:$N$200,9,FALSE()),"?"))</f>
        <v>Mixed</v>
      </c>
    </row>
    <row r="22" spans="1:19" ht="23.25" customHeight="1" x14ac:dyDescent="0.2">
      <c r="A22" s="9" t="s">
        <v>1640</v>
      </c>
      <c r="B22" s="9" t="s">
        <v>198</v>
      </c>
      <c r="C22" s="9" t="s">
        <v>1198</v>
      </c>
      <c r="D22" s="9" t="s">
        <v>1594</v>
      </c>
      <c r="E22" s="9" t="s">
        <v>199</v>
      </c>
      <c r="F22" s="9" t="s">
        <v>1587</v>
      </c>
      <c r="G22" s="9"/>
      <c r="H22" s="9"/>
      <c r="I22" s="9" t="s">
        <v>1595</v>
      </c>
      <c r="J22" s="9"/>
      <c r="K22" s="9" t="s">
        <v>1200</v>
      </c>
      <c r="L22" s="9" t="s">
        <v>1200</v>
      </c>
      <c r="M22" s="9" t="s">
        <v>209</v>
      </c>
      <c r="N22" s="9" t="s">
        <v>228</v>
      </c>
      <c r="O22" s="9" t="s">
        <v>1596</v>
      </c>
      <c r="P22" s="9" t="s">
        <v>1641</v>
      </c>
      <c r="Q22" s="7" t="str">
        <f>IF($C22="","",IFERROR(VLOOKUP($C22,sources!$A$2:$N$200,2,FALSE()),"?"))</f>
        <v>Map</v>
      </c>
      <c r="R22" s="7" t="str">
        <f t="shared" si="0"/>
        <v>Map</v>
      </c>
      <c r="S22" s="7" t="str">
        <f>IF($C22="","",IFERROR(VLOOKUP($C22,sources!$A$2:$N$200,9,FALSE()),"?"))</f>
        <v>US official</v>
      </c>
    </row>
    <row r="23" spans="1:19" ht="15" customHeight="1" x14ac:dyDescent="0.2">
      <c r="A23" s="9" t="s">
        <v>1642</v>
      </c>
      <c r="B23" s="9" t="s">
        <v>213</v>
      </c>
      <c r="C23" s="9" t="s">
        <v>1147</v>
      </c>
      <c r="D23" s="9" t="s">
        <v>1585</v>
      </c>
      <c r="E23" s="9" t="s">
        <v>214</v>
      </c>
      <c r="F23" s="9" t="s">
        <v>1587</v>
      </c>
      <c r="G23" s="9"/>
      <c r="H23" s="9"/>
      <c r="I23" s="9" t="s">
        <v>1077</v>
      </c>
      <c r="J23" s="9"/>
      <c r="K23" s="9"/>
      <c r="L23" s="9"/>
      <c r="M23" s="9" t="s">
        <v>209</v>
      </c>
      <c r="N23" s="9" t="s">
        <v>209</v>
      </c>
      <c r="O23" s="9" t="s">
        <v>1153</v>
      </c>
      <c r="P23" s="9" t="s">
        <v>1639</v>
      </c>
      <c r="Q23" s="7" t="str">
        <f>IF($C23="","",IFERROR(VLOOKUP($C23,sources!$A$2:$N$200,2,FALSE()),"?"))</f>
        <v>Web compilation</v>
      </c>
      <c r="R23" s="7" t="str">
        <f t="shared" si="0"/>
        <v>Textual</v>
      </c>
      <c r="S23" s="7" t="str">
        <f>IF($C23="","",IFERROR(VLOOKUP($C23,sources!$A$2:$N$200,9,FALSE()),"?"))</f>
        <v>Mixed</v>
      </c>
    </row>
    <row r="24" spans="1:19" ht="15" customHeight="1" x14ac:dyDescent="0.2">
      <c r="A24" s="9" t="s">
        <v>1643</v>
      </c>
      <c r="B24" s="9" t="s">
        <v>224</v>
      </c>
      <c r="C24" s="9" t="s">
        <v>1147</v>
      </c>
      <c r="D24" s="9" t="s">
        <v>1585</v>
      </c>
      <c r="E24" s="9" t="s">
        <v>225</v>
      </c>
      <c r="F24" s="9" t="s">
        <v>1587</v>
      </c>
      <c r="G24" s="9"/>
      <c r="H24" s="9"/>
      <c r="I24" s="9" t="s">
        <v>1077</v>
      </c>
      <c r="J24" s="9"/>
      <c r="K24" s="9"/>
      <c r="L24" s="9"/>
      <c r="M24" s="9" t="s">
        <v>209</v>
      </c>
      <c r="N24" s="9" t="s">
        <v>209</v>
      </c>
      <c r="O24" s="9" t="s">
        <v>1153</v>
      </c>
      <c r="P24" s="9" t="s">
        <v>1644</v>
      </c>
      <c r="Q24" s="7" t="str">
        <f>IF($C24="","",IFERROR(VLOOKUP($C24,sources!$A$2:$N$200,2,FALSE()),"?"))</f>
        <v>Web compilation</v>
      </c>
      <c r="R24" s="7" t="str">
        <f t="shared" si="0"/>
        <v>Textual</v>
      </c>
      <c r="S24" s="7" t="str">
        <f>IF($C24="","",IFERROR(VLOOKUP($C24,sources!$A$2:$N$200,9,FALSE()),"?"))</f>
        <v>Mixed</v>
      </c>
    </row>
    <row r="25" spans="1:19" ht="15" customHeight="1" x14ac:dyDescent="0.2">
      <c r="A25" s="9" t="s">
        <v>1645</v>
      </c>
      <c r="B25" s="9" t="s">
        <v>230</v>
      </c>
      <c r="C25" s="9" t="s">
        <v>1147</v>
      </c>
      <c r="D25" s="9" t="s">
        <v>1585</v>
      </c>
      <c r="E25" s="9" t="s">
        <v>231</v>
      </c>
      <c r="F25" s="9" t="s">
        <v>1587</v>
      </c>
      <c r="G25" s="9"/>
      <c r="H25" s="9"/>
      <c r="I25" s="9" t="s">
        <v>1077</v>
      </c>
      <c r="J25" s="9"/>
      <c r="K25" s="9"/>
      <c r="L25" s="9"/>
      <c r="M25" s="9" t="s">
        <v>209</v>
      </c>
      <c r="N25" s="9" t="s">
        <v>209</v>
      </c>
      <c r="O25" s="9" t="s">
        <v>1153</v>
      </c>
      <c r="P25" s="9" t="s">
        <v>1646</v>
      </c>
      <c r="Q25" s="7" t="str">
        <f>IF($C25="","",IFERROR(VLOOKUP($C25,sources!$A$2:$N$200,2,FALSE()),"?"))</f>
        <v>Web compilation</v>
      </c>
      <c r="R25" s="7" t="str">
        <f t="shared" si="0"/>
        <v>Textual</v>
      </c>
      <c r="S25" s="7" t="str">
        <f>IF($C25="","",IFERROR(VLOOKUP($C25,sources!$A$2:$N$200,9,FALSE()),"?"))</f>
        <v>Mixed</v>
      </c>
    </row>
    <row r="26" spans="1:19" ht="15" customHeight="1" x14ac:dyDescent="0.2">
      <c r="A26" s="9" t="s">
        <v>1647</v>
      </c>
      <c r="B26" s="9" t="s">
        <v>232</v>
      </c>
      <c r="C26" s="9" t="s">
        <v>1147</v>
      </c>
      <c r="D26" s="9" t="s">
        <v>1585</v>
      </c>
      <c r="E26" s="9" t="s">
        <v>233</v>
      </c>
      <c r="F26" s="9" t="s">
        <v>1587</v>
      </c>
      <c r="G26" s="9"/>
      <c r="H26" s="9"/>
      <c r="I26" s="9" t="s">
        <v>1077</v>
      </c>
      <c r="J26" s="9"/>
      <c r="K26" s="9"/>
      <c r="L26" s="9"/>
      <c r="M26" s="9" t="s">
        <v>209</v>
      </c>
      <c r="N26" s="9" t="s">
        <v>209</v>
      </c>
      <c r="O26" s="9" t="s">
        <v>1153</v>
      </c>
      <c r="P26" s="9" t="s">
        <v>1646</v>
      </c>
      <c r="Q26" s="7" t="str">
        <f>IF($C26="","",IFERROR(VLOOKUP($C26,sources!$A$2:$N$200,2,FALSE()),"?"))</f>
        <v>Web compilation</v>
      </c>
      <c r="R26" s="7" t="str">
        <f t="shared" si="0"/>
        <v>Textual</v>
      </c>
      <c r="S26" s="7" t="str">
        <f>IF($C26="","",IFERROR(VLOOKUP($C26,sources!$A$2:$N$200,9,FALSE()),"?"))</f>
        <v>Mixed</v>
      </c>
    </row>
    <row r="27" spans="1:19" ht="15" customHeight="1" x14ac:dyDescent="0.2">
      <c r="A27" s="9" t="s">
        <v>1648</v>
      </c>
      <c r="B27" s="9" t="s">
        <v>261</v>
      </c>
      <c r="C27" s="9" t="s">
        <v>1198</v>
      </c>
      <c r="D27" s="9" t="s">
        <v>1649</v>
      </c>
      <c r="E27" s="9" t="s">
        <v>1650</v>
      </c>
      <c r="F27" s="9" t="s">
        <v>1587</v>
      </c>
      <c r="G27" s="9"/>
      <c r="H27" s="9"/>
      <c r="I27" s="9" t="s">
        <v>1077</v>
      </c>
      <c r="J27" s="9"/>
      <c r="K27" s="9" t="s">
        <v>1200</v>
      </c>
      <c r="L27" s="9" t="s">
        <v>1200</v>
      </c>
      <c r="M27" s="9" t="s">
        <v>228</v>
      </c>
      <c r="N27" s="9" t="s">
        <v>222</v>
      </c>
      <c r="O27" s="9" t="s">
        <v>1153</v>
      </c>
      <c r="P27" s="9" t="s">
        <v>1651</v>
      </c>
      <c r="Q27" s="7" t="str">
        <f>IF($C27="","",IFERROR(VLOOKUP($C27,sources!$A$2:$N$200,2,FALSE()),"?"))</f>
        <v>Map</v>
      </c>
      <c r="R27" s="7" t="str">
        <f t="shared" si="0"/>
        <v>Map</v>
      </c>
      <c r="S27" s="7" t="str">
        <f>IF($C27="","",IFERROR(VLOOKUP($C27,sources!$A$2:$N$200,9,FALSE()),"?"))</f>
        <v>US official</v>
      </c>
    </row>
    <row r="28" spans="1:19" ht="15" customHeight="1" x14ac:dyDescent="0.2">
      <c r="A28" s="9" t="s">
        <v>1652</v>
      </c>
      <c r="B28" s="9" t="s">
        <v>261</v>
      </c>
      <c r="C28" s="9" t="s">
        <v>1147</v>
      </c>
      <c r="D28" s="9" t="s">
        <v>1649</v>
      </c>
      <c r="E28" s="9" t="s">
        <v>1653</v>
      </c>
      <c r="F28" s="9" t="s">
        <v>1587</v>
      </c>
      <c r="G28" s="9"/>
      <c r="H28" s="9"/>
      <c r="I28" s="9" t="s">
        <v>1077</v>
      </c>
      <c r="J28" s="9"/>
      <c r="K28" s="9"/>
      <c r="L28" s="9"/>
      <c r="M28" s="9" t="s">
        <v>209</v>
      </c>
      <c r="N28" s="9" t="s">
        <v>209</v>
      </c>
      <c r="O28" s="9" t="s">
        <v>1153</v>
      </c>
      <c r="P28" s="9" t="s">
        <v>1654</v>
      </c>
      <c r="Q28" s="7" t="str">
        <f>IF($C28="","",IFERROR(VLOOKUP($C28,sources!$A$2:$N$200,2,FALSE()),"?"))</f>
        <v>Web compilation</v>
      </c>
      <c r="R28" s="7" t="str">
        <f t="shared" si="0"/>
        <v>Textual</v>
      </c>
      <c r="S28" s="7" t="str">
        <f>IF($C28="","",IFERROR(VLOOKUP($C28,sources!$A$2:$N$200,9,FALSE()),"?"))</f>
        <v>Mixed</v>
      </c>
    </row>
    <row r="29" spans="1:19" ht="23.25" customHeight="1" x14ac:dyDescent="0.2">
      <c r="A29" s="9" t="s">
        <v>1655</v>
      </c>
      <c r="B29" s="9" t="s">
        <v>272</v>
      </c>
      <c r="C29" s="9" t="s">
        <v>1177</v>
      </c>
      <c r="D29" s="9" t="s">
        <v>1656</v>
      </c>
      <c r="E29" s="9" t="s">
        <v>273</v>
      </c>
      <c r="F29" s="9" t="s">
        <v>1587</v>
      </c>
      <c r="G29" s="9"/>
      <c r="H29" s="9"/>
      <c r="I29" s="9" t="s">
        <v>1077</v>
      </c>
      <c r="J29" s="9"/>
      <c r="K29" s="9" t="s">
        <v>302</v>
      </c>
      <c r="L29" s="9" t="s">
        <v>1059</v>
      </c>
      <c r="M29" s="9" t="s">
        <v>209</v>
      </c>
      <c r="N29" s="9" t="s">
        <v>228</v>
      </c>
      <c r="O29" s="9" t="s">
        <v>1600</v>
      </c>
      <c r="P29" s="9" t="s">
        <v>1657</v>
      </c>
      <c r="Q29" s="7" t="str">
        <f>IF($C29="","",IFERROR(VLOOKUP($C29,sources!$A$2:$N$200,2,FALSE()),"?"))</f>
        <v>Administrative</v>
      </c>
      <c r="R29" s="7" t="str">
        <f t="shared" si="0"/>
        <v>Textual</v>
      </c>
      <c r="S29" s="7" t="str">
        <f>IF($C29="","",IFERROR(VLOOKUP($C29,sources!$A$2:$N$200,9,FALSE()),"?"))</f>
        <v>US official</v>
      </c>
    </row>
    <row r="30" spans="1:19" ht="15" customHeight="1" x14ac:dyDescent="0.2">
      <c r="A30" s="9" t="s">
        <v>1658</v>
      </c>
      <c r="B30" s="9" t="s">
        <v>218</v>
      </c>
      <c r="C30" s="9" t="s">
        <v>1203</v>
      </c>
      <c r="D30" s="9" t="s">
        <v>1599</v>
      </c>
      <c r="E30" s="9" t="s">
        <v>219</v>
      </c>
      <c r="F30" s="9" t="s">
        <v>1587</v>
      </c>
      <c r="G30" s="9"/>
      <c r="H30" s="9"/>
      <c r="I30" s="9" t="s">
        <v>1077</v>
      </c>
      <c r="J30" s="9"/>
      <c r="K30" s="9"/>
      <c r="L30" s="9"/>
      <c r="M30" s="9" t="s">
        <v>228</v>
      </c>
      <c r="N30" s="9" t="s">
        <v>228</v>
      </c>
      <c r="O30" s="9" t="s">
        <v>1153</v>
      </c>
      <c r="P30" s="9" t="s">
        <v>1659</v>
      </c>
      <c r="Q30" s="7" t="str">
        <f>IF($C30="","",IFERROR(VLOOKUP($C30,sources!$A$2:$N$200,2,FALSE()),"?"))</f>
        <v>Administrative</v>
      </c>
      <c r="R30" s="7" t="str">
        <f t="shared" si="0"/>
        <v>Textual</v>
      </c>
      <c r="S30" s="7" t="str">
        <f>IF($C30="","",IFERROR(VLOOKUP($C30,sources!$A$2:$N$200,9,FALSE()),"?"))</f>
        <v>Panamanian</v>
      </c>
    </row>
    <row r="31" spans="1:19" ht="23.25" customHeight="1" x14ac:dyDescent="0.2">
      <c r="A31" s="9" t="s">
        <v>1660</v>
      </c>
      <c r="B31" s="9" t="s">
        <v>232</v>
      </c>
      <c r="C31" s="9" t="s">
        <v>1203</v>
      </c>
      <c r="D31" s="9" t="s">
        <v>1599</v>
      </c>
      <c r="E31" s="9" t="s">
        <v>233</v>
      </c>
      <c r="F31" s="9" t="s">
        <v>1587</v>
      </c>
      <c r="G31" s="9"/>
      <c r="H31" s="9"/>
      <c r="I31" s="9" t="s">
        <v>1077</v>
      </c>
      <c r="J31" s="9"/>
      <c r="K31" s="9"/>
      <c r="L31" s="9"/>
      <c r="M31" s="9" t="s">
        <v>209</v>
      </c>
      <c r="N31" s="9" t="s">
        <v>228</v>
      </c>
      <c r="O31" s="9" t="s">
        <v>1153</v>
      </c>
      <c r="P31" s="9" t="s">
        <v>1661</v>
      </c>
      <c r="Q31" s="7" t="str">
        <f>IF($C31="","",IFERROR(VLOOKUP($C31,sources!$A$2:$N$200,2,FALSE()),"?"))</f>
        <v>Administrative</v>
      </c>
      <c r="R31" s="7" t="str">
        <f t="shared" si="0"/>
        <v>Textual</v>
      </c>
      <c r="S31" s="7" t="str">
        <f>IF($C31="","",IFERROR(VLOOKUP($C31,sources!$A$2:$N$200,9,FALSE()),"?"))</f>
        <v>Panamanian</v>
      </c>
    </row>
    <row r="32" spans="1:19" ht="15" customHeight="1" x14ac:dyDescent="0.2">
      <c r="A32" s="9" t="s">
        <v>1662</v>
      </c>
      <c r="B32" s="9" t="s">
        <v>234</v>
      </c>
      <c r="C32" s="9" t="s">
        <v>1198</v>
      </c>
      <c r="D32" s="9" t="s">
        <v>1585</v>
      </c>
      <c r="E32" s="9" t="s">
        <v>235</v>
      </c>
      <c r="F32" s="9" t="s">
        <v>1587</v>
      </c>
      <c r="G32" s="9"/>
      <c r="H32" s="9"/>
      <c r="I32" s="9" t="s">
        <v>1077</v>
      </c>
      <c r="J32" s="9"/>
      <c r="K32" s="9" t="s">
        <v>1200</v>
      </c>
      <c r="L32" s="9" t="s">
        <v>1200</v>
      </c>
      <c r="M32" s="9" t="s">
        <v>228</v>
      </c>
      <c r="N32" s="9" t="s">
        <v>228</v>
      </c>
      <c r="O32" s="9" t="s">
        <v>1663</v>
      </c>
      <c r="P32" s="9" t="s">
        <v>1664</v>
      </c>
      <c r="Q32" s="7" t="str">
        <f>IF($C32="","",IFERROR(VLOOKUP($C32,sources!$A$2:$N$200,2,FALSE()),"?"))</f>
        <v>Map</v>
      </c>
      <c r="R32" s="7" t="str">
        <f t="shared" si="0"/>
        <v>Map</v>
      </c>
      <c r="S32" s="7" t="str">
        <f>IF($C32="","",IFERROR(VLOOKUP($C32,sources!$A$2:$N$200,9,FALSE()),"?"))</f>
        <v>US official</v>
      </c>
    </row>
    <row r="33" spans="1:19" ht="15" customHeight="1" x14ac:dyDescent="0.2">
      <c r="A33" s="9" t="s">
        <v>1665</v>
      </c>
      <c r="B33" s="9" t="s">
        <v>232</v>
      </c>
      <c r="C33" s="9" t="s">
        <v>1198</v>
      </c>
      <c r="D33" s="9" t="s">
        <v>1666</v>
      </c>
      <c r="E33" s="9" t="s">
        <v>233</v>
      </c>
      <c r="F33" s="9" t="s">
        <v>1587</v>
      </c>
      <c r="G33" s="9"/>
      <c r="H33" s="9"/>
      <c r="I33" s="9" t="s">
        <v>1077</v>
      </c>
      <c r="J33" s="9"/>
      <c r="K33" s="9" t="s">
        <v>1200</v>
      </c>
      <c r="L33" s="9" t="s">
        <v>1200</v>
      </c>
      <c r="M33" s="9" t="s">
        <v>228</v>
      </c>
      <c r="N33" s="9" t="s">
        <v>228</v>
      </c>
      <c r="O33" s="9" t="s">
        <v>1663</v>
      </c>
      <c r="P33" s="9" t="s">
        <v>1667</v>
      </c>
      <c r="Q33" s="7" t="str">
        <f>IF($C33="","",IFERROR(VLOOKUP($C33,sources!$A$2:$N$200,2,FALSE()),"?"))</f>
        <v>Map</v>
      </c>
      <c r="R33" s="7" t="str">
        <f t="shared" si="0"/>
        <v>Map</v>
      </c>
      <c r="S33" s="7" t="str">
        <f>IF($C33="","",IFERROR(VLOOKUP($C33,sources!$A$2:$N$200,9,FALSE()),"?"))</f>
        <v>US official</v>
      </c>
    </row>
    <row r="34" spans="1:19" ht="15" customHeight="1" x14ac:dyDescent="0.2">
      <c r="A34" s="9" t="s">
        <v>1668</v>
      </c>
      <c r="B34" s="9" t="s">
        <v>288</v>
      </c>
      <c r="C34" s="9" t="s">
        <v>1167</v>
      </c>
      <c r="D34" s="9" t="s">
        <v>1599</v>
      </c>
      <c r="E34" s="9" t="s">
        <v>289</v>
      </c>
      <c r="F34" s="9" t="s">
        <v>1612</v>
      </c>
      <c r="G34" s="9"/>
      <c r="H34" s="9"/>
      <c r="I34" s="9" t="s">
        <v>1077</v>
      </c>
      <c r="J34" s="9"/>
      <c r="K34" s="9" t="s">
        <v>302</v>
      </c>
      <c r="L34" s="9" t="s">
        <v>292</v>
      </c>
      <c r="M34" s="9" t="s">
        <v>228</v>
      </c>
      <c r="N34" s="9" t="s">
        <v>222</v>
      </c>
      <c r="O34" s="9" t="s">
        <v>1600</v>
      </c>
      <c r="P34" s="9" t="s">
        <v>1669</v>
      </c>
      <c r="Q34" s="7" t="str">
        <f>IF($C34="","",IFERROR(VLOOKUP($C34,sources!$A$2:$N$200,2,FALSE()),"?"))</f>
        <v>Report</v>
      </c>
      <c r="R34" s="7" t="str">
        <f t="shared" si="0"/>
        <v>Textual</v>
      </c>
      <c r="S34" s="7" t="str">
        <f>IF($C34="","",IFERROR(VLOOKUP($C34,sources!$A$2:$N$200,9,FALSE()),"?"))</f>
        <v>US official</v>
      </c>
    </row>
    <row r="35" spans="1:19" ht="15" customHeight="1" x14ac:dyDescent="0.2">
      <c r="A35" s="9" t="s">
        <v>1670</v>
      </c>
      <c r="B35" s="9" t="s">
        <v>288</v>
      </c>
      <c r="C35" s="9" t="s">
        <v>1323</v>
      </c>
      <c r="D35" s="9" t="s">
        <v>1594</v>
      </c>
      <c r="E35" s="9" t="s">
        <v>290</v>
      </c>
      <c r="F35" s="9" t="s">
        <v>1612</v>
      </c>
      <c r="G35" s="9"/>
      <c r="H35" s="9"/>
      <c r="I35" s="9" t="s">
        <v>1595</v>
      </c>
      <c r="J35" s="9"/>
      <c r="K35" s="9" t="s">
        <v>1200</v>
      </c>
      <c r="L35" s="9" t="s">
        <v>1200</v>
      </c>
      <c r="M35" s="9" t="s">
        <v>228</v>
      </c>
      <c r="N35" s="9" t="s">
        <v>209</v>
      </c>
      <c r="O35" s="9" t="s">
        <v>1615</v>
      </c>
      <c r="P35" s="9" t="s">
        <v>1671</v>
      </c>
      <c r="Q35" s="7" t="str">
        <f>IF($C35="","",IFERROR(VLOOKUP($C35,sources!$A$2:$N$200,2,FALSE()),"?"))</f>
        <v>Map</v>
      </c>
      <c r="R35" s="7" t="str">
        <f t="shared" si="0"/>
        <v>Map</v>
      </c>
      <c r="S35" s="7" t="str">
        <f>IF($C35="","",IFERROR(VLOOKUP($C35,sources!$A$2:$N$200,9,FALSE()),"?"))</f>
        <v>US official</v>
      </c>
    </row>
    <row r="36" spans="1:19" ht="15" customHeight="1" x14ac:dyDescent="0.2">
      <c r="A36" s="9" t="s">
        <v>1672</v>
      </c>
      <c r="B36" s="9" t="s">
        <v>306</v>
      </c>
      <c r="C36" s="9" t="s">
        <v>1213</v>
      </c>
      <c r="D36" s="9" t="s">
        <v>1599</v>
      </c>
      <c r="E36" s="9" t="s">
        <v>1673</v>
      </c>
      <c r="F36" s="9" t="s">
        <v>1612</v>
      </c>
      <c r="G36" s="9"/>
      <c r="H36" s="9"/>
      <c r="I36" s="9" t="s">
        <v>1077</v>
      </c>
      <c r="J36" s="9"/>
      <c r="K36" s="9" t="s">
        <v>310</v>
      </c>
      <c r="L36" s="9" t="s">
        <v>292</v>
      </c>
      <c r="M36" s="9" t="s">
        <v>209</v>
      </c>
      <c r="N36" s="9" t="s">
        <v>228</v>
      </c>
      <c r="O36" s="9" t="s">
        <v>1153</v>
      </c>
      <c r="P36" s="9" t="s">
        <v>1674</v>
      </c>
      <c r="Q36" s="7" t="str">
        <f>IF($C36="","",IFERROR(VLOOKUP($C36,sources!$A$2:$N$200,2,FALSE()),"?"))</f>
        <v>Administrative</v>
      </c>
      <c r="R36" s="7" t="str">
        <f t="shared" si="0"/>
        <v>Textual</v>
      </c>
      <c r="S36" s="7" t="str">
        <f>IF($C36="","",IFERROR(VLOOKUP($C36,sources!$A$2:$N$200,9,FALSE()),"?"))</f>
        <v>Caribbean community</v>
      </c>
    </row>
    <row r="37" spans="1:19" ht="15" customHeight="1" x14ac:dyDescent="0.2">
      <c r="A37" s="9" t="s">
        <v>1675</v>
      </c>
      <c r="B37" s="9" t="s">
        <v>295</v>
      </c>
      <c r="C37" s="9" t="s">
        <v>1167</v>
      </c>
      <c r="D37" s="9" t="s">
        <v>1599</v>
      </c>
      <c r="E37" s="9" t="s">
        <v>296</v>
      </c>
      <c r="F37" s="9" t="s">
        <v>1612</v>
      </c>
      <c r="G37" s="9"/>
      <c r="H37" s="9"/>
      <c r="I37" s="9" t="s">
        <v>1077</v>
      </c>
      <c r="J37" s="9"/>
      <c r="K37" s="9" t="s">
        <v>302</v>
      </c>
      <c r="L37" s="9" t="s">
        <v>292</v>
      </c>
      <c r="M37" s="9" t="s">
        <v>228</v>
      </c>
      <c r="N37" s="9" t="s">
        <v>222</v>
      </c>
      <c r="O37" s="9" t="s">
        <v>1600</v>
      </c>
      <c r="P37" s="9" t="s">
        <v>1676</v>
      </c>
      <c r="Q37" s="7" t="str">
        <f>IF($C37="","",IFERROR(VLOOKUP($C37,sources!$A$2:$N$200,2,FALSE()),"?"))</f>
        <v>Report</v>
      </c>
      <c r="R37" s="7" t="str">
        <f t="shared" si="0"/>
        <v>Textual</v>
      </c>
      <c r="S37" s="7" t="str">
        <f>IF($C37="","",IFERROR(VLOOKUP($C37,sources!$A$2:$N$200,9,FALSE()),"?"))</f>
        <v>US official</v>
      </c>
    </row>
    <row r="38" spans="1:19" ht="15" customHeight="1" x14ac:dyDescent="0.2">
      <c r="A38" s="9" t="s">
        <v>1677</v>
      </c>
      <c r="B38" s="9" t="s">
        <v>696</v>
      </c>
      <c r="C38" s="9" t="s">
        <v>1167</v>
      </c>
      <c r="D38" s="9" t="s">
        <v>1599</v>
      </c>
      <c r="E38" s="9" t="s">
        <v>1678</v>
      </c>
      <c r="F38" s="9" t="s">
        <v>1612</v>
      </c>
      <c r="G38" s="9"/>
      <c r="H38" s="9"/>
      <c r="I38" s="9" t="s">
        <v>1077</v>
      </c>
      <c r="J38" s="9"/>
      <c r="K38" s="9" t="s">
        <v>302</v>
      </c>
      <c r="L38" s="9" t="s">
        <v>292</v>
      </c>
      <c r="M38" s="9" t="s">
        <v>228</v>
      </c>
      <c r="N38" s="9" t="s">
        <v>222</v>
      </c>
      <c r="O38" s="9" t="s">
        <v>1600</v>
      </c>
      <c r="P38" s="9" t="s">
        <v>1679</v>
      </c>
      <c r="Q38" s="7" t="str">
        <f>IF($C38="","",IFERROR(VLOOKUP($C38,sources!$A$2:$N$200,2,FALSE()),"?"))</f>
        <v>Report</v>
      </c>
      <c r="R38" s="7" t="str">
        <f t="shared" si="0"/>
        <v>Textual</v>
      </c>
      <c r="S38" s="7" t="str">
        <f>IF($C38="","",IFERROR(VLOOKUP($C38,sources!$A$2:$N$200,9,FALSE()),"?"))</f>
        <v>US official</v>
      </c>
    </row>
    <row r="39" spans="1:19" ht="15" customHeight="1" x14ac:dyDescent="0.2">
      <c r="A39" s="9" t="s">
        <v>1680</v>
      </c>
      <c r="B39" s="9" t="s">
        <v>313</v>
      </c>
      <c r="C39" s="9" t="s">
        <v>1187</v>
      </c>
      <c r="D39" s="9" t="s">
        <v>1594</v>
      </c>
      <c r="E39" s="9" t="s">
        <v>1681</v>
      </c>
      <c r="F39" s="9" t="s">
        <v>1612</v>
      </c>
      <c r="G39" s="9"/>
      <c r="H39" s="9"/>
      <c r="I39" s="9" t="s">
        <v>1595</v>
      </c>
      <c r="J39" s="9"/>
      <c r="K39" s="9" t="s">
        <v>1191</v>
      </c>
      <c r="L39" s="9" t="s">
        <v>1191</v>
      </c>
      <c r="M39" s="9" t="s">
        <v>228</v>
      </c>
      <c r="N39" s="9" t="s">
        <v>222</v>
      </c>
      <c r="O39" s="9" t="s">
        <v>1615</v>
      </c>
      <c r="P39" s="9" t="s">
        <v>1682</v>
      </c>
      <c r="Q39" s="7" t="str">
        <f>IF($C39="","",IFERROR(VLOOKUP($C39,sources!$A$2:$N$200,2,FALSE()),"?"))</f>
        <v>Map</v>
      </c>
      <c r="R39" s="7" t="str">
        <f t="shared" si="0"/>
        <v>Map</v>
      </c>
      <c r="S39" s="7" t="str">
        <f>IF($C39="","",IFERROR(VLOOKUP($C39,sources!$A$2:$N$200,9,FALSE()),"?"))</f>
        <v>US official</v>
      </c>
    </row>
    <row r="40" spans="1:19" ht="15" customHeight="1" x14ac:dyDescent="0.2">
      <c r="A40" s="9" t="s">
        <v>1683</v>
      </c>
      <c r="B40" s="9" t="s">
        <v>679</v>
      </c>
      <c r="C40" s="9" t="s">
        <v>1323</v>
      </c>
      <c r="D40" s="9" t="s">
        <v>1594</v>
      </c>
      <c r="E40" s="9" t="s">
        <v>1684</v>
      </c>
      <c r="F40" s="9" t="s">
        <v>1587</v>
      </c>
      <c r="G40" s="9"/>
      <c r="H40" s="9"/>
      <c r="I40" s="9" t="s">
        <v>1595</v>
      </c>
      <c r="J40" s="9"/>
      <c r="K40" s="9" t="s">
        <v>1200</v>
      </c>
      <c r="L40" s="9" t="s">
        <v>1200</v>
      </c>
      <c r="M40" s="9" t="s">
        <v>228</v>
      </c>
      <c r="N40" s="9" t="s">
        <v>222</v>
      </c>
      <c r="O40" s="9" t="s">
        <v>1615</v>
      </c>
      <c r="P40" s="9" t="s">
        <v>1685</v>
      </c>
      <c r="Q40" s="7" t="str">
        <f>IF($C40="","",IFERROR(VLOOKUP($C40,sources!$A$2:$N$200,2,FALSE()),"?"))</f>
        <v>Map</v>
      </c>
      <c r="R40" s="7" t="str">
        <f t="shared" si="0"/>
        <v>Map</v>
      </c>
      <c r="S40" s="7" t="str">
        <f>IF($C40="","",IFERROR(VLOOKUP($C40,sources!$A$2:$N$200,9,FALSE()),"?"))</f>
        <v>US official</v>
      </c>
    </row>
    <row r="41" spans="1:19" ht="15" customHeight="1" x14ac:dyDescent="0.2">
      <c r="A41" s="9" t="s">
        <v>1686</v>
      </c>
      <c r="B41" s="9" t="s">
        <v>336</v>
      </c>
      <c r="C41" s="9" t="s">
        <v>1213</v>
      </c>
      <c r="D41" s="9" t="s">
        <v>1599</v>
      </c>
      <c r="E41" s="9" t="s">
        <v>1687</v>
      </c>
      <c r="F41" s="9" t="s">
        <v>1612</v>
      </c>
      <c r="G41" s="9"/>
      <c r="H41" s="9"/>
      <c r="I41" s="9" t="s">
        <v>1077</v>
      </c>
      <c r="J41" s="9"/>
      <c r="K41" s="9" t="s">
        <v>291</v>
      </c>
      <c r="L41" s="9" t="s">
        <v>292</v>
      </c>
      <c r="M41" s="9" t="s">
        <v>209</v>
      </c>
      <c r="N41" s="9" t="s">
        <v>228</v>
      </c>
      <c r="O41" s="9" t="s">
        <v>1153</v>
      </c>
      <c r="P41" s="9" t="s">
        <v>1688</v>
      </c>
      <c r="Q41" s="7" t="str">
        <f>IF($C41="","",IFERROR(VLOOKUP($C41,sources!$A$2:$N$200,2,FALSE()),"?"))</f>
        <v>Administrative</v>
      </c>
      <c r="R41" s="7" t="str">
        <f t="shared" si="0"/>
        <v>Textual</v>
      </c>
      <c r="S41" s="7" t="str">
        <f>IF($C41="","",IFERROR(VLOOKUP($C41,sources!$A$2:$N$200,9,FALSE()),"?"))</f>
        <v>Caribbean community</v>
      </c>
    </row>
    <row r="42" spans="1:19" ht="15" customHeight="1" x14ac:dyDescent="0.2">
      <c r="A42" s="9" t="s">
        <v>1689</v>
      </c>
      <c r="B42" s="9" t="s">
        <v>345</v>
      </c>
      <c r="C42" s="9" t="s">
        <v>1167</v>
      </c>
      <c r="D42" s="9" t="s">
        <v>1599</v>
      </c>
      <c r="E42" s="9" t="s">
        <v>347</v>
      </c>
      <c r="F42" s="9" t="s">
        <v>1612</v>
      </c>
      <c r="G42" s="9"/>
      <c r="H42" s="9"/>
      <c r="I42" s="9" t="s">
        <v>1077</v>
      </c>
      <c r="J42" s="9"/>
      <c r="K42" s="9" t="s">
        <v>302</v>
      </c>
      <c r="L42" s="9" t="s">
        <v>292</v>
      </c>
      <c r="M42" s="9" t="s">
        <v>228</v>
      </c>
      <c r="N42" s="9" t="s">
        <v>222</v>
      </c>
      <c r="O42" s="9" t="s">
        <v>1600</v>
      </c>
      <c r="P42" s="9" t="s">
        <v>1690</v>
      </c>
      <c r="Q42" s="7" t="str">
        <f>IF($C42="","",IFERROR(VLOOKUP($C42,sources!$A$2:$N$200,2,FALSE()),"?"))</f>
        <v>Report</v>
      </c>
      <c r="R42" s="7" t="str">
        <f t="shared" si="0"/>
        <v>Textual</v>
      </c>
      <c r="S42" s="7" t="str">
        <f>IF($C42="","",IFERROR(VLOOKUP($C42,sources!$A$2:$N$200,9,FALSE()),"?"))</f>
        <v>US official</v>
      </c>
    </row>
    <row r="43" spans="1:19" ht="15" customHeight="1" x14ac:dyDescent="0.2">
      <c r="A43" s="9" t="s">
        <v>1691</v>
      </c>
      <c r="B43" s="9" t="s">
        <v>306</v>
      </c>
      <c r="C43" s="9" t="s">
        <v>1198</v>
      </c>
      <c r="D43" s="9" t="s">
        <v>1666</v>
      </c>
      <c r="E43" s="9" t="s">
        <v>1673</v>
      </c>
      <c r="F43" s="9" t="s">
        <v>1612</v>
      </c>
      <c r="G43" s="9"/>
      <c r="H43" s="9"/>
      <c r="I43" s="9" t="s">
        <v>1077</v>
      </c>
      <c r="J43" s="9"/>
      <c r="K43" s="9" t="s">
        <v>1200</v>
      </c>
      <c r="L43" s="9" t="s">
        <v>1200</v>
      </c>
      <c r="M43" s="9" t="s">
        <v>228</v>
      </c>
      <c r="N43" s="9" t="s">
        <v>222</v>
      </c>
      <c r="O43" s="9" t="s">
        <v>1663</v>
      </c>
      <c r="P43" s="9" t="s">
        <v>1692</v>
      </c>
      <c r="Q43" s="7" t="str">
        <f>IF($C43="","",IFERROR(VLOOKUP($C43,sources!$A$2:$N$200,2,FALSE()),"?"))</f>
        <v>Map</v>
      </c>
      <c r="R43" s="7" t="str">
        <f t="shared" si="0"/>
        <v>Map</v>
      </c>
      <c r="S43" s="7" t="str">
        <f>IF($C43="","",IFERROR(VLOOKUP($C43,sources!$A$2:$N$200,9,FALSE()),"?"))</f>
        <v>US official</v>
      </c>
    </row>
    <row r="44" spans="1:19" ht="15" customHeight="1" x14ac:dyDescent="0.2">
      <c r="A44" s="9" t="s">
        <v>1693</v>
      </c>
      <c r="B44" s="9" t="s">
        <v>341</v>
      </c>
      <c r="C44" s="9" t="s">
        <v>1198</v>
      </c>
      <c r="D44" s="9" t="s">
        <v>1666</v>
      </c>
      <c r="E44" s="9" t="s">
        <v>343</v>
      </c>
      <c r="F44" s="9" t="s">
        <v>1587</v>
      </c>
      <c r="G44" s="9"/>
      <c r="H44" s="9"/>
      <c r="I44" s="9" t="s">
        <v>1077</v>
      </c>
      <c r="J44" s="9"/>
      <c r="K44" s="9" t="s">
        <v>1200</v>
      </c>
      <c r="L44" s="9" t="s">
        <v>1200</v>
      </c>
      <c r="M44" s="9" t="s">
        <v>228</v>
      </c>
      <c r="N44" s="9" t="s">
        <v>228</v>
      </c>
      <c r="O44" s="9" t="s">
        <v>1663</v>
      </c>
      <c r="P44" s="9" t="s">
        <v>1694</v>
      </c>
      <c r="Q44" s="7" t="str">
        <f>IF($C44="","",IFERROR(VLOOKUP($C44,sources!$A$2:$N$200,2,FALSE()),"?"))</f>
        <v>Map</v>
      </c>
      <c r="R44" s="7" t="str">
        <f t="shared" si="0"/>
        <v>Map</v>
      </c>
      <c r="S44" s="7" t="str">
        <f>IF($C44="","",IFERROR(VLOOKUP($C44,sources!$A$2:$N$200,9,FALSE()),"?"))</f>
        <v>US official</v>
      </c>
    </row>
    <row r="45" spans="1:19" ht="15" customHeight="1" x14ac:dyDescent="0.2">
      <c r="A45" s="9" t="s">
        <v>1695</v>
      </c>
      <c r="B45" t="s">
        <v>349</v>
      </c>
      <c r="C45" t="s">
        <v>1232</v>
      </c>
      <c r="D45" t="s">
        <v>1599</v>
      </c>
      <c r="E45" t="s">
        <v>350</v>
      </c>
      <c r="F45" t="s">
        <v>1612</v>
      </c>
      <c r="I45" t="s">
        <v>1077</v>
      </c>
      <c r="K45" t="s">
        <v>291</v>
      </c>
      <c r="L45" t="s">
        <v>291</v>
      </c>
      <c r="M45" t="s">
        <v>222</v>
      </c>
      <c r="N45" t="s">
        <v>222</v>
      </c>
      <c r="O45" t="s">
        <v>1696</v>
      </c>
      <c r="P45" t="s">
        <v>1697</v>
      </c>
      <c r="Q45" s="7" t="str">
        <f>IF($C45="","",IFERROR(VLOOKUP($C45,sources!$A$2:$N$200,2,FALSE()),"?"))</f>
        <v>Newspaper</v>
      </c>
      <c r="R45" s="7" t="str">
        <f t="shared" si="0"/>
        <v>Textual</v>
      </c>
      <c r="S45" s="7" t="str">
        <f>IF($C45="","",IFERROR(VLOOKUP($C45,sources!$A$2:$N$200,9,FALSE()),"?"))</f>
        <v>US press</v>
      </c>
    </row>
    <row r="46" spans="1:19" ht="15" customHeight="1" x14ac:dyDescent="0.2">
      <c r="A46" s="9" t="s">
        <v>1698</v>
      </c>
      <c r="B46" t="s">
        <v>354</v>
      </c>
      <c r="C46" t="s">
        <v>1232</v>
      </c>
      <c r="D46" t="s">
        <v>1599</v>
      </c>
      <c r="E46" t="s">
        <v>355</v>
      </c>
      <c r="F46" t="s">
        <v>1612</v>
      </c>
      <c r="I46" t="s">
        <v>1077</v>
      </c>
      <c r="K46" t="s">
        <v>291</v>
      </c>
      <c r="L46" t="s">
        <v>291</v>
      </c>
      <c r="M46" t="s">
        <v>222</v>
      </c>
      <c r="N46" t="s">
        <v>222</v>
      </c>
      <c r="O46" t="s">
        <v>1696</v>
      </c>
      <c r="P46" t="s">
        <v>1699</v>
      </c>
      <c r="Q46" s="7" t="str">
        <f>IF($C46="","",IFERROR(VLOOKUP($C46,sources!$A$2:$N$200,2,FALSE()),"?"))</f>
        <v>Newspaper</v>
      </c>
      <c r="R46" s="7" t="str">
        <f t="shared" si="0"/>
        <v>Textual</v>
      </c>
      <c r="S46" s="7" t="str">
        <f>IF($C46="","",IFERROR(VLOOKUP($C46,sources!$A$2:$N$200,9,FALSE()),"?"))</f>
        <v>US press</v>
      </c>
    </row>
    <row r="47" spans="1:19" ht="15" customHeight="1" x14ac:dyDescent="0.2">
      <c r="A47" s="9" t="s">
        <v>1700</v>
      </c>
      <c r="B47" t="s">
        <v>359</v>
      </c>
      <c r="C47" t="s">
        <v>1240</v>
      </c>
      <c r="D47" t="s">
        <v>1603</v>
      </c>
      <c r="E47" t="s">
        <v>360</v>
      </c>
      <c r="F47" t="s">
        <v>1701</v>
      </c>
      <c r="I47" t="s">
        <v>1077</v>
      </c>
      <c r="K47" t="s">
        <v>361</v>
      </c>
      <c r="L47" t="s">
        <v>361</v>
      </c>
      <c r="M47" t="s">
        <v>228</v>
      </c>
      <c r="N47" t="s">
        <v>222</v>
      </c>
      <c r="O47" t="s">
        <v>1702</v>
      </c>
      <c r="P47" t="s">
        <v>1703</v>
      </c>
      <c r="Q47" s="7" t="str">
        <f>IF($C47="","",IFERROR(VLOOKUP($C47,sources!$A$2:$N$200,2,FALSE()),"?"))</f>
        <v>Newspaper</v>
      </c>
      <c r="R47" s="7" t="str">
        <f t="shared" si="0"/>
        <v>Textual</v>
      </c>
      <c r="S47" s="7" t="str">
        <f>IF($C47="","",IFERROR(VLOOKUP($C47,sources!$A$2:$N$200,9,FALSE()),"?"))</f>
        <v>US press</v>
      </c>
    </row>
    <row r="48" spans="1:19" ht="15" customHeight="1" x14ac:dyDescent="0.2">
      <c r="A48" s="9" t="s">
        <v>1704</v>
      </c>
      <c r="B48" t="s">
        <v>359</v>
      </c>
      <c r="C48" t="s">
        <v>1222</v>
      </c>
      <c r="D48" t="s">
        <v>1599</v>
      </c>
      <c r="E48" t="s">
        <v>360</v>
      </c>
      <c r="F48" t="s">
        <v>1612</v>
      </c>
      <c r="I48" t="s">
        <v>1077</v>
      </c>
      <c r="K48" t="s">
        <v>302</v>
      </c>
      <c r="L48" t="s">
        <v>302</v>
      </c>
      <c r="M48" t="s">
        <v>228</v>
      </c>
      <c r="N48" t="s">
        <v>222</v>
      </c>
      <c r="O48" t="s">
        <v>1705</v>
      </c>
      <c r="P48" t="s">
        <v>1706</v>
      </c>
      <c r="Q48" s="7" t="str">
        <f>IF($C48="","",IFERROR(VLOOKUP($C48,sources!$A$2:$N$200,2,FALSE()),"?"))</f>
        <v>Newspaper</v>
      </c>
      <c r="R48" s="7" t="str">
        <f t="shared" si="0"/>
        <v>Textual</v>
      </c>
      <c r="S48" s="7" t="str">
        <f>IF($C48="","",IFERROR(VLOOKUP($C48,sources!$A$2:$N$200,9,FALSE()),"?"))</f>
        <v>US press</v>
      </c>
    </row>
    <row r="49" spans="1:19" ht="15" customHeight="1" x14ac:dyDescent="0.2">
      <c r="A49" s="9" t="s">
        <v>1707</v>
      </c>
      <c r="B49" t="s">
        <v>363</v>
      </c>
      <c r="C49" t="s">
        <v>1232</v>
      </c>
      <c r="D49" t="s">
        <v>1599</v>
      </c>
      <c r="E49" t="s">
        <v>364</v>
      </c>
      <c r="F49" t="s">
        <v>1612</v>
      </c>
      <c r="I49" t="s">
        <v>1077</v>
      </c>
      <c r="K49" t="s">
        <v>291</v>
      </c>
      <c r="L49" t="s">
        <v>291</v>
      </c>
      <c r="M49" t="s">
        <v>222</v>
      </c>
      <c r="N49" t="s">
        <v>222</v>
      </c>
      <c r="O49" t="s">
        <v>1696</v>
      </c>
      <c r="P49" t="s">
        <v>1697</v>
      </c>
      <c r="Q49" s="7" t="str">
        <f>IF($C49="","",IFERROR(VLOOKUP($C49,sources!$A$2:$N$200,2,FALSE()),"?"))</f>
        <v>Newspaper</v>
      </c>
      <c r="R49" s="7" t="str">
        <f t="shared" si="0"/>
        <v>Textual</v>
      </c>
      <c r="S49" s="7" t="str">
        <f>IF($C49="","",IFERROR(VLOOKUP($C49,sources!$A$2:$N$200,9,FALSE()),"?"))</f>
        <v>US press</v>
      </c>
    </row>
    <row r="50" spans="1:19" ht="15" customHeight="1" x14ac:dyDescent="0.2">
      <c r="A50" s="9" t="s">
        <v>1708</v>
      </c>
      <c r="B50" t="s">
        <v>363</v>
      </c>
      <c r="C50" t="s">
        <v>1222</v>
      </c>
      <c r="D50" t="s">
        <v>1599</v>
      </c>
      <c r="E50" t="s">
        <v>364</v>
      </c>
      <c r="F50" t="s">
        <v>1612</v>
      </c>
      <c r="I50" t="s">
        <v>1077</v>
      </c>
      <c r="K50" t="s">
        <v>1709</v>
      </c>
      <c r="L50" t="s">
        <v>1709</v>
      </c>
      <c r="M50" t="s">
        <v>228</v>
      </c>
      <c r="N50" t="s">
        <v>222</v>
      </c>
      <c r="O50" t="s">
        <v>1702</v>
      </c>
      <c r="P50" t="s">
        <v>1710</v>
      </c>
      <c r="Q50" s="7" t="str">
        <f>IF($C50="","",IFERROR(VLOOKUP($C50,sources!$A$2:$N$200,2,FALSE()),"?"))</f>
        <v>Newspaper</v>
      </c>
      <c r="R50" s="7" t="str">
        <f t="shared" si="0"/>
        <v>Textual</v>
      </c>
      <c r="S50" s="7" t="str">
        <f>IF($C50="","",IFERROR(VLOOKUP($C50,sources!$A$2:$N$200,9,FALSE()),"?"))</f>
        <v>US press</v>
      </c>
    </row>
    <row r="51" spans="1:19" ht="15" customHeight="1" x14ac:dyDescent="0.2">
      <c r="A51" s="9" t="s">
        <v>1711</v>
      </c>
      <c r="B51" t="s">
        <v>367</v>
      </c>
      <c r="C51" t="s">
        <v>1232</v>
      </c>
      <c r="D51" t="s">
        <v>1599</v>
      </c>
      <c r="E51" t="s">
        <v>368</v>
      </c>
      <c r="F51" t="s">
        <v>1612</v>
      </c>
      <c r="I51" t="s">
        <v>1077</v>
      </c>
      <c r="K51" t="s">
        <v>291</v>
      </c>
      <c r="L51" t="s">
        <v>291</v>
      </c>
      <c r="M51" t="s">
        <v>222</v>
      </c>
      <c r="N51" t="s">
        <v>222</v>
      </c>
      <c r="O51" t="s">
        <v>1696</v>
      </c>
      <c r="P51" t="s">
        <v>1697</v>
      </c>
      <c r="Q51" s="7" t="str">
        <f>IF($C51="","",IFERROR(VLOOKUP($C51,sources!$A$2:$N$200,2,FALSE()),"?"))</f>
        <v>Newspaper</v>
      </c>
      <c r="R51" s="7" t="str">
        <f t="shared" si="0"/>
        <v>Textual</v>
      </c>
      <c r="S51" s="7" t="str">
        <f>IF($C51="","",IFERROR(VLOOKUP($C51,sources!$A$2:$N$200,9,FALSE()),"?"))</f>
        <v>US press</v>
      </c>
    </row>
    <row r="52" spans="1:19" ht="15" customHeight="1" x14ac:dyDescent="0.2">
      <c r="A52" s="9" t="s">
        <v>1712</v>
      </c>
      <c r="B52" t="s">
        <v>367</v>
      </c>
      <c r="C52" t="s">
        <v>1253</v>
      </c>
      <c r="D52" t="s">
        <v>1599</v>
      </c>
      <c r="E52" t="s">
        <v>368</v>
      </c>
      <c r="F52" t="s">
        <v>1612</v>
      </c>
      <c r="I52" t="s">
        <v>1077</v>
      </c>
      <c r="K52" t="s">
        <v>1713</v>
      </c>
      <c r="L52" t="s">
        <v>1713</v>
      </c>
      <c r="M52" t="s">
        <v>222</v>
      </c>
      <c r="N52" t="s">
        <v>222</v>
      </c>
      <c r="O52" t="s">
        <v>1714</v>
      </c>
      <c r="P52" t="s">
        <v>1715</v>
      </c>
      <c r="Q52" s="7" t="str">
        <f>IF($C52="","",IFERROR(VLOOKUP($C52,sources!$A$2:$N$200,2,FALSE()),"?"))</f>
        <v>Newspaper</v>
      </c>
      <c r="R52" s="7" t="str">
        <f t="shared" si="0"/>
        <v>Textual</v>
      </c>
      <c r="S52" s="7" t="str">
        <f>IF($C52="","",IFERROR(VLOOKUP($C52,sources!$A$2:$N$200,9,FALSE()),"?"))</f>
        <v>Caribbean community</v>
      </c>
    </row>
    <row r="53" spans="1:19" ht="15" customHeight="1" x14ac:dyDescent="0.2">
      <c r="A53" s="9" t="s">
        <v>1716</v>
      </c>
      <c r="B53" t="s">
        <v>370</v>
      </c>
      <c r="C53" t="s">
        <v>1232</v>
      </c>
      <c r="D53" t="s">
        <v>1599</v>
      </c>
      <c r="E53" t="s">
        <v>371</v>
      </c>
      <c r="F53" t="s">
        <v>1612</v>
      </c>
      <c r="I53" t="s">
        <v>1077</v>
      </c>
      <c r="K53" t="s">
        <v>291</v>
      </c>
      <c r="L53" t="s">
        <v>291</v>
      </c>
      <c r="M53" t="s">
        <v>222</v>
      </c>
      <c r="N53" t="s">
        <v>222</v>
      </c>
      <c r="O53" t="s">
        <v>1696</v>
      </c>
      <c r="P53" t="s">
        <v>1697</v>
      </c>
      <c r="Q53" s="7" t="str">
        <f>IF($C53="","",IFERROR(VLOOKUP($C53,sources!$A$2:$N$200,2,FALSE()),"?"))</f>
        <v>Newspaper</v>
      </c>
      <c r="R53" s="7" t="str">
        <f t="shared" si="0"/>
        <v>Textual</v>
      </c>
      <c r="S53" s="7" t="str">
        <f>IF($C53="","",IFERROR(VLOOKUP($C53,sources!$A$2:$N$200,9,FALSE()),"?"))</f>
        <v>US press</v>
      </c>
    </row>
    <row r="54" spans="1:19" ht="15" customHeight="1" x14ac:dyDescent="0.2">
      <c r="A54" s="9" t="s">
        <v>1717</v>
      </c>
      <c r="B54" t="s">
        <v>370</v>
      </c>
      <c r="C54" t="s">
        <v>1253</v>
      </c>
      <c r="D54" t="s">
        <v>1585</v>
      </c>
      <c r="E54" t="s">
        <v>1718</v>
      </c>
      <c r="F54" t="s">
        <v>1612</v>
      </c>
      <c r="I54" t="s">
        <v>1077</v>
      </c>
      <c r="K54" t="s">
        <v>1713</v>
      </c>
      <c r="L54" t="s">
        <v>1713</v>
      </c>
      <c r="M54" t="s">
        <v>222</v>
      </c>
      <c r="N54" t="s">
        <v>228</v>
      </c>
      <c r="O54" t="s">
        <v>1714</v>
      </c>
      <c r="P54" t="s">
        <v>1719</v>
      </c>
      <c r="Q54" s="7" t="str">
        <f>IF($C54="","",IFERROR(VLOOKUP($C54,sources!$A$2:$N$200,2,FALSE()),"?"))</f>
        <v>Newspaper</v>
      </c>
      <c r="R54" s="7" t="str">
        <f t="shared" si="0"/>
        <v>Textual</v>
      </c>
      <c r="S54" s="7" t="str">
        <f>IF($C54="","",IFERROR(VLOOKUP($C54,sources!$A$2:$N$200,9,FALSE()),"?"))</f>
        <v>Caribbean community</v>
      </c>
    </row>
    <row r="55" spans="1:19" ht="15" customHeight="1" x14ac:dyDescent="0.2">
      <c r="A55" s="9" t="s">
        <v>1720</v>
      </c>
      <c r="B55" t="s">
        <v>373</v>
      </c>
      <c r="C55" t="s">
        <v>1232</v>
      </c>
      <c r="D55" t="s">
        <v>1599</v>
      </c>
      <c r="E55" t="s">
        <v>374</v>
      </c>
      <c r="F55" t="s">
        <v>1612</v>
      </c>
      <c r="I55" t="s">
        <v>1077</v>
      </c>
      <c r="K55" t="s">
        <v>291</v>
      </c>
      <c r="L55" t="s">
        <v>291</v>
      </c>
      <c r="M55" t="s">
        <v>222</v>
      </c>
      <c r="N55" t="s">
        <v>222</v>
      </c>
      <c r="O55" t="s">
        <v>1696</v>
      </c>
      <c r="P55" t="s">
        <v>1697</v>
      </c>
      <c r="Q55" s="7" t="str">
        <f>IF($C55="","",IFERROR(VLOOKUP($C55,sources!$A$2:$N$200,2,FALSE()),"?"))</f>
        <v>Newspaper</v>
      </c>
      <c r="R55" s="7" t="str">
        <f t="shared" si="0"/>
        <v>Textual</v>
      </c>
      <c r="S55" s="7" t="str">
        <f>IF($C55="","",IFERROR(VLOOKUP($C55,sources!$A$2:$N$200,9,FALSE()),"?"))</f>
        <v>US press</v>
      </c>
    </row>
    <row r="56" spans="1:19" ht="15" customHeight="1" x14ac:dyDescent="0.2">
      <c r="A56" s="9" t="s">
        <v>1721</v>
      </c>
      <c r="B56" t="s">
        <v>373</v>
      </c>
      <c r="C56" t="s">
        <v>1253</v>
      </c>
      <c r="D56" t="s">
        <v>1599</v>
      </c>
      <c r="E56" t="s">
        <v>374</v>
      </c>
      <c r="F56" t="s">
        <v>1612</v>
      </c>
      <c r="I56" t="s">
        <v>1077</v>
      </c>
      <c r="K56" t="s">
        <v>1722</v>
      </c>
      <c r="L56" t="s">
        <v>1722</v>
      </c>
      <c r="M56" t="s">
        <v>222</v>
      </c>
      <c r="N56" t="s">
        <v>222</v>
      </c>
      <c r="O56" t="s">
        <v>1696</v>
      </c>
      <c r="P56" t="s">
        <v>1723</v>
      </c>
      <c r="Q56" s="7" t="str">
        <f>IF($C56="","",IFERROR(VLOOKUP($C56,sources!$A$2:$N$200,2,FALSE()),"?"))</f>
        <v>Newspaper</v>
      </c>
      <c r="R56" s="7" t="str">
        <f t="shared" si="0"/>
        <v>Textual</v>
      </c>
      <c r="S56" s="7" t="str">
        <f>IF($C56="","",IFERROR(VLOOKUP($C56,sources!$A$2:$N$200,9,FALSE()),"?"))</f>
        <v>Caribbean community</v>
      </c>
    </row>
    <row r="57" spans="1:19" ht="15" customHeight="1" x14ac:dyDescent="0.2">
      <c r="A57" s="9" t="s">
        <v>1724</v>
      </c>
      <c r="B57" t="s">
        <v>376</v>
      </c>
      <c r="C57" t="s">
        <v>1232</v>
      </c>
      <c r="D57" t="s">
        <v>1599</v>
      </c>
      <c r="E57" t="s">
        <v>377</v>
      </c>
      <c r="F57" t="s">
        <v>1612</v>
      </c>
      <c r="I57" t="s">
        <v>1077</v>
      </c>
      <c r="K57" t="s">
        <v>291</v>
      </c>
      <c r="L57" t="s">
        <v>291</v>
      </c>
      <c r="M57" t="s">
        <v>222</v>
      </c>
      <c r="N57" t="s">
        <v>222</v>
      </c>
      <c r="O57" t="s">
        <v>1696</v>
      </c>
      <c r="P57" t="s">
        <v>1725</v>
      </c>
      <c r="Q57" s="7" t="str">
        <f>IF($C57="","",IFERROR(VLOOKUP($C57,sources!$A$2:$N$200,2,FALSE()),"?"))</f>
        <v>Newspaper</v>
      </c>
      <c r="R57" s="7" t="str">
        <f t="shared" si="0"/>
        <v>Textual</v>
      </c>
      <c r="S57" s="7" t="str">
        <f>IF($C57="","",IFERROR(VLOOKUP($C57,sources!$A$2:$N$200,9,FALSE()),"?"))</f>
        <v>US press</v>
      </c>
    </row>
    <row r="58" spans="1:19" ht="15" customHeight="1" x14ac:dyDescent="0.2">
      <c r="A58" s="9" t="s">
        <v>1726</v>
      </c>
      <c r="B58" t="s">
        <v>376</v>
      </c>
      <c r="C58" t="s">
        <v>1253</v>
      </c>
      <c r="D58" t="s">
        <v>1599</v>
      </c>
      <c r="E58" t="s">
        <v>377</v>
      </c>
      <c r="F58" t="s">
        <v>1612</v>
      </c>
      <c r="I58" t="s">
        <v>1077</v>
      </c>
      <c r="K58" t="s">
        <v>1713</v>
      </c>
      <c r="L58" t="s">
        <v>1713</v>
      </c>
      <c r="M58" t="s">
        <v>222</v>
      </c>
      <c r="N58" t="s">
        <v>222</v>
      </c>
      <c r="O58" t="s">
        <v>1714</v>
      </c>
      <c r="P58" t="s">
        <v>1727</v>
      </c>
      <c r="Q58" s="7" t="str">
        <f>IF($C58="","",IFERROR(VLOOKUP($C58,sources!$A$2:$N$200,2,FALSE()),"?"))</f>
        <v>Newspaper</v>
      </c>
      <c r="R58" s="7" t="str">
        <f t="shared" si="0"/>
        <v>Textual</v>
      </c>
      <c r="S58" s="7" t="str">
        <f>IF($C58="","",IFERROR(VLOOKUP($C58,sources!$A$2:$N$200,9,FALSE()),"?"))</f>
        <v>Caribbean community</v>
      </c>
    </row>
    <row r="59" spans="1:19" ht="15" customHeight="1" x14ac:dyDescent="0.2">
      <c r="A59" s="9" t="s">
        <v>1728</v>
      </c>
      <c r="B59" t="s">
        <v>379</v>
      </c>
      <c r="C59" t="s">
        <v>1232</v>
      </c>
      <c r="D59" t="s">
        <v>1599</v>
      </c>
      <c r="E59" t="s">
        <v>380</v>
      </c>
      <c r="F59" t="s">
        <v>1612</v>
      </c>
      <c r="I59" t="s">
        <v>1077</v>
      </c>
      <c r="K59" t="s">
        <v>291</v>
      </c>
      <c r="L59" t="s">
        <v>291</v>
      </c>
      <c r="M59" t="s">
        <v>222</v>
      </c>
      <c r="N59" t="s">
        <v>222</v>
      </c>
      <c r="O59" t="s">
        <v>1696</v>
      </c>
      <c r="P59" t="s">
        <v>1697</v>
      </c>
      <c r="Q59" s="7" t="str">
        <f>IF($C59="","",IFERROR(VLOOKUP($C59,sources!$A$2:$N$200,2,FALSE()),"?"))</f>
        <v>Newspaper</v>
      </c>
      <c r="R59" s="7" t="str">
        <f t="shared" si="0"/>
        <v>Textual</v>
      </c>
      <c r="S59" s="7" t="str">
        <f>IF($C59="","",IFERROR(VLOOKUP($C59,sources!$A$2:$N$200,9,FALSE()),"?"))</f>
        <v>US press</v>
      </c>
    </row>
    <row r="60" spans="1:19" ht="15" customHeight="1" x14ac:dyDescent="0.2">
      <c r="A60" s="9" t="s">
        <v>1729</v>
      </c>
      <c r="B60" t="s">
        <v>379</v>
      </c>
      <c r="C60" t="s">
        <v>1253</v>
      </c>
      <c r="D60" t="s">
        <v>1599</v>
      </c>
      <c r="E60" t="s">
        <v>380</v>
      </c>
      <c r="F60" t="s">
        <v>1612</v>
      </c>
      <c r="I60" t="s">
        <v>1077</v>
      </c>
      <c r="K60" t="s">
        <v>1722</v>
      </c>
      <c r="L60" t="s">
        <v>1722</v>
      </c>
      <c r="M60" t="s">
        <v>222</v>
      </c>
      <c r="N60" t="s">
        <v>222</v>
      </c>
      <c r="O60" t="s">
        <v>1696</v>
      </c>
      <c r="P60" t="s">
        <v>1730</v>
      </c>
      <c r="Q60" s="7" t="str">
        <f>IF($C60="","",IFERROR(VLOOKUP($C60,sources!$A$2:$N$200,2,FALSE()),"?"))</f>
        <v>Newspaper</v>
      </c>
      <c r="R60" s="7" t="str">
        <f t="shared" si="0"/>
        <v>Textual</v>
      </c>
      <c r="S60" s="7" t="str">
        <f>IF($C60="","",IFERROR(VLOOKUP($C60,sources!$A$2:$N$200,9,FALSE()),"?"))</f>
        <v>Caribbean community</v>
      </c>
    </row>
    <row r="61" spans="1:19" ht="15" customHeight="1" x14ac:dyDescent="0.2">
      <c r="A61" s="9" t="s">
        <v>1731</v>
      </c>
      <c r="B61" t="s">
        <v>382</v>
      </c>
      <c r="C61" t="s">
        <v>1232</v>
      </c>
      <c r="D61" t="s">
        <v>1599</v>
      </c>
      <c r="E61" t="s">
        <v>383</v>
      </c>
      <c r="F61" t="s">
        <v>1612</v>
      </c>
      <c r="I61" t="s">
        <v>1077</v>
      </c>
      <c r="K61" t="s">
        <v>291</v>
      </c>
      <c r="L61" t="s">
        <v>291</v>
      </c>
      <c r="M61" t="s">
        <v>222</v>
      </c>
      <c r="N61" t="s">
        <v>222</v>
      </c>
      <c r="O61" t="s">
        <v>1696</v>
      </c>
      <c r="P61" t="s">
        <v>1697</v>
      </c>
      <c r="Q61" s="7" t="str">
        <f>IF($C61="","",IFERROR(VLOOKUP($C61,sources!$A$2:$N$200,2,FALSE()),"?"))</f>
        <v>Newspaper</v>
      </c>
      <c r="R61" s="7" t="str">
        <f t="shared" si="0"/>
        <v>Textual</v>
      </c>
      <c r="S61" s="7" t="str">
        <f>IF($C61="","",IFERROR(VLOOKUP($C61,sources!$A$2:$N$200,9,FALSE()),"?"))</f>
        <v>US press</v>
      </c>
    </row>
    <row r="62" spans="1:19" ht="15" customHeight="1" x14ac:dyDescent="0.2">
      <c r="A62" s="9" t="s">
        <v>1732</v>
      </c>
      <c r="B62" t="s">
        <v>382</v>
      </c>
      <c r="C62" t="s">
        <v>1240</v>
      </c>
      <c r="D62" t="s">
        <v>1603</v>
      </c>
      <c r="E62" t="s">
        <v>383</v>
      </c>
      <c r="F62" t="s">
        <v>1701</v>
      </c>
      <c r="I62" t="s">
        <v>1077</v>
      </c>
      <c r="K62" t="s">
        <v>1191</v>
      </c>
      <c r="L62" t="s">
        <v>1191</v>
      </c>
      <c r="M62" t="s">
        <v>228</v>
      </c>
      <c r="N62" t="s">
        <v>222</v>
      </c>
      <c r="O62" t="s">
        <v>1702</v>
      </c>
      <c r="P62" t="s">
        <v>1733</v>
      </c>
      <c r="Q62" s="7" t="str">
        <f>IF($C62="","",IFERROR(VLOOKUP($C62,sources!$A$2:$N$200,2,FALSE()),"?"))</f>
        <v>Newspaper</v>
      </c>
      <c r="R62" s="7" t="str">
        <f t="shared" si="0"/>
        <v>Textual</v>
      </c>
      <c r="S62" s="7" t="str">
        <f>IF($C62="","",IFERROR(VLOOKUP($C62,sources!$A$2:$N$200,9,FALSE()),"?"))</f>
        <v>US press</v>
      </c>
    </row>
    <row r="63" spans="1:19" ht="15" customHeight="1" x14ac:dyDescent="0.2">
      <c r="A63" s="9" t="s">
        <v>1734</v>
      </c>
      <c r="B63" t="s">
        <v>382</v>
      </c>
      <c r="C63" t="s">
        <v>1253</v>
      </c>
      <c r="D63" t="s">
        <v>1585</v>
      </c>
      <c r="E63" t="s">
        <v>1735</v>
      </c>
      <c r="F63" t="s">
        <v>1612</v>
      </c>
      <c r="I63" t="s">
        <v>1077</v>
      </c>
      <c r="K63" t="s">
        <v>1713</v>
      </c>
      <c r="L63" t="s">
        <v>1713</v>
      </c>
      <c r="M63" t="s">
        <v>222</v>
      </c>
      <c r="N63" t="s">
        <v>222</v>
      </c>
      <c r="O63" t="s">
        <v>1714</v>
      </c>
      <c r="P63" t="s">
        <v>1736</v>
      </c>
      <c r="Q63" s="7" t="str">
        <f>IF($C63="","",IFERROR(VLOOKUP($C63,sources!$A$2:$N$200,2,FALSE()),"?"))</f>
        <v>Newspaper</v>
      </c>
      <c r="R63" s="7" t="str">
        <f t="shared" si="0"/>
        <v>Textual</v>
      </c>
      <c r="S63" s="7" t="str">
        <f>IF($C63="","",IFERROR(VLOOKUP($C63,sources!$A$2:$N$200,9,FALSE()),"?"))</f>
        <v>Caribbean community</v>
      </c>
    </row>
    <row r="64" spans="1:19" ht="15" customHeight="1" x14ac:dyDescent="0.2">
      <c r="A64" s="9" t="s">
        <v>1737</v>
      </c>
      <c r="B64" t="s">
        <v>198</v>
      </c>
      <c r="C64" t="s">
        <v>1240</v>
      </c>
      <c r="D64" t="s">
        <v>1603</v>
      </c>
      <c r="E64" t="s">
        <v>199</v>
      </c>
      <c r="F64" t="s">
        <v>1701</v>
      </c>
      <c r="I64" t="s">
        <v>1077</v>
      </c>
      <c r="K64" t="s">
        <v>1059</v>
      </c>
      <c r="L64" t="s">
        <v>1059</v>
      </c>
      <c r="M64" t="s">
        <v>228</v>
      </c>
      <c r="N64" t="s">
        <v>222</v>
      </c>
      <c r="O64" t="s">
        <v>1702</v>
      </c>
      <c r="P64" t="s">
        <v>1738</v>
      </c>
      <c r="Q64" s="7" t="str">
        <f>IF($C64="","",IFERROR(VLOOKUP($C64,sources!$A$2:$N$200,2,FALSE()),"?"))</f>
        <v>Newspaper</v>
      </c>
      <c r="R64" s="7" t="str">
        <f t="shared" si="0"/>
        <v>Textual</v>
      </c>
      <c r="S64" s="7" t="str">
        <f>IF($C64="","",IFERROR(VLOOKUP($C64,sources!$A$2:$N$200,9,FALSE()),"?"))</f>
        <v>US press</v>
      </c>
    </row>
    <row r="65" spans="1:19" ht="15" customHeight="1" x14ac:dyDescent="0.2">
      <c r="A65" s="9" t="s">
        <v>1739</v>
      </c>
      <c r="B65" t="s">
        <v>198</v>
      </c>
      <c r="C65" t="s">
        <v>1247</v>
      </c>
      <c r="D65" t="s">
        <v>1585</v>
      </c>
      <c r="E65" t="s">
        <v>1740</v>
      </c>
      <c r="F65" t="s">
        <v>1612</v>
      </c>
      <c r="I65" t="s">
        <v>1077</v>
      </c>
      <c r="K65" t="s">
        <v>1191</v>
      </c>
      <c r="L65" t="s">
        <v>361</v>
      </c>
      <c r="M65" t="s">
        <v>222</v>
      </c>
      <c r="N65" t="s">
        <v>222</v>
      </c>
      <c r="O65" t="s">
        <v>1696</v>
      </c>
      <c r="P65" t="s">
        <v>1741</v>
      </c>
      <c r="Q65" s="7" t="str">
        <f>IF($C65="","",IFERROR(VLOOKUP($C65,sources!$A$2:$N$200,2,FALSE()),"?"))</f>
        <v>Newspaper</v>
      </c>
      <c r="R65" s="7" t="str">
        <f t="shared" si="0"/>
        <v>Textual</v>
      </c>
      <c r="S65" s="7" t="str">
        <f>IF($C65="","",IFERROR(VLOOKUP($C65,sources!$A$2:$N$200,9,FALSE()),"?"))</f>
        <v>US official</v>
      </c>
    </row>
    <row r="66" spans="1:19" ht="15" customHeight="1" x14ac:dyDescent="0.2">
      <c r="A66" s="9" t="s">
        <v>1742</v>
      </c>
      <c r="B66" t="s">
        <v>213</v>
      </c>
      <c r="C66" t="s">
        <v>1247</v>
      </c>
      <c r="D66" t="s">
        <v>1599</v>
      </c>
      <c r="E66" t="s">
        <v>1743</v>
      </c>
      <c r="F66" t="s">
        <v>1612</v>
      </c>
      <c r="I66" t="s">
        <v>1077</v>
      </c>
      <c r="K66" t="s">
        <v>1191</v>
      </c>
      <c r="L66" t="s">
        <v>361</v>
      </c>
      <c r="M66" t="s">
        <v>222</v>
      </c>
      <c r="N66" t="s">
        <v>222</v>
      </c>
      <c r="O66" t="s">
        <v>1696</v>
      </c>
      <c r="P66" t="s">
        <v>1744</v>
      </c>
      <c r="Q66" s="7" t="str">
        <f>IF($C66="","",IFERROR(VLOOKUP($C66,sources!$A$2:$N$200,2,FALSE()),"?"))</f>
        <v>Newspaper</v>
      </c>
      <c r="R66" s="7" t="str">
        <f t="shared" ref="R66:R129" si="1">IF($Q66="","",IF($Q66="Map","Map",IF(OR($Q66="Photograph",$Q66="Postcard"),"Image",IF(OR($Q66="Census or roll",$Q66="Report",$Q66="Newspaper",$Q66="Letter",$Q66="Memoir",$Q66="Administrative",$Q66="Web compilation"),"Textual",IF($Q66="Legal claim","Legal/admin",IF($Q66="Secondary","Secondary","Other"))))))</f>
        <v>Textual</v>
      </c>
      <c r="S66" s="7" t="str">
        <f>IF($C66="","",IFERROR(VLOOKUP($C66,sources!$A$2:$N$200,9,FALSE()),"?"))</f>
        <v>US official</v>
      </c>
    </row>
    <row r="67" spans="1:19" ht="15" customHeight="1" x14ac:dyDescent="0.2">
      <c r="A67" s="9" t="s">
        <v>1745</v>
      </c>
      <c r="B67" t="s">
        <v>218</v>
      </c>
      <c r="C67" t="s">
        <v>1247</v>
      </c>
      <c r="D67" t="s">
        <v>1585</v>
      </c>
      <c r="E67" t="s">
        <v>1746</v>
      </c>
      <c r="F67" t="s">
        <v>1612</v>
      </c>
      <c r="I67" t="s">
        <v>1077</v>
      </c>
      <c r="K67" t="s">
        <v>1191</v>
      </c>
      <c r="L67" t="s">
        <v>361</v>
      </c>
      <c r="M67" t="s">
        <v>222</v>
      </c>
      <c r="N67" t="s">
        <v>222</v>
      </c>
      <c r="O67" t="s">
        <v>1696</v>
      </c>
      <c r="P67" t="s">
        <v>1747</v>
      </c>
      <c r="Q67" s="7" t="str">
        <f>IF($C67="","",IFERROR(VLOOKUP($C67,sources!$A$2:$N$200,2,FALSE()),"?"))</f>
        <v>Newspaper</v>
      </c>
      <c r="R67" s="7" t="str">
        <f t="shared" si="1"/>
        <v>Textual</v>
      </c>
      <c r="S67" s="7" t="str">
        <f>IF($C67="","",IFERROR(VLOOKUP($C67,sources!$A$2:$N$200,9,FALSE()),"?"))</f>
        <v>US official</v>
      </c>
    </row>
    <row r="68" spans="1:19" ht="15" customHeight="1" x14ac:dyDescent="0.2">
      <c r="A68" s="9" t="s">
        <v>1748</v>
      </c>
      <c r="B68" t="s">
        <v>224</v>
      </c>
      <c r="C68" t="s">
        <v>1247</v>
      </c>
      <c r="D68" t="s">
        <v>1585</v>
      </c>
      <c r="E68" t="s">
        <v>225</v>
      </c>
      <c r="F68" t="s">
        <v>1612</v>
      </c>
      <c r="I68" t="s">
        <v>1077</v>
      </c>
      <c r="K68" t="s">
        <v>1191</v>
      </c>
      <c r="L68" t="s">
        <v>361</v>
      </c>
      <c r="M68" t="s">
        <v>222</v>
      </c>
      <c r="N68" t="s">
        <v>222</v>
      </c>
      <c r="O68" t="s">
        <v>1696</v>
      </c>
      <c r="P68" t="s">
        <v>1749</v>
      </c>
      <c r="Q68" s="7" t="str">
        <f>IF($C68="","",IFERROR(VLOOKUP($C68,sources!$A$2:$N$200,2,FALSE()),"?"))</f>
        <v>Newspaper</v>
      </c>
      <c r="R68" s="7" t="str">
        <f t="shared" si="1"/>
        <v>Textual</v>
      </c>
      <c r="S68" s="7" t="str">
        <f>IF($C68="","",IFERROR(VLOOKUP($C68,sources!$A$2:$N$200,9,FALSE()),"?"))</f>
        <v>US official</v>
      </c>
    </row>
    <row r="69" spans="1:19" ht="15" customHeight="1" x14ac:dyDescent="0.2">
      <c r="A69" s="9" t="s">
        <v>1750</v>
      </c>
      <c r="B69" t="s">
        <v>230</v>
      </c>
      <c r="C69" t="s">
        <v>1247</v>
      </c>
      <c r="D69" t="s">
        <v>1585</v>
      </c>
      <c r="E69" t="s">
        <v>231</v>
      </c>
      <c r="F69" t="s">
        <v>1612</v>
      </c>
      <c r="I69" t="s">
        <v>1077</v>
      </c>
      <c r="K69" t="s">
        <v>1191</v>
      </c>
      <c r="L69" t="s">
        <v>361</v>
      </c>
      <c r="M69" t="s">
        <v>222</v>
      </c>
      <c r="N69" t="s">
        <v>222</v>
      </c>
      <c r="O69" t="s">
        <v>1696</v>
      </c>
      <c r="P69" t="s">
        <v>1751</v>
      </c>
      <c r="Q69" s="7" t="str">
        <f>IF($C69="","",IFERROR(VLOOKUP($C69,sources!$A$2:$N$200,2,FALSE()),"?"))</f>
        <v>Newspaper</v>
      </c>
      <c r="R69" s="7" t="str">
        <f t="shared" si="1"/>
        <v>Textual</v>
      </c>
      <c r="S69" s="7" t="str">
        <f>IF($C69="","",IFERROR(VLOOKUP($C69,sources!$A$2:$N$200,9,FALSE()),"?"))</f>
        <v>US official</v>
      </c>
    </row>
    <row r="70" spans="1:19" ht="15" customHeight="1" x14ac:dyDescent="0.2">
      <c r="A70" s="9" t="s">
        <v>1752</v>
      </c>
      <c r="B70" t="s">
        <v>232</v>
      </c>
      <c r="C70" t="s">
        <v>1247</v>
      </c>
      <c r="D70" t="s">
        <v>1585</v>
      </c>
      <c r="E70" t="s">
        <v>233</v>
      </c>
      <c r="F70" t="s">
        <v>1612</v>
      </c>
      <c r="I70" t="s">
        <v>1077</v>
      </c>
      <c r="K70" t="s">
        <v>1191</v>
      </c>
      <c r="L70" t="s">
        <v>361</v>
      </c>
      <c r="M70" t="s">
        <v>222</v>
      </c>
      <c r="N70" t="s">
        <v>222</v>
      </c>
      <c r="O70" t="s">
        <v>1696</v>
      </c>
      <c r="P70" t="s">
        <v>1751</v>
      </c>
      <c r="Q70" s="7" t="str">
        <f>IF($C70="","",IFERROR(VLOOKUP($C70,sources!$A$2:$N$200,2,FALSE()),"?"))</f>
        <v>Newspaper</v>
      </c>
      <c r="R70" s="7" t="str">
        <f t="shared" si="1"/>
        <v>Textual</v>
      </c>
      <c r="S70" s="7" t="str">
        <f>IF($C70="","",IFERROR(VLOOKUP($C70,sources!$A$2:$N$200,9,FALSE()),"?"))</f>
        <v>US official</v>
      </c>
    </row>
    <row r="71" spans="1:19" ht="15" customHeight="1" x14ac:dyDescent="0.2">
      <c r="A71" s="9" t="s">
        <v>1753</v>
      </c>
      <c r="B71" t="s">
        <v>234</v>
      </c>
      <c r="C71" t="s">
        <v>1247</v>
      </c>
      <c r="D71" t="s">
        <v>1585</v>
      </c>
      <c r="E71" t="s">
        <v>1754</v>
      </c>
      <c r="F71" t="s">
        <v>1612</v>
      </c>
      <c r="I71" t="s">
        <v>1077</v>
      </c>
      <c r="K71" t="s">
        <v>1191</v>
      </c>
      <c r="L71" t="s">
        <v>361</v>
      </c>
      <c r="M71" t="s">
        <v>222</v>
      </c>
      <c r="N71" t="s">
        <v>222</v>
      </c>
      <c r="O71" t="s">
        <v>1696</v>
      </c>
      <c r="P71" t="s">
        <v>1751</v>
      </c>
      <c r="Q71" s="7" t="str">
        <f>IF($C71="","",IFERROR(VLOOKUP($C71,sources!$A$2:$N$200,2,FALSE()),"?"))</f>
        <v>Newspaper</v>
      </c>
      <c r="R71" s="7" t="str">
        <f t="shared" si="1"/>
        <v>Textual</v>
      </c>
      <c r="S71" s="7" t="str">
        <f>IF($C71="","",IFERROR(VLOOKUP($C71,sources!$A$2:$N$200,9,FALSE()),"?"))</f>
        <v>US official</v>
      </c>
    </row>
    <row r="72" spans="1:19" x14ac:dyDescent="0.2">
      <c r="A72" t="s">
        <v>1755</v>
      </c>
      <c r="B72" t="s">
        <v>236</v>
      </c>
      <c r="C72" t="s">
        <v>1247</v>
      </c>
      <c r="D72" t="s">
        <v>1585</v>
      </c>
      <c r="E72" t="s">
        <v>1756</v>
      </c>
      <c r="F72" t="s">
        <v>1612</v>
      </c>
      <c r="I72" t="s">
        <v>1077</v>
      </c>
      <c r="K72" t="s">
        <v>1191</v>
      </c>
      <c r="L72" t="s">
        <v>361</v>
      </c>
      <c r="M72" t="s">
        <v>222</v>
      </c>
      <c r="N72" t="s">
        <v>222</v>
      </c>
      <c r="O72" t="s">
        <v>1696</v>
      </c>
      <c r="P72" t="s">
        <v>1757</v>
      </c>
      <c r="Q72" t="str">
        <f>IF($C72="","",IFERROR(VLOOKUP($C72,sources!$A$2:$N$200,2,FALSE()),"?"))</f>
        <v>Newspaper</v>
      </c>
      <c r="R72" t="str">
        <f t="shared" si="1"/>
        <v>Textual</v>
      </c>
      <c r="S72" t="str">
        <f>IF($C72="","",IFERROR(VLOOKUP($C72,sources!$A$2:$N$200,9,FALSE()),"?"))</f>
        <v>US official</v>
      </c>
    </row>
    <row r="73" spans="1:19" x14ac:dyDescent="0.2">
      <c r="A73" t="s">
        <v>1758</v>
      </c>
      <c r="B73" t="s">
        <v>238</v>
      </c>
      <c r="C73" t="s">
        <v>1247</v>
      </c>
      <c r="D73" t="s">
        <v>1603</v>
      </c>
      <c r="E73" t="s">
        <v>1604</v>
      </c>
      <c r="F73" t="s">
        <v>1612</v>
      </c>
      <c r="I73" t="s">
        <v>1077</v>
      </c>
      <c r="K73" t="s">
        <v>1191</v>
      </c>
      <c r="L73" t="s">
        <v>361</v>
      </c>
      <c r="M73" t="s">
        <v>222</v>
      </c>
      <c r="N73" t="s">
        <v>222</v>
      </c>
      <c r="O73" t="s">
        <v>1696</v>
      </c>
      <c r="P73" t="s">
        <v>1759</v>
      </c>
      <c r="Q73" t="str">
        <f>IF($C73="","",IFERROR(VLOOKUP($C73,sources!$A$2:$N$200,2,FALSE()),"?"))</f>
        <v>Newspaper</v>
      </c>
      <c r="R73" t="str">
        <f t="shared" si="1"/>
        <v>Textual</v>
      </c>
      <c r="S73" t="str">
        <f>IF($C73="","",IFERROR(VLOOKUP($C73,sources!$A$2:$N$200,9,FALSE()),"?"))</f>
        <v>US official</v>
      </c>
    </row>
    <row r="74" spans="1:19" x14ac:dyDescent="0.2">
      <c r="A74" t="s">
        <v>1760</v>
      </c>
      <c r="B74" t="s">
        <v>261</v>
      </c>
      <c r="C74" t="s">
        <v>1240</v>
      </c>
      <c r="D74" t="s">
        <v>1603</v>
      </c>
      <c r="E74" t="s">
        <v>262</v>
      </c>
      <c r="F74" t="s">
        <v>1701</v>
      </c>
      <c r="I74" t="s">
        <v>1077</v>
      </c>
      <c r="K74" t="s">
        <v>1059</v>
      </c>
      <c r="L74" t="s">
        <v>1059</v>
      </c>
      <c r="M74" t="s">
        <v>228</v>
      </c>
      <c r="N74" t="s">
        <v>222</v>
      </c>
      <c r="O74" t="s">
        <v>1702</v>
      </c>
      <c r="P74" t="s">
        <v>1738</v>
      </c>
      <c r="Q74" t="str">
        <f>IF($C74="","",IFERROR(VLOOKUP($C74,sources!$A$2:$N$200,2,FALSE()),"?"))</f>
        <v>Newspaper</v>
      </c>
      <c r="R74" t="str">
        <f t="shared" si="1"/>
        <v>Textual</v>
      </c>
      <c r="S74" t="str">
        <f>IF($C74="","",IFERROR(VLOOKUP($C74,sources!$A$2:$N$200,9,FALSE()),"?"))</f>
        <v>US press</v>
      </c>
    </row>
    <row r="75" spans="1:19" x14ac:dyDescent="0.2">
      <c r="A75" t="s">
        <v>1761</v>
      </c>
      <c r="B75" t="s">
        <v>272</v>
      </c>
      <c r="C75" t="s">
        <v>1240</v>
      </c>
      <c r="D75" t="s">
        <v>1603</v>
      </c>
      <c r="E75" t="s">
        <v>1762</v>
      </c>
      <c r="F75" t="s">
        <v>1701</v>
      </c>
      <c r="I75" t="s">
        <v>1077</v>
      </c>
      <c r="K75" t="s">
        <v>1191</v>
      </c>
      <c r="L75" t="s">
        <v>1191</v>
      </c>
      <c r="M75" t="s">
        <v>228</v>
      </c>
      <c r="N75" t="s">
        <v>222</v>
      </c>
      <c r="O75" t="s">
        <v>1702</v>
      </c>
      <c r="P75" t="s">
        <v>1763</v>
      </c>
      <c r="Q75" t="str">
        <f>IF($C75="","",IFERROR(VLOOKUP($C75,sources!$A$2:$N$200,2,FALSE()),"?"))</f>
        <v>Newspaper</v>
      </c>
      <c r="R75" t="str">
        <f t="shared" si="1"/>
        <v>Textual</v>
      </c>
      <c r="S75" t="str">
        <f>IF($C75="","",IFERROR(VLOOKUP($C75,sources!$A$2:$N$200,9,FALSE()),"?"))</f>
        <v>US press</v>
      </c>
    </row>
    <row r="76" spans="1:19" x14ac:dyDescent="0.2">
      <c r="A76" t="s">
        <v>1764</v>
      </c>
      <c r="B76" t="s">
        <v>280</v>
      </c>
      <c r="C76" t="s">
        <v>1240</v>
      </c>
      <c r="D76" t="s">
        <v>1603</v>
      </c>
      <c r="E76" t="s">
        <v>1765</v>
      </c>
      <c r="F76" t="s">
        <v>1701</v>
      </c>
      <c r="I76" t="s">
        <v>1077</v>
      </c>
      <c r="K76" t="s">
        <v>361</v>
      </c>
      <c r="L76" t="s">
        <v>361</v>
      </c>
      <c r="M76" t="s">
        <v>228</v>
      </c>
      <c r="N76" t="s">
        <v>222</v>
      </c>
      <c r="O76" t="s">
        <v>1702</v>
      </c>
      <c r="P76" t="s">
        <v>1766</v>
      </c>
      <c r="Q76" t="str">
        <f>IF($C76="","",IFERROR(VLOOKUP($C76,sources!$A$2:$N$200,2,FALSE()),"?"))</f>
        <v>Newspaper</v>
      </c>
      <c r="R76" t="str">
        <f t="shared" si="1"/>
        <v>Textual</v>
      </c>
      <c r="S76" t="str">
        <f>IF($C76="","",IFERROR(VLOOKUP($C76,sources!$A$2:$N$200,9,FALSE()),"?"))</f>
        <v>US press</v>
      </c>
    </row>
    <row r="77" spans="1:19" x14ac:dyDescent="0.2">
      <c r="A77" t="s">
        <v>1767</v>
      </c>
      <c r="B77" t="s">
        <v>284</v>
      </c>
      <c r="C77" t="s">
        <v>1240</v>
      </c>
      <c r="D77" t="s">
        <v>1603</v>
      </c>
      <c r="E77" t="s">
        <v>285</v>
      </c>
      <c r="F77" t="s">
        <v>1701</v>
      </c>
      <c r="I77" t="s">
        <v>1077</v>
      </c>
      <c r="K77" t="s">
        <v>1191</v>
      </c>
      <c r="L77" t="s">
        <v>1191</v>
      </c>
      <c r="M77" t="s">
        <v>228</v>
      </c>
      <c r="N77" t="s">
        <v>222</v>
      </c>
      <c r="O77" t="s">
        <v>1702</v>
      </c>
      <c r="P77" t="s">
        <v>1768</v>
      </c>
      <c r="Q77" t="str">
        <f>IF($C77="","",IFERROR(VLOOKUP($C77,sources!$A$2:$N$200,2,FALSE()),"?"))</f>
        <v>Newspaper</v>
      </c>
      <c r="R77" t="str">
        <f t="shared" si="1"/>
        <v>Textual</v>
      </c>
      <c r="S77" t="str">
        <f>IF($C77="","",IFERROR(VLOOKUP($C77,sources!$A$2:$N$200,9,FALSE()),"?"))</f>
        <v>US press</v>
      </c>
    </row>
    <row r="78" spans="1:19" x14ac:dyDescent="0.2">
      <c r="A78" t="s">
        <v>1769</v>
      </c>
      <c r="B78" t="s">
        <v>284</v>
      </c>
      <c r="C78" t="s">
        <v>1253</v>
      </c>
      <c r="D78" t="s">
        <v>1599</v>
      </c>
      <c r="E78" t="s">
        <v>1770</v>
      </c>
      <c r="F78" t="s">
        <v>1612</v>
      </c>
      <c r="I78" t="s">
        <v>1077</v>
      </c>
      <c r="K78" t="s">
        <v>1722</v>
      </c>
      <c r="L78" t="s">
        <v>1722</v>
      </c>
      <c r="M78" t="s">
        <v>222</v>
      </c>
      <c r="N78" t="s">
        <v>222</v>
      </c>
      <c r="O78" t="s">
        <v>1696</v>
      </c>
      <c r="P78" t="s">
        <v>1771</v>
      </c>
      <c r="Q78" t="str">
        <f>IF($C78="","",IFERROR(VLOOKUP($C78,sources!$A$2:$N$200,2,FALSE()),"?"))</f>
        <v>Newspaper</v>
      </c>
      <c r="R78" t="str">
        <f t="shared" si="1"/>
        <v>Textual</v>
      </c>
      <c r="S78" t="str">
        <f>IF($C78="","",IFERROR(VLOOKUP($C78,sources!$A$2:$N$200,9,FALSE()),"?"))</f>
        <v>Caribbean community</v>
      </c>
    </row>
    <row r="79" spans="1:19" x14ac:dyDescent="0.2">
      <c r="A79" t="s">
        <v>1772</v>
      </c>
      <c r="B79" t="s">
        <v>252</v>
      </c>
      <c r="C79" t="s">
        <v>1253</v>
      </c>
      <c r="D79" t="s">
        <v>1585</v>
      </c>
      <c r="E79" t="s">
        <v>324</v>
      </c>
      <c r="F79" t="s">
        <v>1612</v>
      </c>
      <c r="I79" t="s">
        <v>1077</v>
      </c>
      <c r="K79" t="s">
        <v>1713</v>
      </c>
      <c r="L79" t="s">
        <v>1713</v>
      </c>
      <c r="M79" t="s">
        <v>222</v>
      </c>
      <c r="N79" t="s">
        <v>222</v>
      </c>
      <c r="O79" t="s">
        <v>1714</v>
      </c>
      <c r="P79" t="s">
        <v>1773</v>
      </c>
      <c r="Q79" t="str">
        <f>IF($C79="","",IFERROR(VLOOKUP($C79,sources!$A$2:$N$200,2,FALSE()),"?"))</f>
        <v>Newspaper</v>
      </c>
      <c r="R79" t="str">
        <f t="shared" si="1"/>
        <v>Textual</v>
      </c>
      <c r="S79" t="str">
        <f>IF($C79="","",IFERROR(VLOOKUP($C79,sources!$A$2:$N$200,9,FALSE()),"?"))</f>
        <v>Caribbean community</v>
      </c>
    </row>
    <row r="80" spans="1:19" x14ac:dyDescent="0.2">
      <c r="A80" t="s">
        <v>1774</v>
      </c>
      <c r="B80" t="s">
        <v>266</v>
      </c>
      <c r="C80" t="s">
        <v>1253</v>
      </c>
      <c r="D80" t="s">
        <v>1585</v>
      </c>
      <c r="E80" t="s">
        <v>267</v>
      </c>
      <c r="F80" t="s">
        <v>1612</v>
      </c>
      <c r="I80" t="s">
        <v>1077</v>
      </c>
      <c r="K80" t="s">
        <v>1713</v>
      </c>
      <c r="L80" t="s">
        <v>1713</v>
      </c>
      <c r="M80" t="s">
        <v>222</v>
      </c>
      <c r="N80" t="s">
        <v>222</v>
      </c>
      <c r="O80" t="s">
        <v>1714</v>
      </c>
      <c r="P80" t="s">
        <v>1775</v>
      </c>
      <c r="Q80" t="str">
        <f>IF($C80="","",IFERROR(VLOOKUP($C80,sources!$A$2:$N$200,2,FALSE()),"?"))</f>
        <v>Newspaper</v>
      </c>
      <c r="R80" t="str">
        <f t="shared" si="1"/>
        <v>Textual</v>
      </c>
      <c r="S80" t="str">
        <f>IF($C80="","",IFERROR(VLOOKUP($C80,sources!$A$2:$N$200,9,FALSE()),"?"))</f>
        <v>Caribbean community</v>
      </c>
    </row>
    <row r="81" spans="1:19" x14ac:dyDescent="0.2">
      <c r="A81" t="s">
        <v>1776</v>
      </c>
      <c r="B81" t="s">
        <v>388</v>
      </c>
      <c r="C81" t="s">
        <v>1253</v>
      </c>
      <c r="D81" t="s">
        <v>1599</v>
      </c>
      <c r="E81" t="s">
        <v>389</v>
      </c>
      <c r="F81" t="s">
        <v>1612</v>
      </c>
      <c r="I81" t="s">
        <v>1077</v>
      </c>
      <c r="K81" t="s">
        <v>1722</v>
      </c>
      <c r="L81" t="s">
        <v>1722</v>
      </c>
      <c r="M81" t="s">
        <v>222</v>
      </c>
      <c r="N81" t="s">
        <v>222</v>
      </c>
      <c r="O81" t="s">
        <v>1696</v>
      </c>
      <c r="P81" t="s">
        <v>1777</v>
      </c>
      <c r="Q81" t="str">
        <f>IF($C81="","",IFERROR(VLOOKUP($C81,sources!$A$2:$N$200,2,FALSE()),"?"))</f>
        <v>Newspaper</v>
      </c>
      <c r="R81" t="str">
        <f t="shared" si="1"/>
        <v>Textual</v>
      </c>
      <c r="S81" t="str">
        <f>IF($C81="","",IFERROR(VLOOKUP($C81,sources!$A$2:$N$200,9,FALSE()),"?"))</f>
        <v>Caribbean community</v>
      </c>
    </row>
    <row r="82" spans="1:19" x14ac:dyDescent="0.2">
      <c r="A82" t="s">
        <v>1778</v>
      </c>
      <c r="B82" t="s">
        <v>393</v>
      </c>
      <c r="C82" t="s">
        <v>1222</v>
      </c>
      <c r="D82" t="s">
        <v>1599</v>
      </c>
      <c r="E82" t="s">
        <v>394</v>
      </c>
      <c r="F82" t="s">
        <v>1612</v>
      </c>
      <c r="I82" t="s">
        <v>1077</v>
      </c>
      <c r="K82" t="s">
        <v>302</v>
      </c>
      <c r="L82" t="s">
        <v>302</v>
      </c>
      <c r="M82" t="s">
        <v>228</v>
      </c>
      <c r="N82" t="s">
        <v>222</v>
      </c>
      <c r="O82" t="s">
        <v>1705</v>
      </c>
      <c r="P82" t="s">
        <v>1779</v>
      </c>
      <c r="Q82" t="str">
        <f>IF($C82="","",IFERROR(VLOOKUP($C82,sources!$A$2:$N$200,2,FALSE()),"?"))</f>
        <v>Newspaper</v>
      </c>
      <c r="R82" t="str">
        <f t="shared" si="1"/>
        <v>Textual</v>
      </c>
      <c r="S82" t="str">
        <f>IF($C82="","",IFERROR(VLOOKUP($C82,sources!$A$2:$N$200,9,FALSE()),"?"))</f>
        <v>US press</v>
      </c>
    </row>
    <row r="83" spans="1:19" x14ac:dyDescent="0.2">
      <c r="A83" t="s">
        <v>1780</v>
      </c>
      <c r="B83" t="s">
        <v>393</v>
      </c>
      <c r="C83" t="s">
        <v>1222</v>
      </c>
      <c r="D83" t="s">
        <v>1599</v>
      </c>
      <c r="E83" t="s">
        <v>394</v>
      </c>
      <c r="F83" t="s">
        <v>1612</v>
      </c>
      <c r="I83" t="s">
        <v>1077</v>
      </c>
      <c r="M83" t="s">
        <v>228</v>
      </c>
      <c r="N83" t="s">
        <v>222</v>
      </c>
      <c r="O83" t="s">
        <v>1702</v>
      </c>
      <c r="P83" t="s">
        <v>1781</v>
      </c>
      <c r="Q83" t="str">
        <f>IF($C83="","",IFERROR(VLOOKUP($C83,sources!$A$2:$N$200,2,FALSE()),"?"))</f>
        <v>Newspaper</v>
      </c>
      <c r="R83" t="str">
        <f t="shared" si="1"/>
        <v>Textual</v>
      </c>
      <c r="S83" t="str">
        <f>IF($C83="","",IFERROR(VLOOKUP($C83,sources!$A$2:$N$200,9,FALSE()),"?"))</f>
        <v>US press</v>
      </c>
    </row>
    <row r="84" spans="1:19" x14ac:dyDescent="0.2">
      <c r="A84" t="s">
        <v>1782</v>
      </c>
      <c r="B84" t="s">
        <v>414</v>
      </c>
      <c r="C84" t="s">
        <v>1222</v>
      </c>
      <c r="D84" t="s">
        <v>1599</v>
      </c>
      <c r="E84" t="s">
        <v>415</v>
      </c>
      <c r="F84" t="s">
        <v>1612</v>
      </c>
      <c r="I84" t="s">
        <v>1077</v>
      </c>
      <c r="K84" t="s">
        <v>302</v>
      </c>
      <c r="L84" t="s">
        <v>302</v>
      </c>
      <c r="M84" t="s">
        <v>228</v>
      </c>
      <c r="N84" t="s">
        <v>222</v>
      </c>
      <c r="O84" t="s">
        <v>1705</v>
      </c>
      <c r="P84" t="s">
        <v>1783</v>
      </c>
      <c r="Q84" t="str">
        <f>IF($C84="","",IFERROR(VLOOKUP($C84,sources!$A$2:$N$200,2,FALSE()),"?"))</f>
        <v>Newspaper</v>
      </c>
      <c r="R84" t="str">
        <f t="shared" si="1"/>
        <v>Textual</v>
      </c>
      <c r="S84" t="str">
        <f>IF($C84="","",IFERROR(VLOOKUP($C84,sources!$A$2:$N$200,9,FALSE()),"?"))</f>
        <v>US press</v>
      </c>
    </row>
    <row r="85" spans="1:19" x14ac:dyDescent="0.2">
      <c r="A85" t="s">
        <v>1784</v>
      </c>
      <c r="B85" t="s">
        <v>272</v>
      </c>
      <c r="C85" t="s">
        <v>1222</v>
      </c>
      <c r="D85" t="s">
        <v>1599</v>
      </c>
      <c r="E85" t="s">
        <v>585</v>
      </c>
      <c r="F85" t="s">
        <v>1612</v>
      </c>
      <c r="I85" t="s">
        <v>1077</v>
      </c>
      <c r="K85" t="s">
        <v>302</v>
      </c>
      <c r="L85" t="s">
        <v>302</v>
      </c>
      <c r="M85" t="s">
        <v>228</v>
      </c>
      <c r="N85" t="s">
        <v>222</v>
      </c>
      <c r="O85" t="s">
        <v>1705</v>
      </c>
      <c r="P85" t="s">
        <v>1785</v>
      </c>
      <c r="Q85" t="str">
        <f>IF($C85="","",IFERROR(VLOOKUP($C85,sources!$A$2:$N$200,2,FALSE()),"?"))</f>
        <v>Newspaper</v>
      </c>
      <c r="R85" t="str">
        <f t="shared" si="1"/>
        <v>Textual</v>
      </c>
      <c r="S85" t="str">
        <f>IF($C85="","",IFERROR(VLOOKUP($C85,sources!$A$2:$N$200,9,FALSE()),"?"))</f>
        <v>US press</v>
      </c>
    </row>
    <row r="86" spans="1:19" x14ac:dyDescent="0.2">
      <c r="A86" t="s">
        <v>1786</v>
      </c>
      <c r="B86" t="s">
        <v>443</v>
      </c>
      <c r="C86" t="s">
        <v>1247</v>
      </c>
      <c r="D86" t="s">
        <v>1599</v>
      </c>
      <c r="E86" t="s">
        <v>444</v>
      </c>
      <c r="F86" t="s">
        <v>1612</v>
      </c>
      <c r="I86" t="s">
        <v>1077</v>
      </c>
      <c r="K86" t="s">
        <v>1191</v>
      </c>
      <c r="L86" t="s">
        <v>361</v>
      </c>
      <c r="M86" t="s">
        <v>222</v>
      </c>
      <c r="N86" t="s">
        <v>222</v>
      </c>
      <c r="O86" t="s">
        <v>1696</v>
      </c>
      <c r="P86" t="s">
        <v>1787</v>
      </c>
      <c r="Q86" t="str">
        <f>IF($C86="","",IFERROR(VLOOKUP($C86,sources!$A$2:$N$200,2,FALSE()),"?"))</f>
        <v>Newspaper</v>
      </c>
      <c r="R86" t="str">
        <f t="shared" si="1"/>
        <v>Textual</v>
      </c>
      <c r="S86" t="str">
        <f>IF($C86="","",IFERROR(VLOOKUP($C86,sources!$A$2:$N$200,9,FALSE()),"?"))</f>
        <v>US official</v>
      </c>
    </row>
    <row r="87" spans="1:19" x14ac:dyDescent="0.2">
      <c r="A87" t="s">
        <v>1788</v>
      </c>
      <c r="B87" t="s">
        <v>448</v>
      </c>
      <c r="C87" t="s">
        <v>1222</v>
      </c>
      <c r="D87" t="s">
        <v>1599</v>
      </c>
      <c r="E87" t="s">
        <v>449</v>
      </c>
      <c r="F87" t="s">
        <v>1612</v>
      </c>
      <c r="I87" t="s">
        <v>1077</v>
      </c>
      <c r="K87" t="s">
        <v>1709</v>
      </c>
      <c r="L87" t="s">
        <v>1709</v>
      </c>
      <c r="M87" t="s">
        <v>228</v>
      </c>
      <c r="N87" t="s">
        <v>222</v>
      </c>
      <c r="O87" t="s">
        <v>1702</v>
      </c>
      <c r="P87" t="s">
        <v>1789</v>
      </c>
      <c r="Q87" t="str">
        <f>IF($C87="","",IFERROR(VLOOKUP($C87,sources!$A$2:$N$200,2,FALSE()),"?"))</f>
        <v>Newspaper</v>
      </c>
      <c r="R87" t="str">
        <f t="shared" si="1"/>
        <v>Textual</v>
      </c>
      <c r="S87" t="str">
        <f>IF($C87="","",IFERROR(VLOOKUP($C87,sources!$A$2:$N$200,9,FALSE()),"?"))</f>
        <v>US press</v>
      </c>
    </row>
    <row r="88" spans="1:19" x14ac:dyDescent="0.2">
      <c r="A88" t="s">
        <v>1790</v>
      </c>
      <c r="B88" t="s">
        <v>452</v>
      </c>
      <c r="C88" t="s">
        <v>1222</v>
      </c>
      <c r="D88" t="s">
        <v>1585</v>
      </c>
      <c r="E88" t="s">
        <v>1791</v>
      </c>
      <c r="F88" t="s">
        <v>1587</v>
      </c>
      <c r="I88" t="s">
        <v>1077</v>
      </c>
      <c r="K88" t="s">
        <v>291</v>
      </c>
      <c r="L88" t="s">
        <v>291</v>
      </c>
      <c r="M88" t="s">
        <v>222</v>
      </c>
      <c r="N88" t="s">
        <v>228</v>
      </c>
      <c r="O88" t="s">
        <v>1792</v>
      </c>
      <c r="P88" t="s">
        <v>1793</v>
      </c>
      <c r="Q88" t="str">
        <f>IF($C88="","",IFERROR(VLOOKUP($C88,sources!$A$2:$N$200,2,FALSE()),"?"))</f>
        <v>Newspaper</v>
      </c>
      <c r="R88" t="str">
        <f t="shared" si="1"/>
        <v>Textual</v>
      </c>
      <c r="S88" t="str">
        <f>IF($C88="","",IFERROR(VLOOKUP($C88,sources!$A$2:$N$200,9,FALSE()),"?"))</f>
        <v>US press</v>
      </c>
    </row>
    <row r="89" spans="1:19" x14ac:dyDescent="0.2">
      <c r="A89" t="s">
        <v>1794</v>
      </c>
      <c r="B89" t="s">
        <v>455</v>
      </c>
      <c r="C89" t="s">
        <v>1222</v>
      </c>
      <c r="D89" t="s">
        <v>1585</v>
      </c>
      <c r="E89" t="s">
        <v>1795</v>
      </c>
      <c r="F89" t="s">
        <v>1701</v>
      </c>
      <c r="I89" t="s">
        <v>1077</v>
      </c>
      <c r="K89" t="s">
        <v>1796</v>
      </c>
      <c r="L89" t="s">
        <v>1796</v>
      </c>
      <c r="M89" t="s">
        <v>222</v>
      </c>
      <c r="N89" t="s">
        <v>228</v>
      </c>
      <c r="O89" t="s">
        <v>1797</v>
      </c>
      <c r="P89" t="s">
        <v>1798</v>
      </c>
      <c r="Q89" t="str">
        <f>IF($C89="","",IFERROR(VLOOKUP($C89,sources!$A$2:$N$200,2,FALSE()),"?"))</f>
        <v>Newspaper</v>
      </c>
      <c r="R89" t="str">
        <f t="shared" si="1"/>
        <v>Textual</v>
      </c>
      <c r="S89" t="str">
        <f>IF($C89="","",IFERROR(VLOOKUP($C89,sources!$A$2:$N$200,9,FALSE()),"?"))</f>
        <v>US press</v>
      </c>
    </row>
    <row r="90" spans="1:19" x14ac:dyDescent="0.2">
      <c r="A90" t="s">
        <v>1799</v>
      </c>
      <c r="B90" t="s">
        <v>397</v>
      </c>
      <c r="C90" t="s">
        <v>1222</v>
      </c>
      <c r="D90" t="s">
        <v>1599</v>
      </c>
      <c r="E90" t="s">
        <v>398</v>
      </c>
      <c r="F90" t="s">
        <v>1612</v>
      </c>
      <c r="I90" t="s">
        <v>1077</v>
      </c>
      <c r="M90" t="s">
        <v>209</v>
      </c>
      <c r="N90" t="s">
        <v>209</v>
      </c>
      <c r="O90" t="s">
        <v>1600</v>
      </c>
      <c r="P90" t="s">
        <v>1800</v>
      </c>
      <c r="Q90" t="str">
        <f>IF($C90="","",IFERROR(VLOOKUP($C90,sources!$A$2:$N$200,2,FALSE()),"?"))</f>
        <v>Newspaper</v>
      </c>
      <c r="R90" t="str">
        <f t="shared" si="1"/>
        <v>Textual</v>
      </c>
      <c r="S90" t="str">
        <f>IF($C90="","",IFERROR(VLOOKUP($C90,sources!$A$2:$N$200,9,FALSE()),"?"))</f>
        <v>US press</v>
      </c>
    </row>
    <row r="91" spans="1:19" x14ac:dyDescent="0.2">
      <c r="A91" t="s">
        <v>1801</v>
      </c>
      <c r="B91" t="s">
        <v>402</v>
      </c>
      <c r="C91" t="s">
        <v>1222</v>
      </c>
      <c r="D91" t="s">
        <v>1599</v>
      </c>
      <c r="E91" t="s">
        <v>403</v>
      </c>
      <c r="F91" t="s">
        <v>1612</v>
      </c>
      <c r="I91" t="s">
        <v>1077</v>
      </c>
      <c r="M91" t="s">
        <v>209</v>
      </c>
      <c r="N91" t="s">
        <v>209</v>
      </c>
      <c r="O91" t="s">
        <v>1600</v>
      </c>
      <c r="P91" t="s">
        <v>1802</v>
      </c>
      <c r="Q91" t="str">
        <f>IF($C91="","",IFERROR(VLOOKUP($C91,sources!$A$2:$N$200,2,FALSE()),"?"))</f>
        <v>Newspaper</v>
      </c>
      <c r="R91" t="str">
        <f t="shared" si="1"/>
        <v>Textual</v>
      </c>
      <c r="S91" t="str">
        <f>IF($C91="","",IFERROR(VLOOKUP($C91,sources!$A$2:$N$200,9,FALSE()),"?"))</f>
        <v>US press</v>
      </c>
    </row>
    <row r="92" spans="1:19" x14ac:dyDescent="0.2">
      <c r="A92" t="s">
        <v>1803</v>
      </c>
      <c r="B92" t="s">
        <v>405</v>
      </c>
      <c r="C92" t="s">
        <v>1222</v>
      </c>
      <c r="D92" t="s">
        <v>1599</v>
      </c>
      <c r="E92" t="s">
        <v>406</v>
      </c>
      <c r="F92" t="s">
        <v>1612</v>
      </c>
      <c r="I92" t="s">
        <v>1077</v>
      </c>
      <c r="M92" t="s">
        <v>209</v>
      </c>
      <c r="N92" t="s">
        <v>209</v>
      </c>
      <c r="O92" t="s">
        <v>1600</v>
      </c>
      <c r="P92" t="s">
        <v>1804</v>
      </c>
      <c r="Q92" t="str">
        <f>IF($C92="","",IFERROR(VLOOKUP($C92,sources!$A$2:$N$200,2,FALSE()),"?"))</f>
        <v>Newspaper</v>
      </c>
      <c r="R92" t="str">
        <f t="shared" si="1"/>
        <v>Textual</v>
      </c>
      <c r="S92" t="str">
        <f>IF($C92="","",IFERROR(VLOOKUP($C92,sources!$A$2:$N$200,9,FALSE()),"?"))</f>
        <v>US press</v>
      </c>
    </row>
    <row r="93" spans="1:19" x14ac:dyDescent="0.2">
      <c r="A93" t="s">
        <v>1805</v>
      </c>
      <c r="B93" t="s">
        <v>408</v>
      </c>
      <c r="C93" t="s">
        <v>1222</v>
      </c>
      <c r="D93" t="s">
        <v>1599</v>
      </c>
      <c r="E93" t="s">
        <v>409</v>
      </c>
      <c r="F93" t="s">
        <v>1612</v>
      </c>
      <c r="I93" t="s">
        <v>1077</v>
      </c>
      <c r="M93" t="s">
        <v>209</v>
      </c>
      <c r="N93" t="s">
        <v>209</v>
      </c>
      <c r="O93" t="s">
        <v>1600</v>
      </c>
      <c r="P93" t="s">
        <v>1806</v>
      </c>
      <c r="Q93" t="str">
        <f>IF($C93="","",IFERROR(VLOOKUP($C93,sources!$A$2:$N$200,2,FALSE()),"?"))</f>
        <v>Newspaper</v>
      </c>
      <c r="R93" t="str">
        <f t="shared" si="1"/>
        <v>Textual</v>
      </c>
      <c r="S93" t="str">
        <f>IF($C93="","",IFERROR(VLOOKUP($C93,sources!$A$2:$N$200,9,FALSE()),"?"))</f>
        <v>US press</v>
      </c>
    </row>
    <row r="94" spans="1:19" x14ac:dyDescent="0.2">
      <c r="A94" t="s">
        <v>1807</v>
      </c>
      <c r="B94" t="s">
        <v>411</v>
      </c>
      <c r="C94" t="s">
        <v>1222</v>
      </c>
      <c r="D94" t="s">
        <v>1599</v>
      </c>
      <c r="E94" t="s">
        <v>412</v>
      </c>
      <c r="F94" t="s">
        <v>1612</v>
      </c>
      <c r="I94" t="s">
        <v>1077</v>
      </c>
      <c r="M94" t="s">
        <v>209</v>
      </c>
      <c r="N94" t="s">
        <v>209</v>
      </c>
      <c r="O94" t="s">
        <v>1600</v>
      </c>
      <c r="P94" t="s">
        <v>1808</v>
      </c>
      <c r="Q94" t="str">
        <f>IF($C94="","",IFERROR(VLOOKUP($C94,sources!$A$2:$N$200,2,FALSE()),"?"))</f>
        <v>Newspaper</v>
      </c>
      <c r="R94" t="str">
        <f t="shared" si="1"/>
        <v>Textual</v>
      </c>
      <c r="S94" t="str">
        <f>IF($C94="","",IFERROR(VLOOKUP($C94,sources!$A$2:$N$200,9,FALSE()),"?"))</f>
        <v>US press</v>
      </c>
    </row>
    <row r="95" spans="1:19" x14ac:dyDescent="0.2">
      <c r="A95" t="s">
        <v>1809</v>
      </c>
      <c r="B95" t="s">
        <v>417</v>
      </c>
      <c r="C95" t="s">
        <v>1222</v>
      </c>
      <c r="D95" t="s">
        <v>1599</v>
      </c>
      <c r="E95" t="s">
        <v>418</v>
      </c>
      <c r="F95" t="s">
        <v>1612</v>
      </c>
      <c r="I95" t="s">
        <v>1077</v>
      </c>
      <c r="M95" t="s">
        <v>209</v>
      </c>
      <c r="N95" t="s">
        <v>209</v>
      </c>
      <c r="O95" t="s">
        <v>1600</v>
      </c>
      <c r="P95" t="s">
        <v>1810</v>
      </c>
      <c r="Q95" t="str">
        <f>IF($C95="","",IFERROR(VLOOKUP($C95,sources!$A$2:$N$200,2,FALSE()),"?"))</f>
        <v>Newspaper</v>
      </c>
      <c r="R95" t="str">
        <f t="shared" si="1"/>
        <v>Textual</v>
      </c>
      <c r="S95" t="str">
        <f>IF($C95="","",IFERROR(VLOOKUP($C95,sources!$A$2:$N$200,9,FALSE()),"?"))</f>
        <v>US press</v>
      </c>
    </row>
    <row r="96" spans="1:19" x14ac:dyDescent="0.2">
      <c r="A96" t="s">
        <v>1811</v>
      </c>
      <c r="B96" t="s">
        <v>422</v>
      </c>
      <c r="C96" t="s">
        <v>1222</v>
      </c>
      <c r="D96" t="s">
        <v>1599</v>
      </c>
      <c r="E96" t="s">
        <v>423</v>
      </c>
      <c r="F96" t="s">
        <v>1612</v>
      </c>
      <c r="I96" t="s">
        <v>1077</v>
      </c>
      <c r="M96" t="s">
        <v>209</v>
      </c>
      <c r="N96" t="s">
        <v>209</v>
      </c>
      <c r="O96" t="s">
        <v>1600</v>
      </c>
      <c r="P96" t="s">
        <v>1812</v>
      </c>
      <c r="Q96" t="str">
        <f>IF($C96="","",IFERROR(VLOOKUP($C96,sources!$A$2:$N$200,2,FALSE()),"?"))</f>
        <v>Newspaper</v>
      </c>
      <c r="R96" t="str">
        <f t="shared" si="1"/>
        <v>Textual</v>
      </c>
      <c r="S96" t="str">
        <f>IF($C96="","",IFERROR(VLOOKUP($C96,sources!$A$2:$N$200,9,FALSE()),"?"))</f>
        <v>US press</v>
      </c>
    </row>
    <row r="97" spans="1:19" x14ac:dyDescent="0.2">
      <c r="A97" t="s">
        <v>1813</v>
      </c>
      <c r="B97" t="s">
        <v>426</v>
      </c>
      <c r="C97" t="s">
        <v>1222</v>
      </c>
      <c r="D97" t="s">
        <v>1599</v>
      </c>
      <c r="E97" t="s">
        <v>427</v>
      </c>
      <c r="F97" t="s">
        <v>1612</v>
      </c>
      <c r="I97" t="s">
        <v>1077</v>
      </c>
      <c r="M97" t="s">
        <v>209</v>
      </c>
      <c r="N97" t="s">
        <v>209</v>
      </c>
      <c r="O97" t="s">
        <v>1600</v>
      </c>
      <c r="P97" t="s">
        <v>1814</v>
      </c>
      <c r="Q97" t="str">
        <f>IF($C97="","",IFERROR(VLOOKUP($C97,sources!$A$2:$N$200,2,FALSE()),"?"))</f>
        <v>Newspaper</v>
      </c>
      <c r="R97" t="str">
        <f t="shared" si="1"/>
        <v>Textual</v>
      </c>
      <c r="S97" t="str">
        <f>IF($C97="","",IFERROR(VLOOKUP($C97,sources!$A$2:$N$200,9,FALSE()),"?"))</f>
        <v>US press</v>
      </c>
    </row>
    <row r="98" spans="1:19" x14ac:dyDescent="0.2">
      <c r="A98" t="s">
        <v>1815</v>
      </c>
      <c r="B98" t="s">
        <v>430</v>
      </c>
      <c r="C98" t="s">
        <v>1222</v>
      </c>
      <c r="D98" t="s">
        <v>1599</v>
      </c>
      <c r="E98" t="s">
        <v>431</v>
      </c>
      <c r="F98" t="s">
        <v>1612</v>
      </c>
      <c r="I98" t="s">
        <v>1077</v>
      </c>
      <c r="M98" t="s">
        <v>209</v>
      </c>
      <c r="N98" t="s">
        <v>209</v>
      </c>
      <c r="O98" t="s">
        <v>1600</v>
      </c>
      <c r="P98" t="s">
        <v>1816</v>
      </c>
      <c r="Q98" t="str">
        <f>IF($C98="","",IFERROR(VLOOKUP($C98,sources!$A$2:$N$200,2,FALSE()),"?"))</f>
        <v>Newspaper</v>
      </c>
      <c r="R98" t="str">
        <f t="shared" si="1"/>
        <v>Textual</v>
      </c>
      <c r="S98" t="str">
        <f>IF($C98="","",IFERROR(VLOOKUP($C98,sources!$A$2:$N$200,9,FALSE()),"?"))</f>
        <v>US press</v>
      </c>
    </row>
    <row r="99" spans="1:19" x14ac:dyDescent="0.2">
      <c r="A99" t="s">
        <v>1817</v>
      </c>
      <c r="B99" t="s">
        <v>434</v>
      </c>
      <c r="C99" t="s">
        <v>1222</v>
      </c>
      <c r="D99" t="s">
        <v>1599</v>
      </c>
      <c r="E99" t="s">
        <v>435</v>
      </c>
      <c r="F99" t="s">
        <v>1612</v>
      </c>
      <c r="I99" t="s">
        <v>1077</v>
      </c>
      <c r="M99" t="s">
        <v>209</v>
      </c>
      <c r="N99" t="s">
        <v>209</v>
      </c>
      <c r="O99" t="s">
        <v>1600</v>
      </c>
      <c r="P99" t="s">
        <v>1818</v>
      </c>
      <c r="Q99" t="str">
        <f>IF($C99="","",IFERROR(VLOOKUP($C99,sources!$A$2:$N$200,2,FALSE()),"?"))</f>
        <v>Newspaper</v>
      </c>
      <c r="R99" t="str">
        <f t="shared" si="1"/>
        <v>Textual</v>
      </c>
      <c r="S99" t="str">
        <f>IF($C99="","",IFERROR(VLOOKUP($C99,sources!$A$2:$N$200,9,FALSE()),"?"))</f>
        <v>US press</v>
      </c>
    </row>
    <row r="100" spans="1:19" x14ac:dyDescent="0.2">
      <c r="A100" t="s">
        <v>1819</v>
      </c>
      <c r="B100" t="s">
        <v>439</v>
      </c>
      <c r="C100" t="s">
        <v>1222</v>
      </c>
      <c r="D100" t="s">
        <v>1599</v>
      </c>
      <c r="E100" t="s">
        <v>440</v>
      </c>
      <c r="F100" t="s">
        <v>1612</v>
      </c>
      <c r="I100" t="s">
        <v>1077</v>
      </c>
      <c r="M100" t="s">
        <v>209</v>
      </c>
      <c r="N100" t="s">
        <v>209</v>
      </c>
      <c r="O100" t="s">
        <v>1600</v>
      </c>
      <c r="P100" t="s">
        <v>1820</v>
      </c>
      <c r="Q100" t="str">
        <f>IF($C100="","",IFERROR(VLOOKUP($C100,sources!$A$2:$N$200,2,FALSE()),"?"))</f>
        <v>Newspaper</v>
      </c>
      <c r="R100" t="str">
        <f t="shared" si="1"/>
        <v>Textual</v>
      </c>
      <c r="S100" t="str">
        <f>IF($C100="","",IFERROR(VLOOKUP($C100,sources!$A$2:$N$200,9,FALSE()),"?"))</f>
        <v>US press</v>
      </c>
    </row>
    <row r="101" spans="1:19" x14ac:dyDescent="0.2">
      <c r="A101" t="s">
        <v>1821</v>
      </c>
      <c r="B101" t="s">
        <v>198</v>
      </c>
      <c r="C101" t="s">
        <v>1167</v>
      </c>
      <c r="D101" t="s">
        <v>1599</v>
      </c>
      <c r="E101" t="s">
        <v>199</v>
      </c>
      <c r="F101" t="s">
        <v>1612</v>
      </c>
      <c r="I101" t="s">
        <v>1077</v>
      </c>
      <c r="K101" t="s">
        <v>302</v>
      </c>
      <c r="L101" t="s">
        <v>250</v>
      </c>
      <c r="M101" t="s">
        <v>228</v>
      </c>
      <c r="N101" t="s">
        <v>222</v>
      </c>
      <c r="O101" t="s">
        <v>1822</v>
      </c>
      <c r="P101" t="s">
        <v>1823</v>
      </c>
      <c r="Q101" t="str">
        <f>IF($C101="","",IFERROR(VLOOKUP($C101,sources!$A$2:$N$200,2,FALSE()),"?"))</f>
        <v>Report</v>
      </c>
      <c r="R101" t="str">
        <f t="shared" si="1"/>
        <v>Textual</v>
      </c>
      <c r="S101" t="str">
        <f>IF($C101="","",IFERROR(VLOOKUP($C101,sources!$A$2:$N$200,9,FALSE()),"?"))</f>
        <v>US official</v>
      </c>
    </row>
    <row r="102" spans="1:19" x14ac:dyDescent="0.2">
      <c r="A102" t="s">
        <v>1824</v>
      </c>
      <c r="B102" t="s">
        <v>198</v>
      </c>
      <c r="C102" t="s">
        <v>1167</v>
      </c>
      <c r="D102" t="s">
        <v>1599</v>
      </c>
      <c r="E102" t="s">
        <v>199</v>
      </c>
      <c r="F102" t="s">
        <v>1612</v>
      </c>
      <c r="I102" t="s">
        <v>1077</v>
      </c>
      <c r="M102" t="s">
        <v>228</v>
      </c>
      <c r="N102" t="s">
        <v>222</v>
      </c>
      <c r="O102" t="s">
        <v>1825</v>
      </c>
      <c r="P102" t="s">
        <v>1826</v>
      </c>
      <c r="Q102" t="str">
        <f>IF($C102="","",IFERROR(VLOOKUP($C102,sources!$A$2:$N$200,2,FALSE()),"?"))</f>
        <v>Report</v>
      </c>
      <c r="R102" t="str">
        <f t="shared" si="1"/>
        <v>Textual</v>
      </c>
      <c r="S102" t="str">
        <f>IF($C102="","",IFERROR(VLOOKUP($C102,sources!$A$2:$N$200,9,FALSE()),"?"))</f>
        <v>US official</v>
      </c>
    </row>
    <row r="103" spans="1:19" x14ac:dyDescent="0.2">
      <c r="A103" t="s">
        <v>1827</v>
      </c>
      <c r="B103" t="s">
        <v>213</v>
      </c>
      <c r="C103" t="s">
        <v>1167</v>
      </c>
      <c r="D103" t="s">
        <v>1599</v>
      </c>
      <c r="E103" t="s">
        <v>214</v>
      </c>
      <c r="F103" t="s">
        <v>1612</v>
      </c>
      <c r="I103" t="s">
        <v>1077</v>
      </c>
      <c r="K103" t="s">
        <v>302</v>
      </c>
      <c r="L103" t="s">
        <v>250</v>
      </c>
      <c r="M103" t="s">
        <v>228</v>
      </c>
      <c r="N103" t="s">
        <v>222</v>
      </c>
      <c r="O103" t="s">
        <v>1828</v>
      </c>
      <c r="P103" t="s">
        <v>1829</v>
      </c>
      <c r="Q103" t="str">
        <f>IF($C103="","",IFERROR(VLOOKUP($C103,sources!$A$2:$N$200,2,FALSE()),"?"))</f>
        <v>Report</v>
      </c>
      <c r="R103" t="str">
        <f t="shared" si="1"/>
        <v>Textual</v>
      </c>
      <c r="S103" t="str">
        <f>IF($C103="","",IFERROR(VLOOKUP($C103,sources!$A$2:$N$200,9,FALSE()),"?"))</f>
        <v>US official</v>
      </c>
    </row>
    <row r="104" spans="1:19" x14ac:dyDescent="0.2">
      <c r="A104" t="s">
        <v>1830</v>
      </c>
      <c r="B104" t="s">
        <v>213</v>
      </c>
      <c r="C104" t="s">
        <v>1167</v>
      </c>
      <c r="D104" t="s">
        <v>1599</v>
      </c>
      <c r="E104" t="s">
        <v>214</v>
      </c>
      <c r="F104" t="s">
        <v>1612</v>
      </c>
      <c r="I104" t="s">
        <v>1077</v>
      </c>
      <c r="M104" t="s">
        <v>228</v>
      </c>
      <c r="N104" t="s">
        <v>222</v>
      </c>
      <c r="O104" t="s">
        <v>1831</v>
      </c>
      <c r="P104" t="s">
        <v>1832</v>
      </c>
      <c r="Q104" t="str">
        <f>IF($C104="","",IFERROR(VLOOKUP($C104,sources!$A$2:$N$200,2,FALSE()),"?"))</f>
        <v>Report</v>
      </c>
      <c r="R104" t="str">
        <f t="shared" si="1"/>
        <v>Textual</v>
      </c>
      <c r="S104" t="str">
        <f>IF($C104="","",IFERROR(VLOOKUP($C104,sources!$A$2:$N$200,9,FALSE()),"?"))</f>
        <v>US official</v>
      </c>
    </row>
    <row r="105" spans="1:19" x14ac:dyDescent="0.2">
      <c r="A105" t="s">
        <v>1833</v>
      </c>
      <c r="B105" t="s">
        <v>218</v>
      </c>
      <c r="C105" t="s">
        <v>1167</v>
      </c>
      <c r="D105" t="s">
        <v>1599</v>
      </c>
      <c r="E105" t="s">
        <v>219</v>
      </c>
      <c r="F105" t="s">
        <v>1612</v>
      </c>
      <c r="I105" t="s">
        <v>1077</v>
      </c>
      <c r="K105" t="s">
        <v>302</v>
      </c>
      <c r="L105" t="s">
        <v>250</v>
      </c>
      <c r="M105" t="s">
        <v>228</v>
      </c>
      <c r="N105" t="s">
        <v>222</v>
      </c>
      <c r="O105" t="s">
        <v>1834</v>
      </c>
      <c r="P105" t="s">
        <v>1835</v>
      </c>
      <c r="Q105" t="str">
        <f>IF($C105="","",IFERROR(VLOOKUP($C105,sources!$A$2:$N$200,2,FALSE()),"?"))</f>
        <v>Report</v>
      </c>
      <c r="R105" t="str">
        <f t="shared" si="1"/>
        <v>Textual</v>
      </c>
      <c r="S105" t="str">
        <f>IF($C105="","",IFERROR(VLOOKUP($C105,sources!$A$2:$N$200,9,FALSE()),"?"))</f>
        <v>US official</v>
      </c>
    </row>
    <row r="106" spans="1:19" x14ac:dyDescent="0.2">
      <c r="A106" t="s">
        <v>1836</v>
      </c>
      <c r="B106" t="s">
        <v>218</v>
      </c>
      <c r="C106" t="s">
        <v>1167</v>
      </c>
      <c r="D106" t="s">
        <v>1599</v>
      </c>
      <c r="E106" t="s">
        <v>219</v>
      </c>
      <c r="F106" t="s">
        <v>1612</v>
      </c>
      <c r="I106" t="s">
        <v>1077</v>
      </c>
      <c r="M106" t="s">
        <v>228</v>
      </c>
      <c r="N106" t="s">
        <v>222</v>
      </c>
      <c r="O106" t="s">
        <v>1837</v>
      </c>
      <c r="P106" t="s">
        <v>1838</v>
      </c>
      <c r="Q106" t="str">
        <f>IF($C106="","",IFERROR(VLOOKUP($C106,sources!$A$2:$N$200,2,FALSE()),"?"))</f>
        <v>Report</v>
      </c>
      <c r="R106" t="str">
        <f t="shared" si="1"/>
        <v>Textual</v>
      </c>
      <c r="S106" t="str">
        <f>IF($C106="","",IFERROR(VLOOKUP($C106,sources!$A$2:$N$200,9,FALSE()),"?"))</f>
        <v>US official</v>
      </c>
    </row>
    <row r="107" spans="1:19" x14ac:dyDescent="0.2">
      <c r="A107" t="s">
        <v>1839</v>
      </c>
      <c r="B107" t="s">
        <v>224</v>
      </c>
      <c r="C107" t="s">
        <v>1167</v>
      </c>
      <c r="D107" t="s">
        <v>1599</v>
      </c>
      <c r="E107" t="s">
        <v>225</v>
      </c>
      <c r="F107" t="s">
        <v>1612</v>
      </c>
      <c r="I107" t="s">
        <v>1077</v>
      </c>
      <c r="K107" t="s">
        <v>302</v>
      </c>
      <c r="L107" t="s">
        <v>250</v>
      </c>
      <c r="M107" t="s">
        <v>228</v>
      </c>
      <c r="N107" t="s">
        <v>222</v>
      </c>
      <c r="O107" t="s">
        <v>1840</v>
      </c>
      <c r="P107" t="s">
        <v>1841</v>
      </c>
      <c r="Q107" t="str">
        <f>IF($C107="","",IFERROR(VLOOKUP($C107,sources!$A$2:$N$200,2,FALSE()),"?"))</f>
        <v>Report</v>
      </c>
      <c r="R107" t="str">
        <f t="shared" si="1"/>
        <v>Textual</v>
      </c>
      <c r="S107" t="str">
        <f>IF($C107="","",IFERROR(VLOOKUP($C107,sources!$A$2:$N$200,9,FALSE()),"?"))</f>
        <v>US official</v>
      </c>
    </row>
    <row r="108" spans="1:19" x14ac:dyDescent="0.2">
      <c r="A108" t="s">
        <v>1842</v>
      </c>
      <c r="B108" t="s">
        <v>224</v>
      </c>
      <c r="C108" t="s">
        <v>1167</v>
      </c>
      <c r="D108" t="s">
        <v>1599</v>
      </c>
      <c r="E108" t="s">
        <v>225</v>
      </c>
      <c r="F108" t="s">
        <v>1612</v>
      </c>
      <c r="I108" t="s">
        <v>1077</v>
      </c>
      <c r="M108" t="s">
        <v>228</v>
      </c>
      <c r="N108" t="s">
        <v>222</v>
      </c>
      <c r="O108" t="s">
        <v>1843</v>
      </c>
      <c r="P108" t="s">
        <v>1844</v>
      </c>
      <c r="Q108" t="str">
        <f>IF($C108="","",IFERROR(VLOOKUP($C108,sources!$A$2:$N$200,2,FALSE()),"?"))</f>
        <v>Report</v>
      </c>
      <c r="R108" t="str">
        <f t="shared" si="1"/>
        <v>Textual</v>
      </c>
      <c r="S108" t="str">
        <f>IF($C108="","",IFERROR(VLOOKUP($C108,sources!$A$2:$N$200,9,FALSE()),"?"))</f>
        <v>US official</v>
      </c>
    </row>
    <row r="109" spans="1:19" x14ac:dyDescent="0.2">
      <c r="A109" t="s">
        <v>1845</v>
      </c>
      <c r="B109" t="s">
        <v>230</v>
      </c>
      <c r="C109" t="s">
        <v>1167</v>
      </c>
      <c r="D109" t="s">
        <v>1599</v>
      </c>
      <c r="E109" t="s">
        <v>231</v>
      </c>
      <c r="F109" t="s">
        <v>1612</v>
      </c>
      <c r="I109" t="s">
        <v>1077</v>
      </c>
      <c r="K109" t="s">
        <v>302</v>
      </c>
      <c r="L109" t="s">
        <v>250</v>
      </c>
      <c r="M109" t="s">
        <v>228</v>
      </c>
      <c r="N109" t="s">
        <v>222</v>
      </c>
      <c r="O109" t="s">
        <v>1846</v>
      </c>
      <c r="P109" t="s">
        <v>1847</v>
      </c>
      <c r="Q109" t="str">
        <f>IF($C109="","",IFERROR(VLOOKUP($C109,sources!$A$2:$N$200,2,FALSE()),"?"))</f>
        <v>Report</v>
      </c>
      <c r="R109" t="str">
        <f t="shared" si="1"/>
        <v>Textual</v>
      </c>
      <c r="S109" t="str">
        <f>IF($C109="","",IFERROR(VLOOKUP($C109,sources!$A$2:$N$200,9,FALSE()),"?"))</f>
        <v>US official</v>
      </c>
    </row>
    <row r="110" spans="1:19" x14ac:dyDescent="0.2">
      <c r="A110" t="s">
        <v>1848</v>
      </c>
      <c r="B110" t="s">
        <v>230</v>
      </c>
      <c r="C110" t="s">
        <v>1167</v>
      </c>
      <c r="D110" t="s">
        <v>1599</v>
      </c>
      <c r="E110" t="s">
        <v>231</v>
      </c>
      <c r="F110" t="s">
        <v>1612</v>
      </c>
      <c r="I110" t="s">
        <v>1077</v>
      </c>
      <c r="M110" t="s">
        <v>228</v>
      </c>
      <c r="N110" t="s">
        <v>222</v>
      </c>
      <c r="O110" t="s">
        <v>1849</v>
      </c>
      <c r="P110" t="s">
        <v>1850</v>
      </c>
      <c r="Q110" t="str">
        <f>IF($C110="","",IFERROR(VLOOKUP($C110,sources!$A$2:$N$200,2,FALSE()),"?"))</f>
        <v>Report</v>
      </c>
      <c r="R110" t="str">
        <f t="shared" si="1"/>
        <v>Textual</v>
      </c>
      <c r="S110" t="str">
        <f>IF($C110="","",IFERROR(VLOOKUP($C110,sources!$A$2:$N$200,9,FALSE()),"?"))</f>
        <v>US official</v>
      </c>
    </row>
    <row r="111" spans="1:19" x14ac:dyDescent="0.2">
      <c r="A111" t="s">
        <v>1851</v>
      </c>
      <c r="B111" t="s">
        <v>232</v>
      </c>
      <c r="C111" t="s">
        <v>1167</v>
      </c>
      <c r="D111" t="s">
        <v>1599</v>
      </c>
      <c r="E111" t="s">
        <v>233</v>
      </c>
      <c r="F111" t="s">
        <v>1612</v>
      </c>
      <c r="I111" t="s">
        <v>1077</v>
      </c>
      <c r="K111" t="s">
        <v>302</v>
      </c>
      <c r="L111" t="s">
        <v>250</v>
      </c>
      <c r="M111" t="s">
        <v>228</v>
      </c>
      <c r="N111" t="s">
        <v>222</v>
      </c>
      <c r="O111" t="s">
        <v>1852</v>
      </c>
      <c r="P111" t="s">
        <v>1853</v>
      </c>
      <c r="Q111" t="str">
        <f>IF($C111="","",IFERROR(VLOOKUP($C111,sources!$A$2:$N$200,2,FALSE()),"?"))</f>
        <v>Report</v>
      </c>
      <c r="R111" t="str">
        <f t="shared" si="1"/>
        <v>Textual</v>
      </c>
      <c r="S111" t="str">
        <f>IF($C111="","",IFERROR(VLOOKUP($C111,sources!$A$2:$N$200,9,FALSE()),"?"))</f>
        <v>US official</v>
      </c>
    </row>
    <row r="112" spans="1:19" x14ac:dyDescent="0.2">
      <c r="A112" t="s">
        <v>1854</v>
      </c>
      <c r="B112" t="s">
        <v>232</v>
      </c>
      <c r="C112" t="s">
        <v>1167</v>
      </c>
      <c r="D112" t="s">
        <v>1599</v>
      </c>
      <c r="E112" t="s">
        <v>233</v>
      </c>
      <c r="F112" t="s">
        <v>1612</v>
      </c>
      <c r="I112" t="s">
        <v>1077</v>
      </c>
      <c r="M112" t="s">
        <v>228</v>
      </c>
      <c r="N112" t="s">
        <v>222</v>
      </c>
      <c r="O112" t="s">
        <v>1855</v>
      </c>
      <c r="P112" t="s">
        <v>1856</v>
      </c>
      <c r="Q112" t="str">
        <f>IF($C112="","",IFERROR(VLOOKUP($C112,sources!$A$2:$N$200,2,FALSE()),"?"))</f>
        <v>Report</v>
      </c>
      <c r="R112" t="str">
        <f t="shared" si="1"/>
        <v>Textual</v>
      </c>
      <c r="S112" t="str">
        <f>IF($C112="","",IFERROR(VLOOKUP($C112,sources!$A$2:$N$200,9,FALSE()),"?"))</f>
        <v>US official</v>
      </c>
    </row>
    <row r="113" spans="1:19" x14ac:dyDescent="0.2">
      <c r="A113" t="s">
        <v>1857</v>
      </c>
      <c r="B113" t="s">
        <v>234</v>
      </c>
      <c r="C113" t="s">
        <v>1167</v>
      </c>
      <c r="D113" t="s">
        <v>1599</v>
      </c>
      <c r="E113" t="s">
        <v>235</v>
      </c>
      <c r="F113" t="s">
        <v>1612</v>
      </c>
      <c r="I113" t="s">
        <v>1077</v>
      </c>
      <c r="K113" t="s">
        <v>302</v>
      </c>
      <c r="L113" t="s">
        <v>250</v>
      </c>
      <c r="M113" t="s">
        <v>228</v>
      </c>
      <c r="N113" t="s">
        <v>222</v>
      </c>
      <c r="O113" t="s">
        <v>1858</v>
      </c>
      <c r="P113" t="s">
        <v>1859</v>
      </c>
      <c r="Q113" t="str">
        <f>IF($C113="","",IFERROR(VLOOKUP($C113,sources!$A$2:$N$200,2,FALSE()),"?"))</f>
        <v>Report</v>
      </c>
      <c r="R113" t="str">
        <f t="shared" si="1"/>
        <v>Textual</v>
      </c>
      <c r="S113" t="str">
        <f>IF($C113="","",IFERROR(VLOOKUP($C113,sources!$A$2:$N$200,9,FALSE()),"?"))</f>
        <v>US official</v>
      </c>
    </row>
    <row r="114" spans="1:19" x14ac:dyDescent="0.2">
      <c r="A114" t="s">
        <v>1860</v>
      </c>
      <c r="B114" t="s">
        <v>234</v>
      </c>
      <c r="C114" t="s">
        <v>1167</v>
      </c>
      <c r="D114" t="s">
        <v>1599</v>
      </c>
      <c r="E114" t="s">
        <v>235</v>
      </c>
      <c r="F114" t="s">
        <v>1612</v>
      </c>
      <c r="I114" t="s">
        <v>1077</v>
      </c>
      <c r="M114" t="s">
        <v>228</v>
      </c>
      <c r="N114" t="s">
        <v>222</v>
      </c>
      <c r="O114" t="s">
        <v>1861</v>
      </c>
      <c r="P114" t="s">
        <v>1862</v>
      </c>
      <c r="Q114" t="str">
        <f>IF($C114="","",IFERROR(VLOOKUP($C114,sources!$A$2:$N$200,2,FALSE()),"?"))</f>
        <v>Report</v>
      </c>
      <c r="R114" t="str">
        <f t="shared" si="1"/>
        <v>Textual</v>
      </c>
      <c r="S114" t="str">
        <f>IF($C114="","",IFERROR(VLOOKUP($C114,sources!$A$2:$N$200,9,FALSE()),"?"))</f>
        <v>US official</v>
      </c>
    </row>
    <row r="115" spans="1:19" x14ac:dyDescent="0.2">
      <c r="A115" t="s">
        <v>1863</v>
      </c>
      <c r="B115" t="s">
        <v>236</v>
      </c>
      <c r="C115" t="s">
        <v>1167</v>
      </c>
      <c r="D115" t="s">
        <v>1599</v>
      </c>
      <c r="E115" t="s">
        <v>237</v>
      </c>
      <c r="F115" t="s">
        <v>1612</v>
      </c>
      <c r="I115" t="s">
        <v>1077</v>
      </c>
      <c r="K115" t="s">
        <v>1191</v>
      </c>
      <c r="L115" t="s">
        <v>361</v>
      </c>
      <c r="M115" t="s">
        <v>228</v>
      </c>
      <c r="N115" t="s">
        <v>222</v>
      </c>
      <c r="O115" t="s">
        <v>1864</v>
      </c>
      <c r="P115" t="s">
        <v>1865</v>
      </c>
      <c r="Q115" t="str">
        <f>IF($C115="","",IFERROR(VLOOKUP($C115,sources!$A$2:$N$200,2,FALSE()),"?"))</f>
        <v>Report</v>
      </c>
      <c r="R115" t="str">
        <f t="shared" si="1"/>
        <v>Textual</v>
      </c>
      <c r="S115" t="str">
        <f>IF($C115="","",IFERROR(VLOOKUP($C115,sources!$A$2:$N$200,9,FALSE()),"?"))</f>
        <v>US official</v>
      </c>
    </row>
    <row r="116" spans="1:19" x14ac:dyDescent="0.2">
      <c r="A116" t="s">
        <v>1866</v>
      </c>
      <c r="B116" t="s">
        <v>238</v>
      </c>
      <c r="C116" t="s">
        <v>1167</v>
      </c>
      <c r="D116" t="s">
        <v>1599</v>
      </c>
      <c r="E116" t="s">
        <v>1607</v>
      </c>
      <c r="F116" t="s">
        <v>1612</v>
      </c>
      <c r="I116" t="s">
        <v>1077</v>
      </c>
      <c r="K116" t="s">
        <v>302</v>
      </c>
      <c r="L116" t="s">
        <v>250</v>
      </c>
      <c r="M116" t="s">
        <v>228</v>
      </c>
      <c r="N116" t="s">
        <v>222</v>
      </c>
      <c r="O116" t="s">
        <v>1867</v>
      </c>
      <c r="P116" t="s">
        <v>1868</v>
      </c>
      <c r="Q116" t="str">
        <f>IF($C116="","",IFERROR(VLOOKUP($C116,sources!$A$2:$N$200,2,FALSE()),"?"))</f>
        <v>Report</v>
      </c>
      <c r="R116" t="str">
        <f t="shared" si="1"/>
        <v>Textual</v>
      </c>
      <c r="S116" t="str">
        <f>IF($C116="","",IFERROR(VLOOKUP($C116,sources!$A$2:$N$200,9,FALSE()),"?"))</f>
        <v>US official</v>
      </c>
    </row>
    <row r="117" spans="1:19" x14ac:dyDescent="0.2">
      <c r="A117" t="s">
        <v>1869</v>
      </c>
      <c r="B117" t="s">
        <v>238</v>
      </c>
      <c r="C117" t="s">
        <v>1167</v>
      </c>
      <c r="D117" t="s">
        <v>1599</v>
      </c>
      <c r="E117" t="s">
        <v>1607</v>
      </c>
      <c r="F117" t="s">
        <v>1612</v>
      </c>
      <c r="I117" t="s">
        <v>1077</v>
      </c>
      <c r="M117" t="s">
        <v>228</v>
      </c>
      <c r="N117" t="s">
        <v>222</v>
      </c>
      <c r="O117" t="s">
        <v>1870</v>
      </c>
      <c r="P117" t="s">
        <v>1871</v>
      </c>
      <c r="Q117" t="str">
        <f>IF($C117="","",IFERROR(VLOOKUP($C117,sources!$A$2:$N$200,2,FALSE()),"?"))</f>
        <v>Report</v>
      </c>
      <c r="R117" t="str">
        <f t="shared" si="1"/>
        <v>Textual</v>
      </c>
      <c r="S117" t="str">
        <f>IF($C117="","",IFERROR(VLOOKUP($C117,sources!$A$2:$N$200,9,FALSE()),"?"))</f>
        <v>US official</v>
      </c>
    </row>
    <row r="118" spans="1:19" x14ac:dyDescent="0.2">
      <c r="A118" t="s">
        <v>1872</v>
      </c>
      <c r="B118" t="s">
        <v>245</v>
      </c>
      <c r="C118" t="s">
        <v>1167</v>
      </c>
      <c r="D118" t="s">
        <v>1599</v>
      </c>
      <c r="E118" t="s">
        <v>246</v>
      </c>
      <c r="F118" t="s">
        <v>1612</v>
      </c>
      <c r="I118" t="s">
        <v>1077</v>
      </c>
      <c r="K118" t="s">
        <v>250</v>
      </c>
      <c r="L118" t="s">
        <v>1873</v>
      </c>
      <c r="M118" t="s">
        <v>228</v>
      </c>
      <c r="N118" t="s">
        <v>222</v>
      </c>
      <c r="O118" t="s">
        <v>1874</v>
      </c>
      <c r="P118" t="s">
        <v>1875</v>
      </c>
      <c r="Q118" t="str">
        <f>IF($C118="","",IFERROR(VLOOKUP($C118,sources!$A$2:$N$200,2,FALSE()),"?"))</f>
        <v>Report</v>
      </c>
      <c r="R118" t="str">
        <f t="shared" si="1"/>
        <v>Textual</v>
      </c>
      <c r="S118" t="str">
        <f>IF($C118="","",IFERROR(VLOOKUP($C118,sources!$A$2:$N$200,9,FALSE()),"?"))</f>
        <v>US official</v>
      </c>
    </row>
    <row r="119" spans="1:19" x14ac:dyDescent="0.2">
      <c r="A119" t="s">
        <v>1876</v>
      </c>
      <c r="B119" t="s">
        <v>245</v>
      </c>
      <c r="C119" t="s">
        <v>1167</v>
      </c>
      <c r="D119" t="s">
        <v>1599</v>
      </c>
      <c r="E119" t="s">
        <v>246</v>
      </c>
      <c r="F119" t="s">
        <v>1612</v>
      </c>
      <c r="I119" t="s">
        <v>1077</v>
      </c>
      <c r="K119" t="s">
        <v>1877</v>
      </c>
      <c r="L119" t="s">
        <v>1878</v>
      </c>
      <c r="M119" t="s">
        <v>228</v>
      </c>
      <c r="N119" t="s">
        <v>222</v>
      </c>
      <c r="O119" t="s">
        <v>1879</v>
      </c>
      <c r="P119" t="s">
        <v>1880</v>
      </c>
      <c r="Q119" t="str">
        <f>IF($C119="","",IFERROR(VLOOKUP($C119,sources!$A$2:$N$200,2,FALSE()),"?"))</f>
        <v>Report</v>
      </c>
      <c r="R119" t="str">
        <f t="shared" si="1"/>
        <v>Textual</v>
      </c>
      <c r="S119" t="str">
        <f>IF($C119="","",IFERROR(VLOOKUP($C119,sources!$A$2:$N$200,9,FALSE()),"?"))</f>
        <v>US official</v>
      </c>
    </row>
    <row r="120" spans="1:19" x14ac:dyDescent="0.2">
      <c r="A120" t="s">
        <v>1881</v>
      </c>
      <c r="B120" t="s">
        <v>252</v>
      </c>
      <c r="C120" t="s">
        <v>1167</v>
      </c>
      <c r="D120" t="s">
        <v>1599</v>
      </c>
      <c r="E120" t="s">
        <v>253</v>
      </c>
      <c r="F120" t="s">
        <v>1612</v>
      </c>
      <c r="I120" t="s">
        <v>1077</v>
      </c>
      <c r="K120" t="s">
        <v>302</v>
      </c>
      <c r="L120" t="s">
        <v>250</v>
      </c>
      <c r="M120" t="s">
        <v>228</v>
      </c>
      <c r="N120" t="s">
        <v>222</v>
      </c>
      <c r="O120" t="s">
        <v>1882</v>
      </c>
      <c r="P120" t="s">
        <v>1883</v>
      </c>
      <c r="Q120" t="str">
        <f>IF($C120="","",IFERROR(VLOOKUP($C120,sources!$A$2:$N$200,2,FALSE()),"?"))</f>
        <v>Report</v>
      </c>
      <c r="R120" t="str">
        <f t="shared" si="1"/>
        <v>Textual</v>
      </c>
      <c r="S120" t="str">
        <f>IF($C120="","",IFERROR(VLOOKUP($C120,sources!$A$2:$N$200,9,FALSE()),"?"))</f>
        <v>US official</v>
      </c>
    </row>
    <row r="121" spans="1:19" x14ac:dyDescent="0.2">
      <c r="A121" t="s">
        <v>1884</v>
      </c>
      <c r="B121" t="s">
        <v>252</v>
      </c>
      <c r="C121" t="s">
        <v>1167</v>
      </c>
      <c r="D121" t="s">
        <v>1599</v>
      </c>
      <c r="E121" t="s">
        <v>253</v>
      </c>
      <c r="F121" t="s">
        <v>1612</v>
      </c>
      <c r="I121" t="s">
        <v>1077</v>
      </c>
      <c r="M121" t="s">
        <v>228</v>
      </c>
      <c r="N121" t="s">
        <v>222</v>
      </c>
      <c r="O121" t="s">
        <v>1885</v>
      </c>
      <c r="P121" t="s">
        <v>1886</v>
      </c>
      <c r="Q121" t="str">
        <f>IF($C121="","",IFERROR(VLOOKUP($C121,sources!$A$2:$N$200,2,FALSE()),"?"))</f>
        <v>Report</v>
      </c>
      <c r="R121" t="str">
        <f t="shared" si="1"/>
        <v>Textual</v>
      </c>
      <c r="S121" t="str">
        <f>IF($C121="","",IFERROR(VLOOKUP($C121,sources!$A$2:$N$200,9,FALSE()),"?"))</f>
        <v>US official</v>
      </c>
    </row>
    <row r="122" spans="1:19" x14ac:dyDescent="0.2">
      <c r="A122" t="s">
        <v>1887</v>
      </c>
      <c r="B122" t="s">
        <v>261</v>
      </c>
      <c r="C122" t="s">
        <v>1167</v>
      </c>
      <c r="D122" t="s">
        <v>1599</v>
      </c>
      <c r="E122" t="s">
        <v>262</v>
      </c>
      <c r="F122" t="s">
        <v>1612</v>
      </c>
      <c r="I122" t="s">
        <v>1077</v>
      </c>
      <c r="K122" t="s">
        <v>302</v>
      </c>
      <c r="L122" t="s">
        <v>250</v>
      </c>
      <c r="M122" t="s">
        <v>228</v>
      </c>
      <c r="N122" t="s">
        <v>222</v>
      </c>
      <c r="O122" t="s">
        <v>1888</v>
      </c>
      <c r="P122" t="s">
        <v>1889</v>
      </c>
      <c r="Q122" t="str">
        <f>IF($C122="","",IFERROR(VLOOKUP($C122,sources!$A$2:$N$200,2,FALSE()),"?"))</f>
        <v>Report</v>
      </c>
      <c r="R122" t="str">
        <f t="shared" si="1"/>
        <v>Textual</v>
      </c>
      <c r="S122" t="str">
        <f>IF($C122="","",IFERROR(VLOOKUP($C122,sources!$A$2:$N$200,9,FALSE()),"?"))</f>
        <v>US official</v>
      </c>
    </row>
    <row r="123" spans="1:19" x14ac:dyDescent="0.2">
      <c r="A123" t="s">
        <v>1890</v>
      </c>
      <c r="B123" t="s">
        <v>261</v>
      </c>
      <c r="C123" t="s">
        <v>1167</v>
      </c>
      <c r="D123" t="s">
        <v>1599</v>
      </c>
      <c r="E123" t="s">
        <v>262</v>
      </c>
      <c r="F123" t="s">
        <v>1612</v>
      </c>
      <c r="I123" t="s">
        <v>1077</v>
      </c>
      <c r="M123" t="s">
        <v>228</v>
      </c>
      <c r="N123" t="s">
        <v>222</v>
      </c>
      <c r="O123" t="s">
        <v>1891</v>
      </c>
      <c r="P123" t="s">
        <v>1892</v>
      </c>
      <c r="Q123" t="str">
        <f>IF($C123="","",IFERROR(VLOOKUP($C123,sources!$A$2:$N$200,2,FALSE()),"?"))</f>
        <v>Report</v>
      </c>
      <c r="R123" t="str">
        <f t="shared" si="1"/>
        <v>Textual</v>
      </c>
      <c r="S123" t="str">
        <f>IF($C123="","",IFERROR(VLOOKUP($C123,sources!$A$2:$N$200,9,FALSE()),"?"))</f>
        <v>US official</v>
      </c>
    </row>
    <row r="124" spans="1:19" x14ac:dyDescent="0.2">
      <c r="A124" t="s">
        <v>1893</v>
      </c>
      <c r="B124" t="s">
        <v>266</v>
      </c>
      <c r="C124" t="s">
        <v>1167</v>
      </c>
      <c r="D124" t="s">
        <v>1599</v>
      </c>
      <c r="E124" t="s">
        <v>267</v>
      </c>
      <c r="F124" t="s">
        <v>1612</v>
      </c>
      <c r="I124" t="s">
        <v>1077</v>
      </c>
      <c r="K124" t="s">
        <v>302</v>
      </c>
      <c r="L124" t="s">
        <v>250</v>
      </c>
      <c r="M124" t="s">
        <v>228</v>
      </c>
      <c r="N124" t="s">
        <v>222</v>
      </c>
      <c r="O124" t="s">
        <v>1894</v>
      </c>
      <c r="P124" t="s">
        <v>1895</v>
      </c>
      <c r="Q124" t="str">
        <f>IF($C124="","",IFERROR(VLOOKUP($C124,sources!$A$2:$N$200,2,FALSE()),"?"))</f>
        <v>Report</v>
      </c>
      <c r="R124" t="str">
        <f t="shared" si="1"/>
        <v>Textual</v>
      </c>
      <c r="S124" t="str">
        <f>IF($C124="","",IFERROR(VLOOKUP($C124,sources!$A$2:$N$200,9,FALSE()),"?"))</f>
        <v>US official</v>
      </c>
    </row>
    <row r="125" spans="1:19" x14ac:dyDescent="0.2">
      <c r="A125" t="s">
        <v>1896</v>
      </c>
      <c r="B125" t="s">
        <v>266</v>
      </c>
      <c r="C125" t="s">
        <v>1167</v>
      </c>
      <c r="D125" t="s">
        <v>1599</v>
      </c>
      <c r="E125" t="s">
        <v>267</v>
      </c>
      <c r="F125" t="s">
        <v>1612</v>
      </c>
      <c r="I125" t="s">
        <v>1077</v>
      </c>
      <c r="M125" t="s">
        <v>228</v>
      </c>
      <c r="N125" t="s">
        <v>222</v>
      </c>
      <c r="O125" t="s">
        <v>1897</v>
      </c>
      <c r="P125" t="s">
        <v>1898</v>
      </c>
      <c r="Q125" t="str">
        <f>IF($C125="","",IFERROR(VLOOKUP($C125,sources!$A$2:$N$200,2,FALSE()),"?"))</f>
        <v>Report</v>
      </c>
      <c r="R125" t="str">
        <f t="shared" si="1"/>
        <v>Textual</v>
      </c>
      <c r="S125" t="str">
        <f>IF($C125="","",IFERROR(VLOOKUP($C125,sources!$A$2:$N$200,9,FALSE()),"?"))</f>
        <v>US official</v>
      </c>
    </row>
    <row r="126" spans="1:19" x14ac:dyDescent="0.2">
      <c r="A126" t="s">
        <v>1899</v>
      </c>
      <c r="B126" t="s">
        <v>272</v>
      </c>
      <c r="C126" t="s">
        <v>1167</v>
      </c>
      <c r="D126" t="s">
        <v>1599</v>
      </c>
      <c r="E126" t="s">
        <v>273</v>
      </c>
      <c r="F126" t="s">
        <v>1612</v>
      </c>
      <c r="I126" t="s">
        <v>1077</v>
      </c>
      <c r="K126" t="s">
        <v>302</v>
      </c>
      <c r="L126" t="s">
        <v>250</v>
      </c>
      <c r="M126" t="s">
        <v>228</v>
      </c>
      <c r="N126" t="s">
        <v>222</v>
      </c>
      <c r="O126" t="s">
        <v>1828</v>
      </c>
      <c r="P126" t="s">
        <v>1900</v>
      </c>
      <c r="Q126" t="str">
        <f>IF($C126="","",IFERROR(VLOOKUP($C126,sources!$A$2:$N$200,2,FALSE()),"?"))</f>
        <v>Report</v>
      </c>
      <c r="R126" t="str">
        <f t="shared" si="1"/>
        <v>Textual</v>
      </c>
      <c r="S126" t="str">
        <f>IF($C126="","",IFERROR(VLOOKUP($C126,sources!$A$2:$N$200,9,FALSE()),"?"))</f>
        <v>US official</v>
      </c>
    </row>
    <row r="127" spans="1:19" x14ac:dyDescent="0.2">
      <c r="A127" t="s">
        <v>1901</v>
      </c>
      <c r="B127" t="s">
        <v>272</v>
      </c>
      <c r="C127" t="s">
        <v>1167</v>
      </c>
      <c r="D127" t="s">
        <v>1599</v>
      </c>
      <c r="E127" t="s">
        <v>273</v>
      </c>
      <c r="F127" t="s">
        <v>1612</v>
      </c>
      <c r="I127" t="s">
        <v>1077</v>
      </c>
      <c r="N127" t="s">
        <v>222</v>
      </c>
      <c r="O127" t="s">
        <v>1902</v>
      </c>
      <c r="P127" t="s">
        <v>1903</v>
      </c>
      <c r="Q127" t="str">
        <f>IF($C127="","",IFERROR(VLOOKUP($C127,sources!$A$2:$N$200,2,FALSE()),"?"))</f>
        <v>Report</v>
      </c>
      <c r="R127" t="str">
        <f t="shared" si="1"/>
        <v>Textual</v>
      </c>
      <c r="S127" t="str">
        <f>IF($C127="","",IFERROR(VLOOKUP($C127,sources!$A$2:$N$200,9,FALSE()),"?"))</f>
        <v>US official</v>
      </c>
    </row>
    <row r="128" spans="1:19" x14ac:dyDescent="0.2">
      <c r="A128" t="s">
        <v>1904</v>
      </c>
      <c r="B128" t="s">
        <v>280</v>
      </c>
      <c r="C128" t="s">
        <v>1167</v>
      </c>
      <c r="D128" t="s">
        <v>1599</v>
      </c>
      <c r="E128" t="s">
        <v>281</v>
      </c>
      <c r="F128" t="s">
        <v>1612</v>
      </c>
      <c r="I128" t="s">
        <v>1077</v>
      </c>
      <c r="K128" t="s">
        <v>302</v>
      </c>
      <c r="L128" t="s">
        <v>250</v>
      </c>
      <c r="M128" t="s">
        <v>228</v>
      </c>
      <c r="N128" t="s">
        <v>222</v>
      </c>
      <c r="O128" t="s">
        <v>1905</v>
      </c>
      <c r="P128" t="s">
        <v>1906</v>
      </c>
      <c r="Q128" t="str">
        <f>IF($C128="","",IFERROR(VLOOKUP($C128,sources!$A$2:$N$200,2,FALSE()),"?"))</f>
        <v>Report</v>
      </c>
      <c r="R128" t="str">
        <f t="shared" si="1"/>
        <v>Textual</v>
      </c>
      <c r="S128" t="str">
        <f>IF($C128="","",IFERROR(VLOOKUP($C128,sources!$A$2:$N$200,9,FALSE()),"?"))</f>
        <v>US official</v>
      </c>
    </row>
    <row r="129" spans="1:19" x14ac:dyDescent="0.2">
      <c r="A129" t="s">
        <v>1907</v>
      </c>
      <c r="B129" t="s">
        <v>280</v>
      </c>
      <c r="C129" t="s">
        <v>1167</v>
      </c>
      <c r="D129" t="s">
        <v>1599</v>
      </c>
      <c r="E129" t="s">
        <v>281</v>
      </c>
      <c r="F129" t="s">
        <v>1612</v>
      </c>
      <c r="I129" t="s">
        <v>1077</v>
      </c>
      <c r="K129" t="s">
        <v>1908</v>
      </c>
      <c r="L129" t="s">
        <v>1909</v>
      </c>
      <c r="M129" t="s">
        <v>228</v>
      </c>
      <c r="N129" t="s">
        <v>222</v>
      </c>
      <c r="O129" t="s">
        <v>1910</v>
      </c>
      <c r="P129" t="s">
        <v>1911</v>
      </c>
      <c r="Q129" t="str">
        <f>IF($C129="","",IFERROR(VLOOKUP($C129,sources!$A$2:$N$200,2,FALSE()),"?"))</f>
        <v>Report</v>
      </c>
      <c r="R129" t="str">
        <f t="shared" si="1"/>
        <v>Textual</v>
      </c>
      <c r="S129" t="str">
        <f>IF($C129="","",IFERROR(VLOOKUP($C129,sources!$A$2:$N$200,9,FALSE()),"?"))</f>
        <v>US official</v>
      </c>
    </row>
    <row r="130" spans="1:19" x14ac:dyDescent="0.2">
      <c r="A130" t="s">
        <v>1912</v>
      </c>
      <c r="B130" t="s">
        <v>284</v>
      </c>
      <c r="C130" t="s">
        <v>1167</v>
      </c>
      <c r="D130" t="s">
        <v>1599</v>
      </c>
      <c r="E130" t="s">
        <v>285</v>
      </c>
      <c r="F130" t="s">
        <v>1612</v>
      </c>
      <c r="I130" t="s">
        <v>1077</v>
      </c>
      <c r="K130" t="s">
        <v>302</v>
      </c>
      <c r="L130" t="s">
        <v>250</v>
      </c>
      <c r="M130" t="s">
        <v>228</v>
      </c>
      <c r="N130" t="s">
        <v>222</v>
      </c>
      <c r="O130" t="s">
        <v>1828</v>
      </c>
      <c r="P130" t="s">
        <v>1913</v>
      </c>
      <c r="Q130" t="str">
        <f>IF($C130="","",IFERROR(VLOOKUP($C130,sources!$A$2:$N$200,2,FALSE()),"?"))</f>
        <v>Report</v>
      </c>
      <c r="R130" t="str">
        <f t="shared" ref="R130:R193" si="2">IF($Q130="","",IF($Q130="Map","Map",IF(OR($Q130="Photograph",$Q130="Postcard"),"Image",IF(OR($Q130="Census or roll",$Q130="Report",$Q130="Newspaper",$Q130="Letter",$Q130="Memoir",$Q130="Administrative",$Q130="Web compilation"),"Textual",IF($Q130="Legal claim","Legal/admin",IF($Q130="Secondary","Secondary","Other"))))))</f>
        <v>Textual</v>
      </c>
      <c r="S130" t="str">
        <f>IF($C130="","",IFERROR(VLOOKUP($C130,sources!$A$2:$N$200,9,FALSE()),"?"))</f>
        <v>US official</v>
      </c>
    </row>
    <row r="131" spans="1:19" x14ac:dyDescent="0.2">
      <c r="A131" t="s">
        <v>1914</v>
      </c>
      <c r="B131" t="s">
        <v>284</v>
      </c>
      <c r="C131" t="s">
        <v>1167</v>
      </c>
      <c r="D131" t="s">
        <v>1599</v>
      </c>
      <c r="E131" t="s">
        <v>285</v>
      </c>
      <c r="F131" t="s">
        <v>1612</v>
      </c>
      <c r="I131" t="s">
        <v>1077</v>
      </c>
      <c r="N131" t="s">
        <v>222</v>
      </c>
      <c r="O131" t="s">
        <v>1915</v>
      </c>
      <c r="P131" t="s">
        <v>1916</v>
      </c>
      <c r="Q131" t="str">
        <f>IF($C131="","",IFERROR(VLOOKUP($C131,sources!$A$2:$N$200,2,FALSE()),"?"))</f>
        <v>Report</v>
      </c>
      <c r="R131" t="str">
        <f t="shared" si="2"/>
        <v>Textual</v>
      </c>
      <c r="S131" t="str">
        <f>IF($C131="","",IFERROR(VLOOKUP($C131,sources!$A$2:$N$200,9,FALSE()),"?"))</f>
        <v>US official</v>
      </c>
    </row>
    <row r="132" spans="1:19" x14ac:dyDescent="0.2">
      <c r="A132" t="s">
        <v>1917</v>
      </c>
      <c r="B132" t="s">
        <v>349</v>
      </c>
      <c r="C132" t="s">
        <v>1167</v>
      </c>
      <c r="D132" t="s">
        <v>1599</v>
      </c>
      <c r="E132" t="s">
        <v>350</v>
      </c>
      <c r="F132" t="s">
        <v>1612</v>
      </c>
      <c r="I132" t="s">
        <v>1077</v>
      </c>
      <c r="K132" t="s">
        <v>1628</v>
      </c>
      <c r="L132" t="s">
        <v>292</v>
      </c>
      <c r="M132" t="s">
        <v>228</v>
      </c>
      <c r="N132" t="s">
        <v>222</v>
      </c>
      <c r="O132" t="s">
        <v>1918</v>
      </c>
      <c r="P132" t="s">
        <v>1919</v>
      </c>
      <c r="Q132" t="str">
        <f>IF($C132="","",IFERROR(VLOOKUP($C132,sources!$A$2:$N$200,2,FALSE()),"?"))</f>
        <v>Report</v>
      </c>
      <c r="R132" t="str">
        <f t="shared" si="2"/>
        <v>Textual</v>
      </c>
      <c r="S132" t="str">
        <f>IF($C132="","",IFERROR(VLOOKUP($C132,sources!$A$2:$N$200,9,FALSE()),"?"))</f>
        <v>US official</v>
      </c>
    </row>
    <row r="133" spans="1:19" x14ac:dyDescent="0.2">
      <c r="A133" t="s">
        <v>1920</v>
      </c>
      <c r="B133" t="s">
        <v>349</v>
      </c>
      <c r="C133" t="s">
        <v>1167</v>
      </c>
      <c r="D133" t="s">
        <v>1599</v>
      </c>
      <c r="E133" t="s">
        <v>350</v>
      </c>
      <c r="F133" t="s">
        <v>1612</v>
      </c>
      <c r="I133" t="s">
        <v>1077</v>
      </c>
      <c r="K133" t="s">
        <v>1392</v>
      </c>
      <c r="L133" t="s">
        <v>1921</v>
      </c>
      <c r="M133" t="s">
        <v>228</v>
      </c>
      <c r="N133" t="s">
        <v>222</v>
      </c>
      <c r="O133" t="s">
        <v>1922</v>
      </c>
      <c r="P133" t="s">
        <v>1923</v>
      </c>
      <c r="Q133" t="str">
        <f>IF($C133="","",IFERROR(VLOOKUP($C133,sources!$A$2:$N$200,2,FALSE()),"?"))</f>
        <v>Report</v>
      </c>
      <c r="R133" t="str">
        <f t="shared" si="2"/>
        <v>Textual</v>
      </c>
      <c r="S133" t="str">
        <f>IF($C133="","",IFERROR(VLOOKUP($C133,sources!$A$2:$N$200,9,FALSE()),"?"))</f>
        <v>US official</v>
      </c>
    </row>
    <row r="134" spans="1:19" x14ac:dyDescent="0.2">
      <c r="A134" t="s">
        <v>1924</v>
      </c>
      <c r="B134" t="s">
        <v>354</v>
      </c>
      <c r="C134" t="s">
        <v>1167</v>
      </c>
      <c r="D134" t="s">
        <v>1599</v>
      </c>
      <c r="E134" t="s">
        <v>355</v>
      </c>
      <c r="F134" t="s">
        <v>1612</v>
      </c>
      <c r="I134" t="s">
        <v>1077</v>
      </c>
      <c r="K134" t="s">
        <v>302</v>
      </c>
      <c r="L134" t="s">
        <v>250</v>
      </c>
      <c r="M134" t="s">
        <v>228</v>
      </c>
      <c r="N134" t="s">
        <v>222</v>
      </c>
      <c r="O134" t="s">
        <v>1925</v>
      </c>
      <c r="P134" t="s">
        <v>1926</v>
      </c>
      <c r="Q134" t="str">
        <f>IF($C134="","",IFERROR(VLOOKUP($C134,sources!$A$2:$N$200,2,FALSE()),"?"))</f>
        <v>Report</v>
      </c>
      <c r="R134" t="str">
        <f t="shared" si="2"/>
        <v>Textual</v>
      </c>
      <c r="S134" t="str">
        <f>IF($C134="","",IFERROR(VLOOKUP($C134,sources!$A$2:$N$200,9,FALSE()),"?"))</f>
        <v>US official</v>
      </c>
    </row>
    <row r="135" spans="1:19" x14ac:dyDescent="0.2">
      <c r="A135" t="s">
        <v>1927</v>
      </c>
      <c r="B135" t="s">
        <v>354</v>
      </c>
      <c r="C135" t="s">
        <v>1167</v>
      </c>
      <c r="D135" t="s">
        <v>1599</v>
      </c>
      <c r="E135" t="s">
        <v>355</v>
      </c>
      <c r="F135" t="s">
        <v>1612</v>
      </c>
      <c r="I135" t="s">
        <v>1077</v>
      </c>
      <c r="K135" t="s">
        <v>1928</v>
      </c>
      <c r="L135" t="s">
        <v>1392</v>
      </c>
      <c r="M135" t="s">
        <v>228</v>
      </c>
      <c r="N135" t="s">
        <v>222</v>
      </c>
      <c r="O135" t="s">
        <v>1929</v>
      </c>
      <c r="P135" t="s">
        <v>1930</v>
      </c>
      <c r="Q135" t="str">
        <f>IF($C135="","",IFERROR(VLOOKUP($C135,sources!$A$2:$N$200,2,FALSE()),"?"))</f>
        <v>Report</v>
      </c>
      <c r="R135" t="str">
        <f t="shared" si="2"/>
        <v>Textual</v>
      </c>
      <c r="S135" t="str">
        <f>IF($C135="","",IFERROR(VLOOKUP($C135,sources!$A$2:$N$200,9,FALSE()),"?"))</f>
        <v>US official</v>
      </c>
    </row>
    <row r="136" spans="1:19" x14ac:dyDescent="0.2">
      <c r="A136" t="s">
        <v>1931</v>
      </c>
      <c r="B136" t="s">
        <v>359</v>
      </c>
      <c r="C136" t="s">
        <v>1167</v>
      </c>
      <c r="D136" t="s">
        <v>1599</v>
      </c>
      <c r="E136" t="s">
        <v>360</v>
      </c>
      <c r="F136" t="s">
        <v>1612</v>
      </c>
      <c r="I136" t="s">
        <v>1077</v>
      </c>
      <c r="K136" t="s">
        <v>302</v>
      </c>
      <c r="L136" t="s">
        <v>250</v>
      </c>
      <c r="M136" t="s">
        <v>228</v>
      </c>
      <c r="N136" t="s">
        <v>222</v>
      </c>
      <c r="O136" t="s">
        <v>1932</v>
      </c>
      <c r="P136" t="s">
        <v>1933</v>
      </c>
      <c r="Q136" t="str">
        <f>IF($C136="","",IFERROR(VLOOKUP($C136,sources!$A$2:$N$200,2,FALSE()),"?"))</f>
        <v>Report</v>
      </c>
      <c r="R136" t="str">
        <f t="shared" si="2"/>
        <v>Textual</v>
      </c>
      <c r="S136" t="str">
        <f>IF($C136="","",IFERROR(VLOOKUP($C136,sources!$A$2:$N$200,9,FALSE()),"?"))</f>
        <v>US official</v>
      </c>
    </row>
    <row r="137" spans="1:19" x14ac:dyDescent="0.2">
      <c r="A137" t="s">
        <v>1934</v>
      </c>
      <c r="B137" t="s">
        <v>359</v>
      </c>
      <c r="C137" t="s">
        <v>1167</v>
      </c>
      <c r="D137" t="s">
        <v>1599</v>
      </c>
      <c r="E137" t="s">
        <v>360</v>
      </c>
      <c r="F137" t="s">
        <v>1612</v>
      </c>
      <c r="I137" t="s">
        <v>1077</v>
      </c>
      <c r="M137" t="s">
        <v>228</v>
      </c>
      <c r="N137" t="s">
        <v>222</v>
      </c>
      <c r="O137" t="s">
        <v>1935</v>
      </c>
      <c r="P137" t="s">
        <v>1936</v>
      </c>
      <c r="Q137" t="str">
        <f>IF($C137="","",IFERROR(VLOOKUP($C137,sources!$A$2:$N$200,2,FALSE()),"?"))</f>
        <v>Report</v>
      </c>
      <c r="R137" t="str">
        <f t="shared" si="2"/>
        <v>Textual</v>
      </c>
      <c r="S137" t="str">
        <f>IF($C137="","",IFERROR(VLOOKUP($C137,sources!$A$2:$N$200,9,FALSE()),"?"))</f>
        <v>US official</v>
      </c>
    </row>
    <row r="138" spans="1:19" x14ac:dyDescent="0.2">
      <c r="A138" t="s">
        <v>1937</v>
      </c>
      <c r="B138" t="s">
        <v>363</v>
      </c>
      <c r="C138" t="s">
        <v>1167</v>
      </c>
      <c r="D138" t="s">
        <v>1599</v>
      </c>
      <c r="E138" t="s">
        <v>364</v>
      </c>
      <c r="F138" t="s">
        <v>1612</v>
      </c>
      <c r="I138" t="s">
        <v>1077</v>
      </c>
      <c r="K138" t="s">
        <v>250</v>
      </c>
      <c r="L138" t="s">
        <v>1873</v>
      </c>
      <c r="M138" t="s">
        <v>228</v>
      </c>
      <c r="N138" t="s">
        <v>222</v>
      </c>
      <c r="O138" t="s">
        <v>1938</v>
      </c>
      <c r="P138" t="s">
        <v>1939</v>
      </c>
      <c r="Q138" t="str">
        <f>IF($C138="","",IFERROR(VLOOKUP($C138,sources!$A$2:$N$200,2,FALSE()),"?"))</f>
        <v>Report</v>
      </c>
      <c r="R138" t="str">
        <f t="shared" si="2"/>
        <v>Textual</v>
      </c>
      <c r="S138" t="str">
        <f>IF($C138="","",IFERROR(VLOOKUP($C138,sources!$A$2:$N$200,9,FALSE()),"?"))</f>
        <v>US official</v>
      </c>
    </row>
    <row r="139" spans="1:19" x14ac:dyDescent="0.2">
      <c r="A139" t="s">
        <v>1940</v>
      </c>
      <c r="B139" t="s">
        <v>363</v>
      </c>
      <c r="C139" t="s">
        <v>1167</v>
      </c>
      <c r="D139" t="s">
        <v>1599</v>
      </c>
      <c r="E139" t="s">
        <v>364</v>
      </c>
      <c r="F139" t="s">
        <v>1612</v>
      </c>
      <c r="I139" t="s">
        <v>1077</v>
      </c>
      <c r="K139" t="s">
        <v>1941</v>
      </c>
      <c r="L139" t="s">
        <v>1928</v>
      </c>
      <c r="M139" t="s">
        <v>228</v>
      </c>
      <c r="N139" t="s">
        <v>222</v>
      </c>
      <c r="O139" t="s">
        <v>1942</v>
      </c>
      <c r="P139" t="s">
        <v>1943</v>
      </c>
      <c r="Q139" t="str">
        <f>IF($C139="","",IFERROR(VLOOKUP($C139,sources!$A$2:$N$200,2,FALSE()),"?"))</f>
        <v>Report</v>
      </c>
      <c r="R139" t="str">
        <f t="shared" si="2"/>
        <v>Textual</v>
      </c>
      <c r="S139" t="str">
        <f>IF($C139="","",IFERROR(VLOOKUP($C139,sources!$A$2:$N$200,9,FALSE()),"?"))</f>
        <v>US official</v>
      </c>
    </row>
    <row r="140" spans="1:19" x14ac:dyDescent="0.2">
      <c r="A140" t="s">
        <v>1944</v>
      </c>
      <c r="B140" t="s">
        <v>367</v>
      </c>
      <c r="C140" t="s">
        <v>1167</v>
      </c>
      <c r="D140" t="s">
        <v>1599</v>
      </c>
      <c r="E140" t="s">
        <v>368</v>
      </c>
      <c r="F140" t="s">
        <v>1612</v>
      </c>
      <c r="I140" t="s">
        <v>1077</v>
      </c>
      <c r="K140" t="s">
        <v>302</v>
      </c>
      <c r="L140" t="s">
        <v>250</v>
      </c>
      <c r="M140" t="s">
        <v>228</v>
      </c>
      <c r="N140" t="s">
        <v>222</v>
      </c>
      <c r="O140" t="s">
        <v>1822</v>
      </c>
      <c r="P140" t="s">
        <v>1945</v>
      </c>
      <c r="Q140" t="str">
        <f>IF($C140="","",IFERROR(VLOOKUP($C140,sources!$A$2:$N$200,2,FALSE()),"?"))</f>
        <v>Report</v>
      </c>
      <c r="R140" t="str">
        <f t="shared" si="2"/>
        <v>Textual</v>
      </c>
      <c r="S140" t="str">
        <f>IF($C140="","",IFERROR(VLOOKUP($C140,sources!$A$2:$N$200,9,FALSE()),"?"))</f>
        <v>US official</v>
      </c>
    </row>
    <row r="141" spans="1:19" x14ac:dyDescent="0.2">
      <c r="A141" t="s">
        <v>1946</v>
      </c>
      <c r="B141" t="s">
        <v>367</v>
      </c>
      <c r="C141" t="s">
        <v>1167</v>
      </c>
      <c r="D141" t="s">
        <v>1599</v>
      </c>
      <c r="E141" t="s">
        <v>368</v>
      </c>
      <c r="F141" t="s">
        <v>1612</v>
      </c>
      <c r="I141" t="s">
        <v>1077</v>
      </c>
      <c r="M141" t="s">
        <v>228</v>
      </c>
      <c r="N141" t="s">
        <v>222</v>
      </c>
      <c r="O141" t="s">
        <v>1947</v>
      </c>
      <c r="P141" t="s">
        <v>1948</v>
      </c>
      <c r="Q141" t="str">
        <f>IF($C141="","",IFERROR(VLOOKUP($C141,sources!$A$2:$N$200,2,FALSE()),"?"))</f>
        <v>Report</v>
      </c>
      <c r="R141" t="str">
        <f t="shared" si="2"/>
        <v>Textual</v>
      </c>
      <c r="S141" t="str">
        <f>IF($C141="","",IFERROR(VLOOKUP($C141,sources!$A$2:$N$200,9,FALSE()),"?"))</f>
        <v>US official</v>
      </c>
    </row>
    <row r="142" spans="1:19" x14ac:dyDescent="0.2">
      <c r="A142" t="s">
        <v>1949</v>
      </c>
      <c r="B142" t="s">
        <v>370</v>
      </c>
      <c r="C142" t="s">
        <v>1167</v>
      </c>
      <c r="D142" t="s">
        <v>1599</v>
      </c>
      <c r="E142" t="s">
        <v>371</v>
      </c>
      <c r="F142" t="s">
        <v>1612</v>
      </c>
      <c r="I142" t="s">
        <v>1077</v>
      </c>
      <c r="K142" t="s">
        <v>302</v>
      </c>
      <c r="L142" t="s">
        <v>250</v>
      </c>
      <c r="M142" t="s">
        <v>228</v>
      </c>
      <c r="N142" t="s">
        <v>222</v>
      </c>
      <c r="O142" t="s">
        <v>1950</v>
      </c>
      <c r="P142" t="s">
        <v>1951</v>
      </c>
      <c r="Q142" t="str">
        <f>IF($C142="","",IFERROR(VLOOKUP($C142,sources!$A$2:$N$200,2,FALSE()),"?"))</f>
        <v>Report</v>
      </c>
      <c r="R142" t="str">
        <f t="shared" si="2"/>
        <v>Textual</v>
      </c>
      <c r="S142" t="str">
        <f>IF($C142="","",IFERROR(VLOOKUP($C142,sources!$A$2:$N$200,9,FALSE()),"?"))</f>
        <v>US official</v>
      </c>
    </row>
    <row r="143" spans="1:19" x14ac:dyDescent="0.2">
      <c r="A143" t="s">
        <v>1952</v>
      </c>
      <c r="B143" t="s">
        <v>370</v>
      </c>
      <c r="C143" t="s">
        <v>1167</v>
      </c>
      <c r="D143" t="s">
        <v>1599</v>
      </c>
      <c r="E143" t="s">
        <v>371</v>
      </c>
      <c r="F143" t="s">
        <v>1612</v>
      </c>
      <c r="I143" t="s">
        <v>1077</v>
      </c>
      <c r="K143" t="s">
        <v>1928</v>
      </c>
      <c r="L143" t="s">
        <v>1392</v>
      </c>
      <c r="M143" t="s">
        <v>228</v>
      </c>
      <c r="N143" t="s">
        <v>222</v>
      </c>
      <c r="O143" t="s">
        <v>1929</v>
      </c>
      <c r="P143" t="s">
        <v>1953</v>
      </c>
      <c r="Q143" t="str">
        <f>IF($C143="","",IFERROR(VLOOKUP($C143,sources!$A$2:$N$200,2,FALSE()),"?"))</f>
        <v>Report</v>
      </c>
      <c r="R143" t="str">
        <f t="shared" si="2"/>
        <v>Textual</v>
      </c>
      <c r="S143" t="str">
        <f>IF($C143="","",IFERROR(VLOOKUP($C143,sources!$A$2:$N$200,9,FALSE()),"?"))</f>
        <v>US official</v>
      </c>
    </row>
    <row r="144" spans="1:19" x14ac:dyDescent="0.2">
      <c r="A144" t="s">
        <v>1954</v>
      </c>
      <c r="B144" t="s">
        <v>373</v>
      </c>
      <c r="C144" t="s">
        <v>1167</v>
      </c>
      <c r="D144" t="s">
        <v>1599</v>
      </c>
      <c r="E144" t="s">
        <v>374</v>
      </c>
      <c r="F144" t="s">
        <v>1612</v>
      </c>
      <c r="I144" t="s">
        <v>1077</v>
      </c>
      <c r="K144" t="s">
        <v>302</v>
      </c>
      <c r="L144" t="s">
        <v>250</v>
      </c>
      <c r="M144" t="s">
        <v>228</v>
      </c>
      <c r="N144" t="s">
        <v>222</v>
      </c>
      <c r="O144" t="s">
        <v>1852</v>
      </c>
      <c r="P144" t="s">
        <v>1955</v>
      </c>
      <c r="Q144" t="str">
        <f>IF($C144="","",IFERROR(VLOOKUP($C144,sources!$A$2:$N$200,2,FALSE()),"?"))</f>
        <v>Report</v>
      </c>
      <c r="R144" t="str">
        <f t="shared" si="2"/>
        <v>Textual</v>
      </c>
      <c r="S144" t="str">
        <f>IF($C144="","",IFERROR(VLOOKUP($C144,sources!$A$2:$N$200,9,FALSE()),"?"))</f>
        <v>US official</v>
      </c>
    </row>
    <row r="145" spans="1:19" x14ac:dyDescent="0.2">
      <c r="A145" t="s">
        <v>1956</v>
      </c>
      <c r="B145" t="s">
        <v>866</v>
      </c>
      <c r="C145" t="s">
        <v>1167</v>
      </c>
      <c r="D145" t="s">
        <v>1599</v>
      </c>
      <c r="E145" t="s">
        <v>374</v>
      </c>
      <c r="F145" t="s">
        <v>1612</v>
      </c>
      <c r="I145" t="s">
        <v>1077</v>
      </c>
      <c r="M145" t="s">
        <v>228</v>
      </c>
      <c r="N145" t="s">
        <v>222</v>
      </c>
      <c r="O145" t="s">
        <v>1957</v>
      </c>
      <c r="P145" t="s">
        <v>1958</v>
      </c>
      <c r="Q145" t="str">
        <f>IF($C145="","",IFERROR(VLOOKUP($C145,sources!$A$2:$N$200,2,FALSE()),"?"))</f>
        <v>Report</v>
      </c>
      <c r="R145" t="str">
        <f t="shared" si="2"/>
        <v>Textual</v>
      </c>
      <c r="S145" t="str">
        <f>IF($C145="","",IFERROR(VLOOKUP($C145,sources!$A$2:$N$200,9,FALSE()),"?"))</f>
        <v>US official</v>
      </c>
    </row>
    <row r="146" spans="1:19" x14ac:dyDescent="0.2">
      <c r="A146" t="s">
        <v>1959</v>
      </c>
      <c r="B146" t="s">
        <v>376</v>
      </c>
      <c r="C146" t="s">
        <v>1167</v>
      </c>
      <c r="D146" t="s">
        <v>1599</v>
      </c>
      <c r="E146" t="s">
        <v>377</v>
      </c>
      <c r="F146" t="s">
        <v>1612</v>
      </c>
      <c r="I146" t="s">
        <v>1077</v>
      </c>
      <c r="K146" t="s">
        <v>302</v>
      </c>
      <c r="L146" t="s">
        <v>250</v>
      </c>
      <c r="M146" t="s">
        <v>228</v>
      </c>
      <c r="N146" t="s">
        <v>222</v>
      </c>
      <c r="O146" t="s">
        <v>1846</v>
      </c>
      <c r="P146" t="s">
        <v>1960</v>
      </c>
      <c r="Q146" t="str">
        <f>IF($C146="","",IFERROR(VLOOKUP($C146,sources!$A$2:$N$200,2,FALSE()),"?"))</f>
        <v>Report</v>
      </c>
      <c r="R146" t="str">
        <f t="shared" si="2"/>
        <v>Textual</v>
      </c>
      <c r="S146" t="str">
        <f>IF($C146="","",IFERROR(VLOOKUP($C146,sources!$A$2:$N$200,9,FALSE()),"?"))</f>
        <v>US official</v>
      </c>
    </row>
    <row r="147" spans="1:19" x14ac:dyDescent="0.2">
      <c r="A147" t="s">
        <v>1961</v>
      </c>
      <c r="B147" t="s">
        <v>376</v>
      </c>
      <c r="C147" t="s">
        <v>1167</v>
      </c>
      <c r="D147" t="s">
        <v>1599</v>
      </c>
      <c r="E147" t="s">
        <v>377</v>
      </c>
      <c r="F147" t="s">
        <v>1612</v>
      </c>
      <c r="I147" t="s">
        <v>1077</v>
      </c>
      <c r="K147" t="s">
        <v>1962</v>
      </c>
      <c r="L147" t="s">
        <v>1963</v>
      </c>
      <c r="M147" t="s">
        <v>228</v>
      </c>
      <c r="N147" t="s">
        <v>222</v>
      </c>
      <c r="O147" t="s">
        <v>1964</v>
      </c>
      <c r="P147" t="s">
        <v>1965</v>
      </c>
      <c r="Q147" t="str">
        <f>IF($C147="","",IFERROR(VLOOKUP($C147,sources!$A$2:$N$200,2,FALSE()),"?"))</f>
        <v>Report</v>
      </c>
      <c r="R147" t="str">
        <f t="shared" si="2"/>
        <v>Textual</v>
      </c>
      <c r="S147" t="str">
        <f>IF($C147="","",IFERROR(VLOOKUP($C147,sources!$A$2:$N$200,9,FALSE()),"?"))</f>
        <v>US official</v>
      </c>
    </row>
    <row r="148" spans="1:19" x14ac:dyDescent="0.2">
      <c r="A148" t="s">
        <v>1966</v>
      </c>
      <c r="B148" t="s">
        <v>379</v>
      </c>
      <c r="C148" t="s">
        <v>1167</v>
      </c>
      <c r="D148" t="s">
        <v>1599</v>
      </c>
      <c r="E148" t="s">
        <v>380</v>
      </c>
      <c r="F148" t="s">
        <v>1612</v>
      </c>
      <c r="I148" t="s">
        <v>1077</v>
      </c>
      <c r="K148" t="s">
        <v>302</v>
      </c>
      <c r="L148" t="s">
        <v>250</v>
      </c>
      <c r="M148" t="s">
        <v>228</v>
      </c>
      <c r="N148" t="s">
        <v>222</v>
      </c>
      <c r="O148" t="s">
        <v>1846</v>
      </c>
      <c r="P148" t="s">
        <v>1967</v>
      </c>
      <c r="Q148" t="str">
        <f>IF($C148="","",IFERROR(VLOOKUP($C148,sources!$A$2:$N$200,2,FALSE()),"?"))</f>
        <v>Report</v>
      </c>
      <c r="R148" t="str">
        <f t="shared" si="2"/>
        <v>Textual</v>
      </c>
      <c r="S148" t="str">
        <f>IF($C148="","",IFERROR(VLOOKUP($C148,sources!$A$2:$N$200,9,FALSE()),"?"))</f>
        <v>US official</v>
      </c>
    </row>
    <row r="149" spans="1:19" x14ac:dyDescent="0.2">
      <c r="A149" t="s">
        <v>1968</v>
      </c>
      <c r="B149" t="s">
        <v>379</v>
      </c>
      <c r="C149" t="s">
        <v>1167</v>
      </c>
      <c r="D149" t="s">
        <v>1599</v>
      </c>
      <c r="E149" t="s">
        <v>380</v>
      </c>
      <c r="F149" t="s">
        <v>1612</v>
      </c>
      <c r="I149" t="s">
        <v>1077</v>
      </c>
      <c r="M149" t="s">
        <v>228</v>
      </c>
      <c r="N149" t="s">
        <v>222</v>
      </c>
      <c r="O149" t="s">
        <v>1969</v>
      </c>
      <c r="P149" t="s">
        <v>1970</v>
      </c>
      <c r="Q149" t="str">
        <f>IF($C149="","",IFERROR(VLOOKUP($C149,sources!$A$2:$N$200,2,FALSE()),"?"))</f>
        <v>Report</v>
      </c>
      <c r="R149" t="str">
        <f t="shared" si="2"/>
        <v>Textual</v>
      </c>
      <c r="S149" t="str">
        <f>IF($C149="","",IFERROR(VLOOKUP($C149,sources!$A$2:$N$200,9,FALSE()),"?"))</f>
        <v>US official</v>
      </c>
    </row>
    <row r="150" spans="1:19" x14ac:dyDescent="0.2">
      <c r="A150" t="s">
        <v>1971</v>
      </c>
      <c r="B150" t="s">
        <v>382</v>
      </c>
      <c r="C150" t="s">
        <v>1167</v>
      </c>
      <c r="D150" t="s">
        <v>1599</v>
      </c>
      <c r="E150" t="s">
        <v>383</v>
      </c>
      <c r="F150" t="s">
        <v>1612</v>
      </c>
      <c r="I150" t="s">
        <v>1077</v>
      </c>
      <c r="K150" t="s">
        <v>302</v>
      </c>
      <c r="L150" t="s">
        <v>250</v>
      </c>
      <c r="M150" t="s">
        <v>228</v>
      </c>
      <c r="N150" t="s">
        <v>222</v>
      </c>
      <c r="O150" t="s">
        <v>1972</v>
      </c>
      <c r="P150" t="s">
        <v>1973</v>
      </c>
      <c r="Q150" t="str">
        <f>IF($C150="","",IFERROR(VLOOKUP($C150,sources!$A$2:$N$200,2,FALSE()),"?"))</f>
        <v>Report</v>
      </c>
      <c r="R150" t="str">
        <f t="shared" si="2"/>
        <v>Textual</v>
      </c>
      <c r="S150" t="str">
        <f>IF($C150="","",IFERROR(VLOOKUP($C150,sources!$A$2:$N$200,9,FALSE()),"?"))</f>
        <v>US official</v>
      </c>
    </row>
    <row r="151" spans="1:19" x14ac:dyDescent="0.2">
      <c r="A151" t="s">
        <v>1974</v>
      </c>
      <c r="B151" t="s">
        <v>382</v>
      </c>
      <c r="C151" t="s">
        <v>1167</v>
      </c>
      <c r="D151" t="s">
        <v>1599</v>
      </c>
      <c r="E151" t="s">
        <v>1735</v>
      </c>
      <c r="F151" t="s">
        <v>1612</v>
      </c>
      <c r="I151" t="s">
        <v>1077</v>
      </c>
      <c r="M151" t="s">
        <v>228</v>
      </c>
      <c r="N151" t="s">
        <v>222</v>
      </c>
      <c r="O151" t="s">
        <v>1975</v>
      </c>
      <c r="P151" t="s">
        <v>1976</v>
      </c>
      <c r="Q151" t="str">
        <f>IF($C151="","",IFERROR(VLOOKUP($C151,sources!$A$2:$N$200,2,FALSE()),"?"))</f>
        <v>Report</v>
      </c>
      <c r="R151" t="str">
        <f t="shared" si="2"/>
        <v>Textual</v>
      </c>
      <c r="S151" t="str">
        <f>IF($C151="","",IFERROR(VLOOKUP($C151,sources!$A$2:$N$200,9,FALSE()),"?"))</f>
        <v>US official</v>
      </c>
    </row>
    <row r="152" spans="1:19" x14ac:dyDescent="0.2">
      <c r="A152" t="s">
        <v>1977</v>
      </c>
      <c r="B152" t="s">
        <v>388</v>
      </c>
      <c r="C152" t="s">
        <v>1167</v>
      </c>
      <c r="D152" t="s">
        <v>1599</v>
      </c>
      <c r="E152" t="s">
        <v>389</v>
      </c>
      <c r="F152" t="s">
        <v>1612</v>
      </c>
      <c r="I152" t="s">
        <v>1077</v>
      </c>
      <c r="K152" t="s">
        <v>250</v>
      </c>
      <c r="L152" t="s">
        <v>1873</v>
      </c>
      <c r="M152" t="s">
        <v>228</v>
      </c>
      <c r="N152" t="s">
        <v>222</v>
      </c>
      <c r="O152" t="s">
        <v>1978</v>
      </c>
      <c r="P152" t="s">
        <v>1979</v>
      </c>
      <c r="Q152" t="str">
        <f>IF($C152="","",IFERROR(VLOOKUP($C152,sources!$A$2:$N$200,2,FALSE()),"?"))</f>
        <v>Report</v>
      </c>
      <c r="R152" t="str">
        <f t="shared" si="2"/>
        <v>Textual</v>
      </c>
      <c r="S152" t="str">
        <f>IF($C152="","",IFERROR(VLOOKUP($C152,sources!$A$2:$N$200,9,FALSE()),"?"))</f>
        <v>US official</v>
      </c>
    </row>
    <row r="153" spans="1:19" x14ac:dyDescent="0.2">
      <c r="A153" t="s">
        <v>1980</v>
      </c>
      <c r="B153" t="s">
        <v>388</v>
      </c>
      <c r="C153" t="s">
        <v>1167</v>
      </c>
      <c r="D153" t="s">
        <v>1599</v>
      </c>
      <c r="E153" t="s">
        <v>389</v>
      </c>
      <c r="F153" t="s">
        <v>1612</v>
      </c>
      <c r="I153" t="s">
        <v>1077</v>
      </c>
      <c r="K153" t="s">
        <v>1941</v>
      </c>
      <c r="L153" t="s">
        <v>1928</v>
      </c>
      <c r="M153" t="s">
        <v>228</v>
      </c>
      <c r="N153" t="s">
        <v>222</v>
      </c>
      <c r="O153" t="s">
        <v>1981</v>
      </c>
      <c r="P153" t="s">
        <v>1982</v>
      </c>
      <c r="Q153" t="str">
        <f>IF($C153="","",IFERROR(VLOOKUP($C153,sources!$A$2:$N$200,2,FALSE()),"?"))</f>
        <v>Report</v>
      </c>
      <c r="R153" t="str">
        <f t="shared" si="2"/>
        <v>Textual</v>
      </c>
      <c r="S153" t="str">
        <f>IF($C153="","",IFERROR(VLOOKUP($C153,sources!$A$2:$N$200,9,FALSE()),"?"))</f>
        <v>US official</v>
      </c>
    </row>
    <row r="154" spans="1:19" x14ac:dyDescent="0.2">
      <c r="A154" t="s">
        <v>1983</v>
      </c>
      <c r="B154" t="s">
        <v>393</v>
      </c>
      <c r="C154" t="s">
        <v>1167</v>
      </c>
      <c r="D154" t="s">
        <v>1599</v>
      </c>
      <c r="E154" t="s">
        <v>394</v>
      </c>
      <c r="F154" t="s">
        <v>1612</v>
      </c>
      <c r="I154" t="s">
        <v>1077</v>
      </c>
      <c r="K154" t="s">
        <v>302</v>
      </c>
      <c r="L154" t="s">
        <v>250</v>
      </c>
      <c r="M154" t="s">
        <v>228</v>
      </c>
      <c r="N154" t="s">
        <v>222</v>
      </c>
      <c r="O154" t="s">
        <v>1984</v>
      </c>
      <c r="P154" t="s">
        <v>1985</v>
      </c>
      <c r="Q154" t="str">
        <f>IF($C154="","",IFERROR(VLOOKUP($C154,sources!$A$2:$N$200,2,FALSE()),"?"))</f>
        <v>Report</v>
      </c>
      <c r="R154" t="str">
        <f t="shared" si="2"/>
        <v>Textual</v>
      </c>
      <c r="S154" t="str">
        <f>IF($C154="","",IFERROR(VLOOKUP($C154,sources!$A$2:$N$200,9,FALSE()),"?"))</f>
        <v>US official</v>
      </c>
    </row>
    <row r="155" spans="1:19" x14ac:dyDescent="0.2">
      <c r="A155" t="s">
        <v>1986</v>
      </c>
      <c r="B155" t="s">
        <v>393</v>
      </c>
      <c r="C155" t="s">
        <v>1167</v>
      </c>
      <c r="D155" t="s">
        <v>1599</v>
      </c>
      <c r="E155" t="s">
        <v>394</v>
      </c>
      <c r="F155" t="s">
        <v>1612</v>
      </c>
      <c r="I155" t="s">
        <v>1077</v>
      </c>
      <c r="M155" t="s">
        <v>228</v>
      </c>
      <c r="N155" t="s">
        <v>222</v>
      </c>
      <c r="O155" t="s">
        <v>1987</v>
      </c>
      <c r="P155" t="s">
        <v>1988</v>
      </c>
      <c r="Q155" t="str">
        <f>IF($C155="","",IFERROR(VLOOKUP($C155,sources!$A$2:$N$200,2,FALSE()),"?"))</f>
        <v>Report</v>
      </c>
      <c r="R155" t="str">
        <f t="shared" si="2"/>
        <v>Textual</v>
      </c>
      <c r="S155" t="str">
        <f>IF($C155="","",IFERROR(VLOOKUP($C155,sources!$A$2:$N$200,9,FALSE()),"?"))</f>
        <v>US official</v>
      </c>
    </row>
    <row r="156" spans="1:19" x14ac:dyDescent="0.2">
      <c r="A156" t="s">
        <v>1989</v>
      </c>
      <c r="B156" t="s">
        <v>397</v>
      </c>
      <c r="C156" t="s">
        <v>1167</v>
      </c>
      <c r="D156" t="s">
        <v>1599</v>
      </c>
      <c r="E156" t="s">
        <v>398</v>
      </c>
      <c r="F156" t="s">
        <v>1612</v>
      </c>
      <c r="I156" t="s">
        <v>1077</v>
      </c>
      <c r="K156" t="s">
        <v>302</v>
      </c>
      <c r="L156" t="s">
        <v>250</v>
      </c>
      <c r="M156" t="s">
        <v>228</v>
      </c>
      <c r="N156" t="s">
        <v>222</v>
      </c>
      <c r="O156" t="s">
        <v>1990</v>
      </c>
      <c r="P156" t="s">
        <v>1991</v>
      </c>
      <c r="Q156" t="str">
        <f>IF($C156="","",IFERROR(VLOOKUP($C156,sources!$A$2:$N$200,2,FALSE()),"?"))</f>
        <v>Report</v>
      </c>
      <c r="R156" t="str">
        <f t="shared" si="2"/>
        <v>Textual</v>
      </c>
      <c r="S156" t="str">
        <f>IF($C156="","",IFERROR(VLOOKUP($C156,sources!$A$2:$N$200,9,FALSE()),"?"))</f>
        <v>US official</v>
      </c>
    </row>
    <row r="157" spans="1:19" x14ac:dyDescent="0.2">
      <c r="A157" t="s">
        <v>1992</v>
      </c>
      <c r="B157" t="s">
        <v>397</v>
      </c>
      <c r="C157" t="s">
        <v>1167</v>
      </c>
      <c r="D157" t="s">
        <v>1599</v>
      </c>
      <c r="E157" t="s">
        <v>398</v>
      </c>
      <c r="F157" t="s">
        <v>1612</v>
      </c>
      <c r="I157" t="s">
        <v>1077</v>
      </c>
      <c r="M157" t="s">
        <v>228</v>
      </c>
      <c r="N157" t="s">
        <v>222</v>
      </c>
      <c r="O157" t="s">
        <v>1993</v>
      </c>
      <c r="P157" t="s">
        <v>1994</v>
      </c>
      <c r="Q157" t="str">
        <f>IF($C157="","",IFERROR(VLOOKUP($C157,sources!$A$2:$N$200,2,FALSE()),"?"))</f>
        <v>Report</v>
      </c>
      <c r="R157" t="str">
        <f t="shared" si="2"/>
        <v>Textual</v>
      </c>
      <c r="S157" t="str">
        <f>IF($C157="","",IFERROR(VLOOKUP($C157,sources!$A$2:$N$200,9,FALSE()),"?"))</f>
        <v>US official</v>
      </c>
    </row>
    <row r="158" spans="1:19" x14ac:dyDescent="0.2">
      <c r="A158" t="s">
        <v>1995</v>
      </c>
      <c r="B158" t="s">
        <v>402</v>
      </c>
      <c r="C158" t="s">
        <v>1167</v>
      </c>
      <c r="D158" t="s">
        <v>1599</v>
      </c>
      <c r="E158" t="s">
        <v>403</v>
      </c>
      <c r="F158" t="s">
        <v>1612</v>
      </c>
      <c r="I158" t="s">
        <v>1077</v>
      </c>
      <c r="K158" t="s">
        <v>302</v>
      </c>
      <c r="L158" t="s">
        <v>250</v>
      </c>
      <c r="M158" t="s">
        <v>228</v>
      </c>
      <c r="N158" t="s">
        <v>222</v>
      </c>
      <c r="O158" t="s">
        <v>1996</v>
      </c>
      <c r="P158" t="s">
        <v>1997</v>
      </c>
      <c r="Q158" t="str">
        <f>IF($C158="","",IFERROR(VLOOKUP($C158,sources!$A$2:$N$200,2,FALSE()),"?"))</f>
        <v>Report</v>
      </c>
      <c r="R158" t="str">
        <f t="shared" si="2"/>
        <v>Textual</v>
      </c>
      <c r="S158" t="str">
        <f>IF($C158="","",IFERROR(VLOOKUP($C158,sources!$A$2:$N$200,9,FALSE()),"?"))</f>
        <v>US official</v>
      </c>
    </row>
    <row r="159" spans="1:19" x14ac:dyDescent="0.2">
      <c r="A159" t="s">
        <v>1998</v>
      </c>
      <c r="B159" t="s">
        <v>402</v>
      </c>
      <c r="C159" t="s">
        <v>1167</v>
      </c>
      <c r="D159" t="s">
        <v>1599</v>
      </c>
      <c r="E159" t="s">
        <v>403</v>
      </c>
      <c r="F159" t="s">
        <v>1612</v>
      </c>
      <c r="I159" t="s">
        <v>1077</v>
      </c>
      <c r="K159" t="s">
        <v>1928</v>
      </c>
      <c r="L159" t="s">
        <v>1392</v>
      </c>
      <c r="M159" t="s">
        <v>228</v>
      </c>
      <c r="N159" t="s">
        <v>222</v>
      </c>
      <c r="O159" t="s">
        <v>1999</v>
      </c>
      <c r="P159" t="s">
        <v>2000</v>
      </c>
      <c r="Q159" t="str">
        <f>IF($C159="","",IFERROR(VLOOKUP($C159,sources!$A$2:$N$200,2,FALSE()),"?"))</f>
        <v>Report</v>
      </c>
      <c r="R159" t="str">
        <f t="shared" si="2"/>
        <v>Textual</v>
      </c>
      <c r="S159" t="str">
        <f>IF($C159="","",IFERROR(VLOOKUP($C159,sources!$A$2:$N$200,9,FALSE()),"?"))</f>
        <v>US official</v>
      </c>
    </row>
    <row r="160" spans="1:19" x14ac:dyDescent="0.2">
      <c r="A160" t="s">
        <v>2001</v>
      </c>
      <c r="B160" t="s">
        <v>405</v>
      </c>
      <c r="C160" t="s">
        <v>1167</v>
      </c>
      <c r="D160" t="s">
        <v>1599</v>
      </c>
      <c r="E160" t="s">
        <v>406</v>
      </c>
      <c r="F160" t="s">
        <v>1612</v>
      </c>
      <c r="I160" t="s">
        <v>1077</v>
      </c>
      <c r="K160" t="s">
        <v>302</v>
      </c>
      <c r="L160" t="s">
        <v>250</v>
      </c>
      <c r="M160" t="s">
        <v>228</v>
      </c>
      <c r="N160" t="s">
        <v>222</v>
      </c>
      <c r="O160" t="s">
        <v>2002</v>
      </c>
      <c r="P160" t="s">
        <v>2003</v>
      </c>
      <c r="Q160" t="str">
        <f>IF($C160="","",IFERROR(VLOOKUP($C160,sources!$A$2:$N$200,2,FALSE()),"?"))</f>
        <v>Report</v>
      </c>
      <c r="R160" t="str">
        <f t="shared" si="2"/>
        <v>Textual</v>
      </c>
      <c r="S160" t="str">
        <f>IF($C160="","",IFERROR(VLOOKUP($C160,sources!$A$2:$N$200,9,FALSE()),"?"))</f>
        <v>US official</v>
      </c>
    </row>
    <row r="161" spans="1:19" x14ac:dyDescent="0.2">
      <c r="A161" t="s">
        <v>2004</v>
      </c>
      <c r="B161" t="s">
        <v>405</v>
      </c>
      <c r="C161" t="s">
        <v>1167</v>
      </c>
      <c r="D161" t="s">
        <v>1599</v>
      </c>
      <c r="E161" t="s">
        <v>406</v>
      </c>
      <c r="F161" t="s">
        <v>1612</v>
      </c>
      <c r="I161" t="s">
        <v>1077</v>
      </c>
      <c r="M161" t="s">
        <v>228</v>
      </c>
      <c r="N161" t="s">
        <v>222</v>
      </c>
      <c r="O161" t="s">
        <v>2005</v>
      </c>
      <c r="P161" t="s">
        <v>2006</v>
      </c>
      <c r="Q161" t="str">
        <f>IF($C161="","",IFERROR(VLOOKUP($C161,sources!$A$2:$N$200,2,FALSE()),"?"))</f>
        <v>Report</v>
      </c>
      <c r="R161" t="str">
        <f t="shared" si="2"/>
        <v>Textual</v>
      </c>
      <c r="S161" t="str">
        <f>IF($C161="","",IFERROR(VLOOKUP($C161,sources!$A$2:$N$200,9,FALSE()),"?"))</f>
        <v>US official</v>
      </c>
    </row>
    <row r="162" spans="1:19" x14ac:dyDescent="0.2">
      <c r="A162" t="s">
        <v>2007</v>
      </c>
      <c r="B162" t="s">
        <v>408</v>
      </c>
      <c r="C162" t="s">
        <v>1167</v>
      </c>
      <c r="D162" t="s">
        <v>1599</v>
      </c>
      <c r="E162" t="s">
        <v>409</v>
      </c>
      <c r="F162" t="s">
        <v>1612</v>
      </c>
      <c r="I162" t="s">
        <v>1077</v>
      </c>
      <c r="K162" t="s">
        <v>302</v>
      </c>
      <c r="L162" t="s">
        <v>250</v>
      </c>
      <c r="M162" t="s">
        <v>228</v>
      </c>
      <c r="N162" t="s">
        <v>222</v>
      </c>
      <c r="O162" t="s">
        <v>1858</v>
      </c>
      <c r="P162" t="s">
        <v>2008</v>
      </c>
      <c r="Q162" t="str">
        <f>IF($C162="","",IFERROR(VLOOKUP($C162,sources!$A$2:$N$200,2,FALSE()),"?"))</f>
        <v>Report</v>
      </c>
      <c r="R162" t="str">
        <f t="shared" si="2"/>
        <v>Textual</v>
      </c>
      <c r="S162" t="str">
        <f>IF($C162="","",IFERROR(VLOOKUP($C162,sources!$A$2:$N$200,9,FALSE()),"?"))</f>
        <v>US official</v>
      </c>
    </row>
    <row r="163" spans="1:19" x14ac:dyDescent="0.2">
      <c r="A163" t="s">
        <v>2009</v>
      </c>
      <c r="B163" t="s">
        <v>408</v>
      </c>
      <c r="C163" t="s">
        <v>1167</v>
      </c>
      <c r="D163" t="s">
        <v>1599</v>
      </c>
      <c r="E163" t="s">
        <v>409</v>
      </c>
      <c r="F163" t="s">
        <v>1612</v>
      </c>
      <c r="I163" t="s">
        <v>1077</v>
      </c>
      <c r="M163" t="s">
        <v>228</v>
      </c>
      <c r="N163" t="s">
        <v>222</v>
      </c>
      <c r="O163" t="s">
        <v>2010</v>
      </c>
      <c r="P163" t="s">
        <v>2011</v>
      </c>
      <c r="Q163" t="str">
        <f>IF($C163="","",IFERROR(VLOOKUP($C163,sources!$A$2:$N$200,2,FALSE()),"?"))</f>
        <v>Report</v>
      </c>
      <c r="R163" t="str">
        <f t="shared" si="2"/>
        <v>Textual</v>
      </c>
      <c r="S163" t="str">
        <f>IF($C163="","",IFERROR(VLOOKUP($C163,sources!$A$2:$N$200,9,FALSE()),"?"))</f>
        <v>US official</v>
      </c>
    </row>
    <row r="164" spans="1:19" x14ac:dyDescent="0.2">
      <c r="A164" t="s">
        <v>2012</v>
      </c>
      <c r="B164" t="s">
        <v>411</v>
      </c>
      <c r="C164" t="s">
        <v>1167</v>
      </c>
      <c r="D164" t="s">
        <v>1599</v>
      </c>
      <c r="E164" t="s">
        <v>412</v>
      </c>
      <c r="F164" t="s">
        <v>1612</v>
      </c>
      <c r="I164" t="s">
        <v>1077</v>
      </c>
      <c r="K164" t="s">
        <v>302</v>
      </c>
      <c r="L164" t="s">
        <v>250</v>
      </c>
      <c r="M164" t="s">
        <v>228</v>
      </c>
      <c r="N164" t="s">
        <v>222</v>
      </c>
      <c r="O164" t="s">
        <v>2013</v>
      </c>
      <c r="P164" t="s">
        <v>2014</v>
      </c>
      <c r="Q164" t="str">
        <f>IF($C164="","",IFERROR(VLOOKUP($C164,sources!$A$2:$N$200,2,FALSE()),"?"))</f>
        <v>Report</v>
      </c>
      <c r="R164" t="str">
        <f t="shared" si="2"/>
        <v>Textual</v>
      </c>
      <c r="S164" t="str">
        <f>IF($C164="","",IFERROR(VLOOKUP($C164,sources!$A$2:$N$200,9,FALSE()),"?"))</f>
        <v>US official</v>
      </c>
    </row>
    <row r="165" spans="1:19" x14ac:dyDescent="0.2">
      <c r="A165" t="s">
        <v>2015</v>
      </c>
      <c r="B165" t="s">
        <v>411</v>
      </c>
      <c r="C165" t="s">
        <v>1167</v>
      </c>
      <c r="D165" t="s">
        <v>1599</v>
      </c>
      <c r="E165" t="s">
        <v>412</v>
      </c>
      <c r="F165" t="s">
        <v>1612</v>
      </c>
      <c r="I165" t="s">
        <v>1077</v>
      </c>
      <c r="K165" t="s">
        <v>1191</v>
      </c>
      <c r="L165" t="s">
        <v>361</v>
      </c>
      <c r="M165" t="s">
        <v>228</v>
      </c>
      <c r="N165" t="s">
        <v>222</v>
      </c>
      <c r="O165" t="s">
        <v>2016</v>
      </c>
      <c r="P165" t="s">
        <v>2017</v>
      </c>
      <c r="Q165" t="str">
        <f>IF($C165="","",IFERROR(VLOOKUP($C165,sources!$A$2:$N$200,2,FALSE()),"?"))</f>
        <v>Report</v>
      </c>
      <c r="R165" t="str">
        <f t="shared" si="2"/>
        <v>Textual</v>
      </c>
      <c r="S165" t="str">
        <f>IF($C165="","",IFERROR(VLOOKUP($C165,sources!$A$2:$N$200,9,FALSE()),"?"))</f>
        <v>US official</v>
      </c>
    </row>
    <row r="166" spans="1:19" x14ac:dyDescent="0.2">
      <c r="A166" t="s">
        <v>2018</v>
      </c>
      <c r="B166" t="s">
        <v>414</v>
      </c>
      <c r="C166" t="s">
        <v>1167</v>
      </c>
      <c r="D166" t="s">
        <v>1599</v>
      </c>
      <c r="E166" t="s">
        <v>415</v>
      </c>
      <c r="F166" t="s">
        <v>1612</v>
      </c>
      <c r="I166" t="s">
        <v>1077</v>
      </c>
      <c r="K166" t="s">
        <v>302</v>
      </c>
      <c r="L166" t="s">
        <v>250</v>
      </c>
      <c r="M166" t="s">
        <v>228</v>
      </c>
      <c r="N166" t="s">
        <v>222</v>
      </c>
      <c r="O166" t="s">
        <v>2019</v>
      </c>
      <c r="P166" t="s">
        <v>2020</v>
      </c>
      <c r="Q166" t="str">
        <f>IF($C166="","",IFERROR(VLOOKUP($C166,sources!$A$2:$N$200,2,FALSE()),"?"))</f>
        <v>Report</v>
      </c>
      <c r="R166" t="str">
        <f t="shared" si="2"/>
        <v>Textual</v>
      </c>
      <c r="S166" t="str">
        <f>IF($C166="","",IFERROR(VLOOKUP($C166,sources!$A$2:$N$200,9,FALSE()),"?"))</f>
        <v>US official</v>
      </c>
    </row>
    <row r="167" spans="1:19" x14ac:dyDescent="0.2">
      <c r="A167" t="s">
        <v>2021</v>
      </c>
      <c r="B167" t="s">
        <v>414</v>
      </c>
      <c r="C167" t="s">
        <v>1167</v>
      </c>
      <c r="D167" t="s">
        <v>1599</v>
      </c>
      <c r="E167" t="s">
        <v>415</v>
      </c>
      <c r="F167" t="s">
        <v>1612</v>
      </c>
      <c r="I167" t="s">
        <v>1077</v>
      </c>
      <c r="M167" t="s">
        <v>228</v>
      </c>
      <c r="N167" t="s">
        <v>222</v>
      </c>
      <c r="O167" t="s">
        <v>2022</v>
      </c>
      <c r="P167" t="s">
        <v>2023</v>
      </c>
      <c r="Q167" t="str">
        <f>IF($C167="","",IFERROR(VLOOKUP($C167,sources!$A$2:$N$200,2,FALSE()),"?"))</f>
        <v>Report</v>
      </c>
      <c r="R167" t="str">
        <f t="shared" si="2"/>
        <v>Textual</v>
      </c>
      <c r="S167" t="str">
        <f>IF($C167="","",IFERROR(VLOOKUP($C167,sources!$A$2:$N$200,9,FALSE()),"?"))</f>
        <v>US official</v>
      </c>
    </row>
    <row r="168" spans="1:19" x14ac:dyDescent="0.2">
      <c r="A168" t="s">
        <v>2024</v>
      </c>
      <c r="B168" t="s">
        <v>417</v>
      </c>
      <c r="C168" t="s">
        <v>1167</v>
      </c>
      <c r="D168" t="s">
        <v>1599</v>
      </c>
      <c r="E168" t="s">
        <v>418</v>
      </c>
      <c r="F168" t="s">
        <v>1612</v>
      </c>
      <c r="I168" t="s">
        <v>1077</v>
      </c>
      <c r="K168" t="s">
        <v>302</v>
      </c>
      <c r="L168" t="s">
        <v>250</v>
      </c>
      <c r="M168" t="s">
        <v>228</v>
      </c>
      <c r="N168" t="s">
        <v>222</v>
      </c>
      <c r="O168" t="s">
        <v>1828</v>
      </c>
      <c r="P168" t="s">
        <v>2025</v>
      </c>
      <c r="Q168" t="str">
        <f>IF($C168="","",IFERROR(VLOOKUP($C168,sources!$A$2:$N$200,2,FALSE()),"?"))</f>
        <v>Report</v>
      </c>
      <c r="R168" t="str">
        <f t="shared" si="2"/>
        <v>Textual</v>
      </c>
      <c r="S168" t="str">
        <f>IF($C168="","",IFERROR(VLOOKUP($C168,sources!$A$2:$N$200,9,FALSE()),"?"))</f>
        <v>US official</v>
      </c>
    </row>
    <row r="169" spans="1:19" x14ac:dyDescent="0.2">
      <c r="A169" t="s">
        <v>2026</v>
      </c>
      <c r="B169" t="s">
        <v>417</v>
      </c>
      <c r="C169" t="s">
        <v>1167</v>
      </c>
      <c r="D169" t="s">
        <v>1599</v>
      </c>
      <c r="E169" t="s">
        <v>418</v>
      </c>
      <c r="F169" t="s">
        <v>1612</v>
      </c>
      <c r="I169" t="s">
        <v>1077</v>
      </c>
      <c r="K169" t="s">
        <v>1059</v>
      </c>
      <c r="L169" t="s">
        <v>2027</v>
      </c>
      <c r="M169" t="s">
        <v>228</v>
      </c>
      <c r="N169" t="s">
        <v>222</v>
      </c>
      <c r="O169" t="s">
        <v>2028</v>
      </c>
      <c r="P169" t="s">
        <v>2029</v>
      </c>
      <c r="Q169" t="str">
        <f>IF($C169="","",IFERROR(VLOOKUP($C169,sources!$A$2:$N$200,2,FALSE()),"?"))</f>
        <v>Report</v>
      </c>
      <c r="R169" t="str">
        <f t="shared" si="2"/>
        <v>Textual</v>
      </c>
      <c r="S169" t="str">
        <f>IF($C169="","",IFERROR(VLOOKUP($C169,sources!$A$2:$N$200,9,FALSE()),"?"))</f>
        <v>US official</v>
      </c>
    </row>
    <row r="170" spans="1:19" x14ac:dyDescent="0.2">
      <c r="A170" t="s">
        <v>2030</v>
      </c>
      <c r="B170" t="s">
        <v>422</v>
      </c>
      <c r="C170" t="s">
        <v>1167</v>
      </c>
      <c r="D170" t="s">
        <v>1599</v>
      </c>
      <c r="E170" t="s">
        <v>423</v>
      </c>
      <c r="F170" t="s">
        <v>1612</v>
      </c>
      <c r="I170" t="s">
        <v>1077</v>
      </c>
      <c r="K170" t="s">
        <v>1873</v>
      </c>
      <c r="L170" t="s">
        <v>1200</v>
      </c>
      <c r="M170" t="s">
        <v>228</v>
      </c>
      <c r="N170" t="s">
        <v>222</v>
      </c>
      <c r="O170" t="s">
        <v>2031</v>
      </c>
      <c r="P170" t="s">
        <v>2032</v>
      </c>
      <c r="Q170" t="str">
        <f>IF($C170="","",IFERROR(VLOOKUP($C170,sources!$A$2:$N$200,2,FALSE()),"?"))</f>
        <v>Report</v>
      </c>
      <c r="R170" t="str">
        <f t="shared" si="2"/>
        <v>Textual</v>
      </c>
      <c r="S170" t="str">
        <f>IF($C170="","",IFERROR(VLOOKUP($C170,sources!$A$2:$N$200,9,FALSE()),"?"))</f>
        <v>US official</v>
      </c>
    </row>
    <row r="171" spans="1:19" x14ac:dyDescent="0.2">
      <c r="A171" t="s">
        <v>2033</v>
      </c>
      <c r="B171" t="s">
        <v>422</v>
      </c>
      <c r="C171" t="s">
        <v>1167</v>
      </c>
      <c r="D171" t="s">
        <v>1599</v>
      </c>
      <c r="E171" t="s">
        <v>423</v>
      </c>
      <c r="F171" t="s">
        <v>1612</v>
      </c>
      <c r="I171" t="s">
        <v>1077</v>
      </c>
      <c r="K171" t="s">
        <v>1392</v>
      </c>
      <c r="L171" t="s">
        <v>1921</v>
      </c>
      <c r="M171" t="s">
        <v>228</v>
      </c>
      <c r="N171" t="s">
        <v>222</v>
      </c>
      <c r="O171" t="s">
        <v>2034</v>
      </c>
      <c r="P171" t="s">
        <v>2035</v>
      </c>
      <c r="Q171" t="str">
        <f>IF($C171="","",IFERROR(VLOOKUP($C171,sources!$A$2:$N$200,2,FALSE()),"?"))</f>
        <v>Report</v>
      </c>
      <c r="R171" t="str">
        <f t="shared" si="2"/>
        <v>Textual</v>
      </c>
      <c r="S171" t="str">
        <f>IF($C171="","",IFERROR(VLOOKUP($C171,sources!$A$2:$N$200,9,FALSE()),"?"))</f>
        <v>US official</v>
      </c>
    </row>
    <row r="172" spans="1:19" x14ac:dyDescent="0.2">
      <c r="A172" t="s">
        <v>2036</v>
      </c>
      <c r="B172" t="s">
        <v>426</v>
      </c>
      <c r="C172" t="s">
        <v>1167</v>
      </c>
      <c r="D172" t="s">
        <v>1599</v>
      </c>
      <c r="E172" t="s">
        <v>427</v>
      </c>
      <c r="F172" t="s">
        <v>1612</v>
      </c>
      <c r="I172" t="s">
        <v>1077</v>
      </c>
      <c r="K172" t="s">
        <v>302</v>
      </c>
      <c r="L172" t="s">
        <v>250</v>
      </c>
      <c r="M172" t="s">
        <v>228</v>
      </c>
      <c r="N172" t="s">
        <v>222</v>
      </c>
      <c r="O172" t="s">
        <v>1932</v>
      </c>
      <c r="P172" t="s">
        <v>2037</v>
      </c>
      <c r="Q172" t="str">
        <f>IF($C172="","",IFERROR(VLOOKUP($C172,sources!$A$2:$N$200,2,FALSE()),"?"))</f>
        <v>Report</v>
      </c>
      <c r="R172" t="str">
        <f t="shared" si="2"/>
        <v>Textual</v>
      </c>
      <c r="S172" t="str">
        <f>IF($C172="","",IFERROR(VLOOKUP($C172,sources!$A$2:$N$200,9,FALSE()),"?"))</f>
        <v>US official</v>
      </c>
    </row>
    <row r="173" spans="1:19" x14ac:dyDescent="0.2">
      <c r="A173" t="s">
        <v>2038</v>
      </c>
      <c r="B173" t="s">
        <v>426</v>
      </c>
      <c r="C173" t="s">
        <v>1167</v>
      </c>
      <c r="D173" t="s">
        <v>1599</v>
      </c>
      <c r="E173" t="s">
        <v>427</v>
      </c>
      <c r="F173" t="s">
        <v>1612</v>
      </c>
      <c r="I173" t="s">
        <v>1077</v>
      </c>
      <c r="K173" t="s">
        <v>1962</v>
      </c>
      <c r="L173" t="s">
        <v>1963</v>
      </c>
      <c r="M173" t="s">
        <v>228</v>
      </c>
      <c r="N173" t="s">
        <v>222</v>
      </c>
      <c r="O173" t="s">
        <v>1902</v>
      </c>
      <c r="P173" t="s">
        <v>2039</v>
      </c>
      <c r="Q173" t="str">
        <f>IF($C173="","",IFERROR(VLOOKUP($C173,sources!$A$2:$N$200,2,FALSE()),"?"))</f>
        <v>Report</v>
      </c>
      <c r="R173" t="str">
        <f t="shared" si="2"/>
        <v>Textual</v>
      </c>
      <c r="S173" t="str">
        <f>IF($C173="","",IFERROR(VLOOKUP($C173,sources!$A$2:$N$200,9,FALSE()),"?"))</f>
        <v>US official</v>
      </c>
    </row>
    <row r="174" spans="1:19" x14ac:dyDescent="0.2">
      <c r="A174" t="s">
        <v>2040</v>
      </c>
      <c r="B174" t="s">
        <v>430</v>
      </c>
      <c r="C174" t="s">
        <v>1167</v>
      </c>
      <c r="D174" t="s">
        <v>1599</v>
      </c>
      <c r="E174" t="s">
        <v>431</v>
      </c>
      <c r="F174" t="s">
        <v>1612</v>
      </c>
      <c r="I174" t="s">
        <v>1077</v>
      </c>
      <c r="K174" t="s">
        <v>2027</v>
      </c>
      <c r="L174" t="s">
        <v>1628</v>
      </c>
      <c r="M174" t="s">
        <v>228</v>
      </c>
      <c r="N174" t="s">
        <v>222</v>
      </c>
      <c r="O174" t="s">
        <v>2041</v>
      </c>
      <c r="P174" t="s">
        <v>2042</v>
      </c>
      <c r="Q174" t="str">
        <f>IF($C174="","",IFERROR(VLOOKUP($C174,sources!$A$2:$N$200,2,FALSE()),"?"))</f>
        <v>Report</v>
      </c>
      <c r="R174" t="str">
        <f t="shared" si="2"/>
        <v>Textual</v>
      </c>
      <c r="S174" t="str">
        <f>IF($C174="","",IFERROR(VLOOKUP($C174,sources!$A$2:$N$200,9,FALSE()),"?"))</f>
        <v>US official</v>
      </c>
    </row>
    <row r="175" spans="1:19" x14ac:dyDescent="0.2">
      <c r="A175" t="s">
        <v>2043</v>
      </c>
      <c r="B175" t="s">
        <v>430</v>
      </c>
      <c r="C175" t="s">
        <v>1167</v>
      </c>
      <c r="D175" t="s">
        <v>1599</v>
      </c>
      <c r="E175" t="s">
        <v>431</v>
      </c>
      <c r="F175" t="s">
        <v>1612</v>
      </c>
      <c r="I175" t="s">
        <v>1077</v>
      </c>
      <c r="K175" t="s">
        <v>1392</v>
      </c>
      <c r="L175" t="s">
        <v>1921</v>
      </c>
      <c r="M175" t="s">
        <v>228</v>
      </c>
      <c r="N175" t="s">
        <v>222</v>
      </c>
      <c r="O175" t="s">
        <v>2044</v>
      </c>
      <c r="P175" t="s">
        <v>2045</v>
      </c>
      <c r="Q175" t="str">
        <f>IF($C175="","",IFERROR(VLOOKUP($C175,sources!$A$2:$N$200,2,FALSE()),"?"))</f>
        <v>Report</v>
      </c>
      <c r="R175" t="str">
        <f t="shared" si="2"/>
        <v>Textual</v>
      </c>
      <c r="S175" t="str">
        <f>IF($C175="","",IFERROR(VLOOKUP($C175,sources!$A$2:$N$200,9,FALSE()),"?"))</f>
        <v>US official</v>
      </c>
    </row>
    <row r="176" spans="1:19" x14ac:dyDescent="0.2">
      <c r="A176" t="s">
        <v>2046</v>
      </c>
      <c r="B176" t="s">
        <v>434</v>
      </c>
      <c r="C176" t="s">
        <v>1167</v>
      </c>
      <c r="D176" t="s">
        <v>1599</v>
      </c>
      <c r="E176" t="s">
        <v>435</v>
      </c>
      <c r="F176" t="s">
        <v>1612</v>
      </c>
      <c r="I176" t="s">
        <v>1077</v>
      </c>
      <c r="K176" t="s">
        <v>302</v>
      </c>
      <c r="L176" t="s">
        <v>250</v>
      </c>
      <c r="M176" t="s">
        <v>228</v>
      </c>
      <c r="N176" t="s">
        <v>222</v>
      </c>
      <c r="O176" t="s">
        <v>2047</v>
      </c>
      <c r="P176" t="s">
        <v>2048</v>
      </c>
      <c r="Q176" t="str">
        <f>IF($C176="","",IFERROR(VLOOKUP($C176,sources!$A$2:$N$200,2,FALSE()),"?"))</f>
        <v>Report</v>
      </c>
      <c r="R176" t="str">
        <f t="shared" si="2"/>
        <v>Textual</v>
      </c>
      <c r="S176" t="str">
        <f>IF($C176="","",IFERROR(VLOOKUP($C176,sources!$A$2:$N$200,9,FALSE()),"?"))</f>
        <v>US official</v>
      </c>
    </row>
    <row r="177" spans="1:19" x14ac:dyDescent="0.2">
      <c r="A177" t="s">
        <v>2049</v>
      </c>
      <c r="B177" t="s">
        <v>434</v>
      </c>
      <c r="C177" t="s">
        <v>1167</v>
      </c>
      <c r="D177" t="s">
        <v>1599</v>
      </c>
      <c r="E177" t="s">
        <v>435</v>
      </c>
      <c r="F177" t="s">
        <v>1612</v>
      </c>
      <c r="I177" t="s">
        <v>1077</v>
      </c>
      <c r="K177" t="s">
        <v>1392</v>
      </c>
      <c r="L177" t="s">
        <v>1921</v>
      </c>
      <c r="M177" t="s">
        <v>228</v>
      </c>
      <c r="N177" t="s">
        <v>222</v>
      </c>
      <c r="O177" t="s">
        <v>2050</v>
      </c>
      <c r="P177" t="s">
        <v>2051</v>
      </c>
      <c r="Q177" t="str">
        <f>IF($C177="","",IFERROR(VLOOKUP($C177,sources!$A$2:$N$200,2,FALSE()),"?"))</f>
        <v>Report</v>
      </c>
      <c r="R177" t="str">
        <f t="shared" si="2"/>
        <v>Textual</v>
      </c>
      <c r="S177" t="str">
        <f>IF($C177="","",IFERROR(VLOOKUP($C177,sources!$A$2:$N$200,9,FALSE()),"?"))</f>
        <v>US official</v>
      </c>
    </row>
    <row r="178" spans="1:19" x14ac:dyDescent="0.2">
      <c r="A178" t="s">
        <v>2052</v>
      </c>
      <c r="B178" t="s">
        <v>439</v>
      </c>
      <c r="C178" t="s">
        <v>1167</v>
      </c>
      <c r="D178" t="s">
        <v>1599</v>
      </c>
      <c r="E178" t="s">
        <v>440</v>
      </c>
      <c r="F178" t="s">
        <v>1612</v>
      </c>
      <c r="I178" t="s">
        <v>1077</v>
      </c>
      <c r="K178" t="s">
        <v>302</v>
      </c>
      <c r="L178" t="s">
        <v>250</v>
      </c>
      <c r="M178" t="s">
        <v>228</v>
      </c>
      <c r="N178" t="s">
        <v>222</v>
      </c>
      <c r="O178" t="s">
        <v>2053</v>
      </c>
      <c r="P178" t="s">
        <v>2054</v>
      </c>
      <c r="Q178" t="str">
        <f>IF($C178="","",IFERROR(VLOOKUP($C178,sources!$A$2:$N$200,2,FALSE()),"?"))</f>
        <v>Report</v>
      </c>
      <c r="R178" t="str">
        <f t="shared" si="2"/>
        <v>Textual</v>
      </c>
      <c r="S178" t="str">
        <f>IF($C178="","",IFERROR(VLOOKUP($C178,sources!$A$2:$N$200,9,FALSE()),"?"))</f>
        <v>US official</v>
      </c>
    </row>
    <row r="179" spans="1:19" x14ac:dyDescent="0.2">
      <c r="A179" t="s">
        <v>2055</v>
      </c>
      <c r="B179" t="s">
        <v>439</v>
      </c>
      <c r="C179" t="s">
        <v>1167</v>
      </c>
      <c r="D179" t="s">
        <v>1599</v>
      </c>
      <c r="E179" t="s">
        <v>440</v>
      </c>
      <c r="F179" t="s">
        <v>1612</v>
      </c>
      <c r="I179" t="s">
        <v>1077</v>
      </c>
      <c r="K179" t="s">
        <v>2056</v>
      </c>
      <c r="L179" t="s">
        <v>1908</v>
      </c>
      <c r="M179" t="s">
        <v>228</v>
      </c>
      <c r="N179" t="s">
        <v>222</v>
      </c>
      <c r="O179" t="s">
        <v>2057</v>
      </c>
      <c r="P179" t="s">
        <v>2058</v>
      </c>
      <c r="Q179" t="str">
        <f>IF($C179="","",IFERROR(VLOOKUP($C179,sources!$A$2:$N$200,2,FALSE()),"?"))</f>
        <v>Report</v>
      </c>
      <c r="R179" t="str">
        <f t="shared" si="2"/>
        <v>Textual</v>
      </c>
      <c r="S179" t="str">
        <f>IF($C179="","",IFERROR(VLOOKUP($C179,sources!$A$2:$N$200,9,FALSE()),"?"))</f>
        <v>US official</v>
      </c>
    </row>
    <row r="180" spans="1:19" x14ac:dyDescent="0.2">
      <c r="A180" t="s">
        <v>2059</v>
      </c>
      <c r="B180" t="s">
        <v>443</v>
      </c>
      <c r="C180" t="s">
        <v>1167</v>
      </c>
      <c r="D180" t="s">
        <v>1599</v>
      </c>
      <c r="E180" t="s">
        <v>444</v>
      </c>
      <c r="F180" t="s">
        <v>1612</v>
      </c>
      <c r="I180" t="s">
        <v>1077</v>
      </c>
      <c r="K180" t="s">
        <v>302</v>
      </c>
      <c r="L180" t="s">
        <v>250</v>
      </c>
      <c r="M180" t="s">
        <v>228</v>
      </c>
      <c r="N180" t="s">
        <v>222</v>
      </c>
      <c r="O180" t="s">
        <v>1846</v>
      </c>
      <c r="P180" t="s">
        <v>2060</v>
      </c>
      <c r="Q180" t="str">
        <f>IF($C180="","",IFERROR(VLOOKUP($C180,sources!$A$2:$N$200,2,FALSE()),"?"))</f>
        <v>Report</v>
      </c>
      <c r="R180" t="str">
        <f t="shared" si="2"/>
        <v>Textual</v>
      </c>
      <c r="S180" t="str">
        <f>IF($C180="","",IFERROR(VLOOKUP($C180,sources!$A$2:$N$200,9,FALSE()),"?"))</f>
        <v>US official</v>
      </c>
    </row>
    <row r="181" spans="1:19" x14ac:dyDescent="0.2">
      <c r="A181" t="s">
        <v>2061</v>
      </c>
      <c r="B181" t="s">
        <v>443</v>
      </c>
      <c r="C181" t="s">
        <v>1167</v>
      </c>
      <c r="D181" t="s">
        <v>1599</v>
      </c>
      <c r="E181" t="s">
        <v>444</v>
      </c>
      <c r="F181" t="s">
        <v>1612</v>
      </c>
      <c r="I181" t="s">
        <v>1077</v>
      </c>
      <c r="K181" t="s">
        <v>1928</v>
      </c>
      <c r="L181" t="s">
        <v>1392</v>
      </c>
      <c r="M181" t="s">
        <v>228</v>
      </c>
      <c r="N181" t="s">
        <v>222</v>
      </c>
      <c r="O181" t="s">
        <v>2062</v>
      </c>
      <c r="P181" t="s">
        <v>2063</v>
      </c>
      <c r="Q181" t="str">
        <f>IF($C181="","",IFERROR(VLOOKUP($C181,sources!$A$2:$N$200,2,FALSE()),"?"))</f>
        <v>Report</v>
      </c>
      <c r="R181" t="str">
        <f t="shared" si="2"/>
        <v>Textual</v>
      </c>
      <c r="S181" t="str">
        <f>IF($C181="","",IFERROR(VLOOKUP($C181,sources!$A$2:$N$200,9,FALSE()),"?"))</f>
        <v>US official</v>
      </c>
    </row>
    <row r="182" spans="1:19" x14ac:dyDescent="0.2">
      <c r="A182" t="s">
        <v>2064</v>
      </c>
      <c r="B182" t="s">
        <v>448</v>
      </c>
      <c r="C182" t="s">
        <v>1167</v>
      </c>
      <c r="D182" t="s">
        <v>1599</v>
      </c>
      <c r="E182" t="s">
        <v>449</v>
      </c>
      <c r="F182" t="s">
        <v>1612</v>
      </c>
      <c r="I182" t="s">
        <v>1077</v>
      </c>
      <c r="K182" t="s">
        <v>250</v>
      </c>
      <c r="L182" t="s">
        <v>1873</v>
      </c>
      <c r="M182" t="s">
        <v>228</v>
      </c>
      <c r="N182" t="s">
        <v>222</v>
      </c>
      <c r="O182" t="s">
        <v>1978</v>
      </c>
      <c r="P182" t="s">
        <v>2065</v>
      </c>
      <c r="Q182" t="str">
        <f>IF($C182="","",IFERROR(VLOOKUP($C182,sources!$A$2:$N$200,2,FALSE()),"?"))</f>
        <v>Report</v>
      </c>
      <c r="R182" t="str">
        <f t="shared" si="2"/>
        <v>Textual</v>
      </c>
      <c r="S182" t="str">
        <f>IF($C182="","",IFERROR(VLOOKUP($C182,sources!$A$2:$N$200,9,FALSE()),"?"))</f>
        <v>US official</v>
      </c>
    </row>
    <row r="183" spans="1:19" x14ac:dyDescent="0.2">
      <c r="A183" t="s">
        <v>2066</v>
      </c>
      <c r="B183" t="s">
        <v>448</v>
      </c>
      <c r="C183" t="s">
        <v>1167</v>
      </c>
      <c r="D183" t="s">
        <v>1599</v>
      </c>
      <c r="E183" t="s">
        <v>449</v>
      </c>
      <c r="F183" t="s">
        <v>1612</v>
      </c>
      <c r="I183" t="s">
        <v>1077</v>
      </c>
      <c r="K183" t="s">
        <v>1962</v>
      </c>
      <c r="L183" t="s">
        <v>1963</v>
      </c>
      <c r="M183" t="s">
        <v>228</v>
      </c>
      <c r="N183" t="s">
        <v>222</v>
      </c>
      <c r="O183" t="s">
        <v>2067</v>
      </c>
      <c r="P183" t="s">
        <v>2068</v>
      </c>
      <c r="Q183" t="str">
        <f>IF($C183="","",IFERROR(VLOOKUP($C183,sources!$A$2:$N$200,2,FALSE()),"?"))</f>
        <v>Report</v>
      </c>
      <c r="R183" t="str">
        <f t="shared" si="2"/>
        <v>Textual</v>
      </c>
      <c r="S183" t="str">
        <f>IF($C183="","",IFERROR(VLOOKUP($C183,sources!$A$2:$N$200,9,FALSE()),"?"))</f>
        <v>US official</v>
      </c>
    </row>
    <row r="184" spans="1:19" x14ac:dyDescent="0.2">
      <c r="A184" t="s">
        <v>2069</v>
      </c>
      <c r="B184" t="s">
        <v>452</v>
      </c>
      <c r="C184" t="s">
        <v>1167</v>
      </c>
      <c r="D184" t="s">
        <v>1599</v>
      </c>
      <c r="E184" t="s">
        <v>453</v>
      </c>
      <c r="F184" t="s">
        <v>1612</v>
      </c>
      <c r="I184" t="s">
        <v>1077</v>
      </c>
      <c r="K184" t="s">
        <v>302</v>
      </c>
      <c r="L184" t="s">
        <v>250</v>
      </c>
      <c r="M184" t="s">
        <v>228</v>
      </c>
      <c r="N184" t="s">
        <v>222</v>
      </c>
      <c r="O184" t="s">
        <v>2070</v>
      </c>
      <c r="P184" t="s">
        <v>2071</v>
      </c>
      <c r="Q184" t="str">
        <f>IF($C184="","",IFERROR(VLOOKUP($C184,sources!$A$2:$N$200,2,FALSE()),"?"))</f>
        <v>Report</v>
      </c>
      <c r="R184" t="str">
        <f t="shared" si="2"/>
        <v>Textual</v>
      </c>
      <c r="S184" t="str">
        <f>IF($C184="","",IFERROR(VLOOKUP($C184,sources!$A$2:$N$200,9,FALSE()),"?"))</f>
        <v>US official</v>
      </c>
    </row>
    <row r="185" spans="1:19" x14ac:dyDescent="0.2">
      <c r="A185" t="s">
        <v>2072</v>
      </c>
      <c r="B185" t="s">
        <v>452</v>
      </c>
      <c r="C185" t="s">
        <v>1167</v>
      </c>
      <c r="D185" t="s">
        <v>1599</v>
      </c>
      <c r="E185" t="s">
        <v>453</v>
      </c>
      <c r="F185" t="s">
        <v>1612</v>
      </c>
      <c r="I185" t="s">
        <v>1077</v>
      </c>
      <c r="K185" t="s">
        <v>1877</v>
      </c>
      <c r="L185" t="s">
        <v>1878</v>
      </c>
      <c r="M185" t="s">
        <v>228</v>
      </c>
      <c r="N185" t="s">
        <v>222</v>
      </c>
      <c r="O185" t="s">
        <v>2073</v>
      </c>
      <c r="P185" t="s">
        <v>2074</v>
      </c>
      <c r="Q185" t="str">
        <f>IF($C185="","",IFERROR(VLOOKUP($C185,sources!$A$2:$N$200,2,FALSE()),"?"))</f>
        <v>Report</v>
      </c>
      <c r="R185" t="str">
        <f t="shared" si="2"/>
        <v>Textual</v>
      </c>
      <c r="S185" t="str">
        <f>IF($C185="","",IFERROR(VLOOKUP($C185,sources!$A$2:$N$200,9,FALSE()),"?"))</f>
        <v>US official</v>
      </c>
    </row>
    <row r="186" spans="1:19" x14ac:dyDescent="0.2">
      <c r="A186" t="s">
        <v>2075</v>
      </c>
      <c r="B186" t="s">
        <v>455</v>
      </c>
      <c r="C186" t="s">
        <v>1167</v>
      </c>
      <c r="D186" t="s">
        <v>1599</v>
      </c>
      <c r="E186" t="s">
        <v>456</v>
      </c>
      <c r="F186" t="s">
        <v>1612</v>
      </c>
      <c r="I186" t="s">
        <v>1077</v>
      </c>
      <c r="K186" t="s">
        <v>302</v>
      </c>
      <c r="L186" t="s">
        <v>250</v>
      </c>
      <c r="M186" t="s">
        <v>228</v>
      </c>
      <c r="N186" t="s">
        <v>222</v>
      </c>
      <c r="O186" t="s">
        <v>2076</v>
      </c>
      <c r="P186" t="s">
        <v>2077</v>
      </c>
      <c r="Q186" t="str">
        <f>IF($C186="","",IFERROR(VLOOKUP($C186,sources!$A$2:$N$200,2,FALSE()),"?"))</f>
        <v>Report</v>
      </c>
      <c r="R186" t="str">
        <f t="shared" si="2"/>
        <v>Textual</v>
      </c>
      <c r="S186" t="str">
        <f>IF($C186="","",IFERROR(VLOOKUP($C186,sources!$A$2:$N$200,9,FALSE()),"?"))</f>
        <v>US official</v>
      </c>
    </row>
    <row r="187" spans="1:19" x14ac:dyDescent="0.2">
      <c r="A187" t="s">
        <v>2078</v>
      </c>
      <c r="B187" t="s">
        <v>455</v>
      </c>
      <c r="C187" t="s">
        <v>1167</v>
      </c>
      <c r="D187" t="s">
        <v>1599</v>
      </c>
      <c r="E187" t="s">
        <v>456</v>
      </c>
      <c r="F187" t="s">
        <v>1612</v>
      </c>
      <c r="I187" t="s">
        <v>1077</v>
      </c>
      <c r="K187" t="s">
        <v>1877</v>
      </c>
      <c r="L187" t="s">
        <v>1878</v>
      </c>
      <c r="M187" t="s">
        <v>228</v>
      </c>
      <c r="N187" t="s">
        <v>222</v>
      </c>
      <c r="O187" t="s">
        <v>2079</v>
      </c>
      <c r="P187" t="s">
        <v>2080</v>
      </c>
      <c r="Q187" t="str">
        <f>IF($C187="","",IFERROR(VLOOKUP($C187,sources!$A$2:$N$200,2,FALSE()),"?"))</f>
        <v>Report</v>
      </c>
      <c r="R187" t="str">
        <f t="shared" si="2"/>
        <v>Textual</v>
      </c>
      <c r="S187" t="str">
        <f>IF($C187="","",IFERROR(VLOOKUP($C187,sources!$A$2:$N$200,9,FALSE()),"?"))</f>
        <v>US official</v>
      </c>
    </row>
    <row r="188" spans="1:19" x14ac:dyDescent="0.2">
      <c r="A188" t="s">
        <v>2081</v>
      </c>
      <c r="B188" t="s">
        <v>458</v>
      </c>
      <c r="C188" t="s">
        <v>1167</v>
      </c>
      <c r="D188" t="s">
        <v>1599</v>
      </c>
      <c r="E188" t="s">
        <v>459</v>
      </c>
      <c r="F188" t="s">
        <v>1612</v>
      </c>
      <c r="I188" t="s">
        <v>1077</v>
      </c>
      <c r="K188" t="s">
        <v>2027</v>
      </c>
      <c r="L188" t="s">
        <v>1628</v>
      </c>
      <c r="M188" t="s">
        <v>228</v>
      </c>
      <c r="N188" t="s">
        <v>222</v>
      </c>
      <c r="O188" t="s">
        <v>2082</v>
      </c>
      <c r="P188" t="s">
        <v>2083</v>
      </c>
      <c r="Q188" t="str">
        <f>IF($C188="","",IFERROR(VLOOKUP($C188,sources!$A$2:$N$200,2,FALSE()),"?"))</f>
        <v>Report</v>
      </c>
      <c r="R188" t="str">
        <f t="shared" si="2"/>
        <v>Textual</v>
      </c>
      <c r="S188" t="str">
        <f>IF($C188="","",IFERROR(VLOOKUP($C188,sources!$A$2:$N$200,9,FALSE()),"?"))</f>
        <v>US official</v>
      </c>
    </row>
    <row r="189" spans="1:19" x14ac:dyDescent="0.2">
      <c r="A189" t="s">
        <v>2084</v>
      </c>
      <c r="B189" t="s">
        <v>462</v>
      </c>
      <c r="C189" t="s">
        <v>1167</v>
      </c>
      <c r="D189" t="s">
        <v>1603</v>
      </c>
      <c r="E189" t="s">
        <v>2085</v>
      </c>
      <c r="F189" t="s">
        <v>1612</v>
      </c>
      <c r="I189" t="s">
        <v>1077</v>
      </c>
      <c r="K189" t="s">
        <v>1628</v>
      </c>
      <c r="L189" t="s">
        <v>292</v>
      </c>
      <c r="M189" t="s">
        <v>228</v>
      </c>
      <c r="N189" t="s">
        <v>222</v>
      </c>
      <c r="O189" t="s">
        <v>2086</v>
      </c>
      <c r="P189" t="s">
        <v>2087</v>
      </c>
      <c r="Q189" t="str">
        <f>IF($C189="","",IFERROR(VLOOKUP($C189,sources!$A$2:$N$200,2,FALSE()),"?"))</f>
        <v>Report</v>
      </c>
      <c r="R189" t="str">
        <f t="shared" si="2"/>
        <v>Textual</v>
      </c>
      <c r="S189" t="str">
        <f>IF($C189="","",IFERROR(VLOOKUP($C189,sources!$A$2:$N$200,9,FALSE()),"?"))</f>
        <v>US official</v>
      </c>
    </row>
    <row r="190" spans="1:19" x14ac:dyDescent="0.2">
      <c r="A190" t="s">
        <v>2088</v>
      </c>
      <c r="B190" t="s">
        <v>466</v>
      </c>
      <c r="C190" t="s">
        <v>1167</v>
      </c>
      <c r="D190" t="s">
        <v>1599</v>
      </c>
      <c r="E190" t="s">
        <v>467</v>
      </c>
      <c r="F190" t="s">
        <v>1612</v>
      </c>
      <c r="I190" t="s">
        <v>1077</v>
      </c>
      <c r="K190" t="s">
        <v>302</v>
      </c>
      <c r="L190" t="s">
        <v>250</v>
      </c>
      <c r="M190" t="s">
        <v>228</v>
      </c>
      <c r="N190" t="s">
        <v>222</v>
      </c>
      <c r="O190" t="s">
        <v>2089</v>
      </c>
      <c r="P190" t="s">
        <v>2090</v>
      </c>
      <c r="Q190" t="str">
        <f>IF($C190="","",IFERROR(VLOOKUP($C190,sources!$A$2:$N$200,2,FALSE()),"?"))</f>
        <v>Report</v>
      </c>
      <c r="R190" t="str">
        <f t="shared" si="2"/>
        <v>Textual</v>
      </c>
      <c r="S190" t="str">
        <f>IF($C190="","",IFERROR(VLOOKUP($C190,sources!$A$2:$N$200,9,FALSE()),"?"))</f>
        <v>US official</v>
      </c>
    </row>
    <row r="191" spans="1:19" x14ac:dyDescent="0.2">
      <c r="A191" t="s">
        <v>2091</v>
      </c>
      <c r="B191" t="s">
        <v>471</v>
      </c>
      <c r="C191" t="s">
        <v>1167</v>
      </c>
      <c r="D191" t="s">
        <v>1599</v>
      </c>
      <c r="E191" t="s">
        <v>2092</v>
      </c>
      <c r="F191" t="s">
        <v>1612</v>
      </c>
      <c r="I191" t="s">
        <v>1077</v>
      </c>
      <c r="K191" t="s">
        <v>1628</v>
      </c>
      <c r="L191" t="s">
        <v>292</v>
      </c>
      <c r="M191" t="s">
        <v>228</v>
      </c>
      <c r="N191" t="s">
        <v>222</v>
      </c>
      <c r="O191" t="s">
        <v>2093</v>
      </c>
      <c r="P191" t="s">
        <v>2094</v>
      </c>
      <c r="Q191" t="str">
        <f>IF($C191="","",IFERROR(VLOOKUP($C191,sources!$A$2:$N$200,2,FALSE()),"?"))</f>
        <v>Report</v>
      </c>
      <c r="R191" t="str">
        <f t="shared" si="2"/>
        <v>Textual</v>
      </c>
      <c r="S191" t="str">
        <f>IF($C191="","",IFERROR(VLOOKUP($C191,sources!$A$2:$N$200,9,FALSE()),"?"))</f>
        <v>US official</v>
      </c>
    </row>
    <row r="192" spans="1:19" x14ac:dyDescent="0.2">
      <c r="A192" t="s">
        <v>2095</v>
      </c>
      <c r="B192" t="s">
        <v>475</v>
      </c>
      <c r="C192" t="s">
        <v>1167</v>
      </c>
      <c r="D192" t="s">
        <v>1585</v>
      </c>
      <c r="E192" t="s">
        <v>2096</v>
      </c>
      <c r="F192" t="s">
        <v>1612</v>
      </c>
      <c r="I192" t="s">
        <v>1077</v>
      </c>
      <c r="K192" t="s">
        <v>2097</v>
      </c>
      <c r="L192" t="s">
        <v>2098</v>
      </c>
      <c r="M192" t="s">
        <v>228</v>
      </c>
      <c r="N192" t="s">
        <v>222</v>
      </c>
      <c r="O192" t="s">
        <v>2099</v>
      </c>
      <c r="P192" t="s">
        <v>2100</v>
      </c>
      <c r="Q192" t="str">
        <f>IF($C192="","",IFERROR(VLOOKUP($C192,sources!$A$2:$N$200,2,FALSE()),"?"))</f>
        <v>Report</v>
      </c>
      <c r="R192" t="str">
        <f t="shared" si="2"/>
        <v>Textual</v>
      </c>
      <c r="S192" t="str">
        <f>IF($C192="","",IFERROR(VLOOKUP($C192,sources!$A$2:$N$200,9,FALSE()),"?"))</f>
        <v>US official</v>
      </c>
    </row>
    <row r="193" spans="1:19" x14ac:dyDescent="0.2">
      <c r="A193" t="s">
        <v>2101</v>
      </c>
      <c r="B193" t="s">
        <v>480</v>
      </c>
      <c r="C193" t="s">
        <v>1167</v>
      </c>
      <c r="D193" t="s">
        <v>1599</v>
      </c>
      <c r="E193" t="s">
        <v>481</v>
      </c>
      <c r="F193" t="s">
        <v>1612</v>
      </c>
      <c r="I193" t="s">
        <v>1077</v>
      </c>
      <c r="K193" t="s">
        <v>292</v>
      </c>
      <c r="L193" t="s">
        <v>2097</v>
      </c>
      <c r="M193" t="s">
        <v>228</v>
      </c>
      <c r="N193" t="s">
        <v>222</v>
      </c>
      <c r="O193" t="s">
        <v>2102</v>
      </c>
      <c r="P193" t="s">
        <v>2103</v>
      </c>
      <c r="Q193" t="str">
        <f>IF($C193="","",IFERROR(VLOOKUP($C193,sources!$A$2:$N$200,2,FALSE()),"?"))</f>
        <v>Report</v>
      </c>
      <c r="R193" t="str">
        <f t="shared" si="2"/>
        <v>Textual</v>
      </c>
      <c r="S193" t="str">
        <f>IF($C193="","",IFERROR(VLOOKUP($C193,sources!$A$2:$N$200,9,FALSE()),"?"))</f>
        <v>US official</v>
      </c>
    </row>
    <row r="194" spans="1:19" x14ac:dyDescent="0.2">
      <c r="A194" t="s">
        <v>2104</v>
      </c>
      <c r="B194" t="s">
        <v>484</v>
      </c>
      <c r="C194" t="s">
        <v>1167</v>
      </c>
      <c r="D194" t="s">
        <v>1599</v>
      </c>
      <c r="E194" t="s">
        <v>485</v>
      </c>
      <c r="F194" t="s">
        <v>1612</v>
      </c>
      <c r="I194" t="s">
        <v>1077</v>
      </c>
      <c r="K194" t="s">
        <v>250</v>
      </c>
      <c r="L194" t="s">
        <v>1873</v>
      </c>
      <c r="M194" t="s">
        <v>228</v>
      </c>
      <c r="N194" t="s">
        <v>222</v>
      </c>
      <c r="O194" t="s">
        <v>2105</v>
      </c>
      <c r="P194" t="s">
        <v>2106</v>
      </c>
      <c r="Q194" t="str">
        <f>IF($C194="","",IFERROR(VLOOKUP($C194,sources!$A$2:$N$200,2,FALSE()),"?"))</f>
        <v>Report</v>
      </c>
      <c r="R194" t="str">
        <f t="shared" ref="R194:R257" si="3">IF($Q194="","",IF($Q194="Map","Map",IF(OR($Q194="Photograph",$Q194="Postcard"),"Image",IF(OR($Q194="Census or roll",$Q194="Report",$Q194="Newspaper",$Q194="Letter",$Q194="Memoir",$Q194="Administrative",$Q194="Web compilation"),"Textual",IF($Q194="Legal claim","Legal/admin",IF($Q194="Secondary","Secondary","Other"))))))</f>
        <v>Textual</v>
      </c>
      <c r="S194" t="str">
        <f>IF($C194="","",IFERROR(VLOOKUP($C194,sources!$A$2:$N$200,9,FALSE()),"?"))</f>
        <v>US official</v>
      </c>
    </row>
    <row r="195" spans="1:19" x14ac:dyDescent="0.2">
      <c r="A195" t="s">
        <v>2107</v>
      </c>
      <c r="B195" t="s">
        <v>487</v>
      </c>
      <c r="C195" t="s">
        <v>1167</v>
      </c>
      <c r="D195" t="s">
        <v>1599</v>
      </c>
      <c r="E195" t="s">
        <v>488</v>
      </c>
      <c r="F195" t="s">
        <v>1612</v>
      </c>
      <c r="I195" t="s">
        <v>1077</v>
      </c>
      <c r="K195" t="s">
        <v>302</v>
      </c>
      <c r="L195" t="s">
        <v>250</v>
      </c>
      <c r="M195" t="s">
        <v>228</v>
      </c>
      <c r="N195" t="s">
        <v>222</v>
      </c>
      <c r="O195" t="s">
        <v>2108</v>
      </c>
      <c r="P195" t="s">
        <v>2109</v>
      </c>
      <c r="Q195" t="str">
        <f>IF($C195="","",IFERROR(VLOOKUP($C195,sources!$A$2:$N$200,2,FALSE()),"?"))</f>
        <v>Report</v>
      </c>
      <c r="R195" t="str">
        <f t="shared" si="3"/>
        <v>Textual</v>
      </c>
      <c r="S195" t="str">
        <f>IF($C195="","",IFERROR(VLOOKUP($C195,sources!$A$2:$N$200,9,FALSE()),"?"))</f>
        <v>US official</v>
      </c>
    </row>
    <row r="196" spans="1:19" x14ac:dyDescent="0.2">
      <c r="A196" t="s">
        <v>2110</v>
      </c>
      <c r="B196" t="s">
        <v>491</v>
      </c>
      <c r="C196" t="s">
        <v>1167</v>
      </c>
      <c r="D196" t="s">
        <v>1599</v>
      </c>
      <c r="E196" t="s">
        <v>492</v>
      </c>
      <c r="F196" t="s">
        <v>1612</v>
      </c>
      <c r="I196" t="s">
        <v>1077</v>
      </c>
      <c r="K196" t="s">
        <v>250</v>
      </c>
      <c r="L196" t="s">
        <v>1873</v>
      </c>
      <c r="M196" t="s">
        <v>228</v>
      </c>
      <c r="N196" t="s">
        <v>222</v>
      </c>
      <c r="O196" t="s">
        <v>1978</v>
      </c>
      <c r="P196" t="s">
        <v>2111</v>
      </c>
      <c r="Q196" t="str">
        <f>IF($C196="","",IFERROR(VLOOKUP($C196,sources!$A$2:$N$200,2,FALSE()),"?"))</f>
        <v>Report</v>
      </c>
      <c r="R196" t="str">
        <f t="shared" si="3"/>
        <v>Textual</v>
      </c>
      <c r="S196" t="str">
        <f>IF($C196="","",IFERROR(VLOOKUP($C196,sources!$A$2:$N$200,9,FALSE()),"?"))</f>
        <v>US official</v>
      </c>
    </row>
    <row r="197" spans="1:19" x14ac:dyDescent="0.2">
      <c r="A197" t="s">
        <v>2112</v>
      </c>
      <c r="B197" t="s">
        <v>494</v>
      </c>
      <c r="C197" t="s">
        <v>1167</v>
      </c>
      <c r="D197" t="s">
        <v>1603</v>
      </c>
      <c r="E197" t="s">
        <v>495</v>
      </c>
      <c r="F197" t="s">
        <v>1612</v>
      </c>
      <c r="I197" t="s">
        <v>1077</v>
      </c>
      <c r="K197" t="s">
        <v>361</v>
      </c>
      <c r="L197" t="s">
        <v>1059</v>
      </c>
      <c r="M197" t="s">
        <v>228</v>
      </c>
      <c r="N197" t="s">
        <v>222</v>
      </c>
      <c r="O197" t="s">
        <v>2113</v>
      </c>
      <c r="P197" t="s">
        <v>2114</v>
      </c>
      <c r="Q197" t="str">
        <f>IF($C197="","",IFERROR(VLOOKUP($C197,sources!$A$2:$N$200,2,FALSE()),"?"))</f>
        <v>Report</v>
      </c>
      <c r="R197" t="str">
        <f t="shared" si="3"/>
        <v>Textual</v>
      </c>
      <c r="S197" t="str">
        <f>IF($C197="","",IFERROR(VLOOKUP($C197,sources!$A$2:$N$200,9,FALSE()),"?"))</f>
        <v>US official</v>
      </c>
    </row>
    <row r="198" spans="1:19" x14ac:dyDescent="0.2">
      <c r="A198" t="s">
        <v>2115</v>
      </c>
      <c r="B198" t="s">
        <v>506</v>
      </c>
      <c r="C198" t="s">
        <v>1167</v>
      </c>
      <c r="D198" t="s">
        <v>1599</v>
      </c>
      <c r="E198" t="s">
        <v>507</v>
      </c>
      <c r="F198" t="s">
        <v>1612</v>
      </c>
      <c r="I198" t="s">
        <v>1077</v>
      </c>
      <c r="K198" t="s">
        <v>302</v>
      </c>
      <c r="L198" t="s">
        <v>250</v>
      </c>
      <c r="M198" t="s">
        <v>228</v>
      </c>
      <c r="N198" t="s">
        <v>222</v>
      </c>
      <c r="O198" t="s">
        <v>2116</v>
      </c>
      <c r="P198" t="s">
        <v>2117</v>
      </c>
      <c r="Q198" t="str">
        <f>IF($C198="","",IFERROR(VLOOKUP($C198,sources!$A$2:$N$200,2,FALSE()),"?"))</f>
        <v>Report</v>
      </c>
      <c r="R198" t="str">
        <f t="shared" si="3"/>
        <v>Textual</v>
      </c>
      <c r="S198" t="str">
        <f>IF($C198="","",IFERROR(VLOOKUP($C198,sources!$A$2:$N$200,9,FALSE()),"?"))</f>
        <v>US official</v>
      </c>
    </row>
    <row r="199" spans="1:19" x14ac:dyDescent="0.2">
      <c r="A199" t="s">
        <v>2118</v>
      </c>
      <c r="B199" t="s">
        <v>266</v>
      </c>
      <c r="C199" t="s">
        <v>1167</v>
      </c>
      <c r="D199" t="s">
        <v>1585</v>
      </c>
      <c r="E199" t="s">
        <v>2119</v>
      </c>
      <c r="F199" t="s">
        <v>1612</v>
      </c>
      <c r="I199" t="s">
        <v>1077</v>
      </c>
      <c r="K199" t="s">
        <v>2027</v>
      </c>
      <c r="L199" t="s">
        <v>1628</v>
      </c>
      <c r="M199" t="s">
        <v>228</v>
      </c>
      <c r="N199" t="s">
        <v>222</v>
      </c>
      <c r="O199" t="s">
        <v>2120</v>
      </c>
      <c r="P199" t="s">
        <v>2121</v>
      </c>
      <c r="Q199" t="str">
        <f>IF($C199="","",IFERROR(VLOOKUP($C199,sources!$A$2:$N$200,2,FALSE()),"?"))</f>
        <v>Report</v>
      </c>
      <c r="R199" t="str">
        <f t="shared" si="3"/>
        <v>Textual</v>
      </c>
      <c r="S199" t="str">
        <f>IF($C199="","",IFERROR(VLOOKUP($C199,sources!$A$2:$N$200,9,FALSE()),"?"))</f>
        <v>US official</v>
      </c>
    </row>
    <row r="200" spans="1:19" x14ac:dyDescent="0.2">
      <c r="A200" t="s">
        <v>2122</v>
      </c>
      <c r="B200" t="s">
        <v>261</v>
      </c>
      <c r="C200" t="s">
        <v>1167</v>
      </c>
      <c r="D200" t="s">
        <v>1585</v>
      </c>
      <c r="E200" t="s">
        <v>2123</v>
      </c>
      <c r="F200" t="s">
        <v>1612</v>
      </c>
      <c r="I200" t="s">
        <v>1077</v>
      </c>
      <c r="K200" t="s">
        <v>361</v>
      </c>
      <c r="L200" t="s">
        <v>1059</v>
      </c>
      <c r="M200" t="s">
        <v>228</v>
      </c>
      <c r="N200" t="s">
        <v>222</v>
      </c>
      <c r="O200" t="s">
        <v>2124</v>
      </c>
      <c r="P200" t="s">
        <v>2125</v>
      </c>
      <c r="Q200" t="str">
        <f>IF($C200="","",IFERROR(VLOOKUP($C200,sources!$A$2:$N$200,2,FALSE()),"?"))</f>
        <v>Report</v>
      </c>
      <c r="R200" t="str">
        <f t="shared" si="3"/>
        <v>Textual</v>
      </c>
      <c r="S200" t="str">
        <f>IF($C200="","",IFERROR(VLOOKUP($C200,sources!$A$2:$N$200,9,FALSE()),"?"))</f>
        <v>US official</v>
      </c>
    </row>
    <row r="201" spans="1:19" x14ac:dyDescent="0.2">
      <c r="A201" t="s">
        <v>2126</v>
      </c>
      <c r="B201" t="s">
        <v>866</v>
      </c>
      <c r="C201" t="s">
        <v>1167</v>
      </c>
      <c r="D201" t="s">
        <v>1585</v>
      </c>
      <c r="E201" t="s">
        <v>867</v>
      </c>
      <c r="F201" t="s">
        <v>1612</v>
      </c>
      <c r="I201" t="s">
        <v>1077</v>
      </c>
      <c r="K201" t="s">
        <v>1873</v>
      </c>
      <c r="L201" t="s">
        <v>1200</v>
      </c>
      <c r="M201" t="s">
        <v>228</v>
      </c>
      <c r="N201" t="s">
        <v>222</v>
      </c>
      <c r="O201" t="s">
        <v>2127</v>
      </c>
      <c r="P201" t="s">
        <v>2128</v>
      </c>
      <c r="Q201" t="str">
        <f>IF($C201="","",IFERROR(VLOOKUP($C201,sources!$A$2:$N$200,2,FALSE()),"?"))</f>
        <v>Report</v>
      </c>
      <c r="R201" t="str">
        <f t="shared" si="3"/>
        <v>Textual</v>
      </c>
      <c r="S201" t="str">
        <f>IF($C201="","",IFERROR(VLOOKUP($C201,sources!$A$2:$N$200,9,FALSE()),"?"))</f>
        <v>US official</v>
      </c>
    </row>
    <row r="202" spans="1:19" x14ac:dyDescent="0.2">
      <c r="A202" t="s">
        <v>2129</v>
      </c>
      <c r="B202" t="s">
        <v>426</v>
      </c>
      <c r="C202" t="s">
        <v>1167</v>
      </c>
      <c r="D202" t="s">
        <v>1585</v>
      </c>
      <c r="E202" t="s">
        <v>554</v>
      </c>
      <c r="F202" t="s">
        <v>1612</v>
      </c>
      <c r="I202" t="s">
        <v>1077</v>
      </c>
      <c r="K202" t="s">
        <v>1059</v>
      </c>
      <c r="L202" t="s">
        <v>2027</v>
      </c>
      <c r="M202" t="s">
        <v>228</v>
      </c>
      <c r="N202" t="s">
        <v>222</v>
      </c>
      <c r="O202" t="s">
        <v>2130</v>
      </c>
      <c r="P202" t="s">
        <v>2131</v>
      </c>
      <c r="Q202" t="str">
        <f>IF($C202="","",IFERROR(VLOOKUP($C202,sources!$A$2:$N$200,2,FALSE()),"?"))</f>
        <v>Report</v>
      </c>
      <c r="R202" t="str">
        <f t="shared" si="3"/>
        <v>Textual</v>
      </c>
      <c r="S202" t="str">
        <f>IF($C202="","",IFERROR(VLOOKUP($C202,sources!$A$2:$N$200,9,FALSE()),"?"))</f>
        <v>US official</v>
      </c>
    </row>
    <row r="203" spans="1:19" x14ac:dyDescent="0.2">
      <c r="A203" t="s">
        <v>2132</v>
      </c>
      <c r="B203" t="s">
        <v>198</v>
      </c>
      <c r="C203" t="s">
        <v>1260</v>
      </c>
      <c r="D203" t="s">
        <v>1599</v>
      </c>
      <c r="E203" t="s">
        <v>2133</v>
      </c>
      <c r="F203" t="s">
        <v>1612</v>
      </c>
      <c r="I203" t="s">
        <v>1077</v>
      </c>
      <c r="K203" t="s">
        <v>1430</v>
      </c>
      <c r="L203" t="s">
        <v>1430</v>
      </c>
      <c r="M203" t="s">
        <v>222</v>
      </c>
      <c r="N203" t="s">
        <v>222</v>
      </c>
      <c r="O203" t="s">
        <v>2134</v>
      </c>
      <c r="P203" t="s">
        <v>2135</v>
      </c>
      <c r="Q203" t="str">
        <f>IF($C203="","",IFERROR(VLOOKUP($C203,sources!$A$2:$N$200,2,FALSE()),"?"))</f>
        <v>Photograph</v>
      </c>
      <c r="R203" t="str">
        <f t="shared" si="3"/>
        <v>Image</v>
      </c>
      <c r="S203" t="str">
        <f>IF($C203="","",IFERROR(VLOOKUP($C203,sources!$A$2:$N$200,9,FALSE()),"?"))</f>
        <v>US official</v>
      </c>
    </row>
    <row r="204" spans="1:19" x14ac:dyDescent="0.2">
      <c r="A204" t="s">
        <v>2136</v>
      </c>
      <c r="B204" t="s">
        <v>213</v>
      </c>
      <c r="C204" t="s">
        <v>1260</v>
      </c>
      <c r="D204" t="s">
        <v>1599</v>
      </c>
      <c r="E204" t="s">
        <v>2137</v>
      </c>
      <c r="F204" t="s">
        <v>1612</v>
      </c>
      <c r="I204" t="s">
        <v>1077</v>
      </c>
      <c r="K204" t="s">
        <v>302</v>
      </c>
      <c r="L204" t="s">
        <v>302</v>
      </c>
      <c r="M204" t="s">
        <v>222</v>
      </c>
      <c r="N204" t="s">
        <v>222</v>
      </c>
      <c r="O204" t="s">
        <v>2138</v>
      </c>
      <c r="P204" t="s">
        <v>2139</v>
      </c>
      <c r="Q204" t="str">
        <f>IF($C204="","",IFERROR(VLOOKUP($C204,sources!$A$2:$N$200,2,FALSE()),"?"))</f>
        <v>Photograph</v>
      </c>
      <c r="R204" t="str">
        <f t="shared" si="3"/>
        <v>Image</v>
      </c>
      <c r="S204" t="str">
        <f>IF($C204="","",IFERROR(VLOOKUP($C204,sources!$A$2:$N$200,9,FALSE()),"?"))</f>
        <v>US official</v>
      </c>
    </row>
    <row r="205" spans="1:19" x14ac:dyDescent="0.2">
      <c r="A205" t="s">
        <v>2140</v>
      </c>
      <c r="B205" t="s">
        <v>218</v>
      </c>
      <c r="C205" t="s">
        <v>1260</v>
      </c>
      <c r="D205" t="s">
        <v>1599</v>
      </c>
      <c r="E205" t="s">
        <v>2141</v>
      </c>
      <c r="F205" t="s">
        <v>1612</v>
      </c>
      <c r="I205" t="s">
        <v>1077</v>
      </c>
      <c r="K205" t="s">
        <v>361</v>
      </c>
      <c r="L205" t="s">
        <v>361</v>
      </c>
      <c r="M205" t="s">
        <v>222</v>
      </c>
      <c r="N205" t="s">
        <v>222</v>
      </c>
      <c r="O205" t="s">
        <v>2142</v>
      </c>
      <c r="P205" t="s">
        <v>2143</v>
      </c>
      <c r="Q205" t="str">
        <f>IF($C205="","",IFERROR(VLOOKUP($C205,sources!$A$2:$N$200,2,FALSE()),"?"))</f>
        <v>Photograph</v>
      </c>
      <c r="R205" t="str">
        <f t="shared" si="3"/>
        <v>Image</v>
      </c>
      <c r="S205" t="str">
        <f>IF($C205="","",IFERROR(VLOOKUP($C205,sources!$A$2:$N$200,9,FALSE()),"?"))</f>
        <v>US official</v>
      </c>
    </row>
    <row r="206" spans="1:19" x14ac:dyDescent="0.2">
      <c r="A206" t="s">
        <v>2144</v>
      </c>
      <c r="B206" t="s">
        <v>230</v>
      </c>
      <c r="C206" t="s">
        <v>1260</v>
      </c>
      <c r="D206" t="s">
        <v>1599</v>
      </c>
      <c r="E206" t="s">
        <v>2145</v>
      </c>
      <c r="F206" t="s">
        <v>1612</v>
      </c>
      <c r="I206" t="s">
        <v>1077</v>
      </c>
      <c r="K206" t="s">
        <v>250</v>
      </c>
      <c r="L206" t="s">
        <v>250</v>
      </c>
      <c r="M206" t="s">
        <v>222</v>
      </c>
      <c r="N206" t="s">
        <v>222</v>
      </c>
      <c r="O206" t="s">
        <v>2146</v>
      </c>
      <c r="P206" t="s">
        <v>2147</v>
      </c>
      <c r="Q206" t="str">
        <f>IF($C206="","",IFERROR(VLOOKUP($C206,sources!$A$2:$N$200,2,FALSE()),"?"))</f>
        <v>Photograph</v>
      </c>
      <c r="R206" t="str">
        <f t="shared" si="3"/>
        <v>Image</v>
      </c>
      <c r="S206" t="str">
        <f>IF($C206="","",IFERROR(VLOOKUP($C206,sources!$A$2:$N$200,9,FALSE()),"?"))</f>
        <v>US official</v>
      </c>
    </row>
    <row r="207" spans="1:19" x14ac:dyDescent="0.2">
      <c r="A207" t="s">
        <v>2148</v>
      </c>
      <c r="B207" t="s">
        <v>232</v>
      </c>
      <c r="C207" t="s">
        <v>1260</v>
      </c>
      <c r="D207" t="s">
        <v>1599</v>
      </c>
      <c r="E207" t="s">
        <v>2149</v>
      </c>
      <c r="F207" t="s">
        <v>1612</v>
      </c>
      <c r="I207" t="s">
        <v>1077</v>
      </c>
      <c r="K207" t="s">
        <v>250</v>
      </c>
      <c r="L207" t="s">
        <v>250</v>
      </c>
      <c r="M207" t="s">
        <v>222</v>
      </c>
      <c r="N207" t="s">
        <v>222</v>
      </c>
      <c r="O207" t="s">
        <v>2150</v>
      </c>
      <c r="P207" t="s">
        <v>2151</v>
      </c>
      <c r="Q207" t="str">
        <f>IF($C207="","",IFERROR(VLOOKUP($C207,sources!$A$2:$N$200,2,FALSE()),"?"))</f>
        <v>Photograph</v>
      </c>
      <c r="R207" t="str">
        <f t="shared" si="3"/>
        <v>Image</v>
      </c>
      <c r="S207" t="str">
        <f>IF($C207="","",IFERROR(VLOOKUP($C207,sources!$A$2:$N$200,9,FALSE()),"?"))</f>
        <v>US official</v>
      </c>
    </row>
    <row r="208" spans="1:19" x14ac:dyDescent="0.2">
      <c r="A208" t="s">
        <v>2152</v>
      </c>
      <c r="B208" t="s">
        <v>238</v>
      </c>
      <c r="C208" t="s">
        <v>1260</v>
      </c>
      <c r="D208" t="s">
        <v>1599</v>
      </c>
      <c r="E208" t="s">
        <v>2153</v>
      </c>
      <c r="F208" t="s">
        <v>1612</v>
      </c>
      <c r="I208" t="s">
        <v>1077</v>
      </c>
      <c r="K208" t="s">
        <v>302</v>
      </c>
      <c r="L208" t="s">
        <v>302</v>
      </c>
      <c r="M208" t="s">
        <v>222</v>
      </c>
      <c r="N208" t="s">
        <v>222</v>
      </c>
      <c r="O208" t="s">
        <v>2154</v>
      </c>
      <c r="P208" t="s">
        <v>2155</v>
      </c>
      <c r="Q208" t="str">
        <f>IF($C208="","",IFERROR(VLOOKUP($C208,sources!$A$2:$N$200,2,FALSE()),"?"))</f>
        <v>Photograph</v>
      </c>
      <c r="R208" t="str">
        <f t="shared" si="3"/>
        <v>Image</v>
      </c>
      <c r="S208" t="str">
        <f>IF($C208="","",IFERROR(VLOOKUP($C208,sources!$A$2:$N$200,9,FALSE()),"?"))</f>
        <v>US official</v>
      </c>
    </row>
    <row r="209" spans="1:19" x14ac:dyDescent="0.2">
      <c r="A209" t="s">
        <v>2156</v>
      </c>
      <c r="B209" t="s">
        <v>245</v>
      </c>
      <c r="C209" t="s">
        <v>1260</v>
      </c>
      <c r="D209" t="s">
        <v>1599</v>
      </c>
      <c r="E209" t="s">
        <v>2157</v>
      </c>
      <c r="F209" t="s">
        <v>1612</v>
      </c>
      <c r="I209" t="s">
        <v>1077</v>
      </c>
      <c r="M209" t="s">
        <v>209</v>
      </c>
      <c r="N209" t="s">
        <v>222</v>
      </c>
      <c r="O209" t="s">
        <v>2158</v>
      </c>
      <c r="P209" t="s">
        <v>2159</v>
      </c>
      <c r="Q209" t="str">
        <f>IF($C209="","",IFERROR(VLOOKUP($C209,sources!$A$2:$N$200,2,FALSE()),"?"))</f>
        <v>Photograph</v>
      </c>
      <c r="R209" t="str">
        <f t="shared" si="3"/>
        <v>Image</v>
      </c>
      <c r="S209" t="str">
        <f>IF($C209="","",IFERROR(VLOOKUP($C209,sources!$A$2:$N$200,9,FALSE()),"?"))</f>
        <v>US official</v>
      </c>
    </row>
    <row r="210" spans="1:19" x14ac:dyDescent="0.2">
      <c r="A210" t="s">
        <v>2160</v>
      </c>
      <c r="B210" t="s">
        <v>252</v>
      </c>
      <c r="C210" t="s">
        <v>1260</v>
      </c>
      <c r="D210" t="s">
        <v>1599</v>
      </c>
      <c r="E210" t="s">
        <v>2161</v>
      </c>
      <c r="F210" t="s">
        <v>1612</v>
      </c>
      <c r="I210" t="s">
        <v>1077</v>
      </c>
      <c r="M210" t="s">
        <v>209</v>
      </c>
      <c r="N210" t="s">
        <v>222</v>
      </c>
      <c r="O210" t="s">
        <v>2162</v>
      </c>
      <c r="P210" t="s">
        <v>2163</v>
      </c>
      <c r="Q210" t="str">
        <f>IF($C210="","",IFERROR(VLOOKUP($C210,sources!$A$2:$N$200,2,FALSE()),"?"))</f>
        <v>Photograph</v>
      </c>
      <c r="R210" t="str">
        <f t="shared" si="3"/>
        <v>Image</v>
      </c>
      <c r="S210" t="str">
        <f>IF($C210="","",IFERROR(VLOOKUP($C210,sources!$A$2:$N$200,9,FALSE()),"?"))</f>
        <v>US official</v>
      </c>
    </row>
    <row r="211" spans="1:19" x14ac:dyDescent="0.2">
      <c r="A211" t="s">
        <v>2164</v>
      </c>
      <c r="B211" t="s">
        <v>261</v>
      </c>
      <c r="C211" t="s">
        <v>1260</v>
      </c>
      <c r="D211" t="s">
        <v>1599</v>
      </c>
      <c r="E211" t="s">
        <v>2165</v>
      </c>
      <c r="F211" t="s">
        <v>1612</v>
      </c>
      <c r="I211" t="s">
        <v>1077</v>
      </c>
      <c r="K211" t="s">
        <v>1059</v>
      </c>
      <c r="L211" t="s">
        <v>1059</v>
      </c>
      <c r="M211" t="s">
        <v>222</v>
      </c>
      <c r="N211" t="s">
        <v>222</v>
      </c>
      <c r="O211" t="s">
        <v>2166</v>
      </c>
      <c r="P211" t="s">
        <v>2167</v>
      </c>
      <c r="Q211" t="str">
        <f>IF($C211="","",IFERROR(VLOOKUP($C211,sources!$A$2:$N$200,2,FALSE()),"?"))</f>
        <v>Photograph</v>
      </c>
      <c r="R211" t="str">
        <f t="shared" si="3"/>
        <v>Image</v>
      </c>
      <c r="S211" t="str">
        <f>IF($C211="","",IFERROR(VLOOKUP($C211,sources!$A$2:$N$200,9,FALSE()),"?"))</f>
        <v>US official</v>
      </c>
    </row>
    <row r="212" spans="1:19" x14ac:dyDescent="0.2">
      <c r="A212" t="s">
        <v>2168</v>
      </c>
      <c r="B212" t="s">
        <v>266</v>
      </c>
      <c r="C212" t="s">
        <v>1260</v>
      </c>
      <c r="D212" t="s">
        <v>1599</v>
      </c>
      <c r="E212" t="s">
        <v>2169</v>
      </c>
      <c r="F212" t="s">
        <v>1612</v>
      </c>
      <c r="I212" t="s">
        <v>1077</v>
      </c>
      <c r="K212" t="s">
        <v>1191</v>
      </c>
      <c r="L212" t="s">
        <v>1191</v>
      </c>
      <c r="M212" t="s">
        <v>222</v>
      </c>
      <c r="N212" t="s">
        <v>222</v>
      </c>
      <c r="O212" t="s">
        <v>2170</v>
      </c>
      <c r="P212" t="s">
        <v>2171</v>
      </c>
      <c r="Q212" t="str">
        <f>IF($C212="","",IFERROR(VLOOKUP($C212,sources!$A$2:$N$200,2,FALSE()),"?"))</f>
        <v>Photograph</v>
      </c>
      <c r="R212" t="str">
        <f t="shared" si="3"/>
        <v>Image</v>
      </c>
      <c r="S212" t="str">
        <f>IF($C212="","",IFERROR(VLOOKUP($C212,sources!$A$2:$N$200,9,FALSE()),"?"))</f>
        <v>US official</v>
      </c>
    </row>
    <row r="213" spans="1:19" x14ac:dyDescent="0.2">
      <c r="A213" t="s">
        <v>2172</v>
      </c>
      <c r="B213" t="s">
        <v>272</v>
      </c>
      <c r="C213" t="s">
        <v>1260</v>
      </c>
      <c r="D213" t="s">
        <v>1599</v>
      </c>
      <c r="E213" t="s">
        <v>2173</v>
      </c>
      <c r="F213" t="s">
        <v>1612</v>
      </c>
      <c r="I213" t="s">
        <v>1077</v>
      </c>
      <c r="K213" t="s">
        <v>291</v>
      </c>
      <c r="L213" t="s">
        <v>291</v>
      </c>
      <c r="M213" t="s">
        <v>222</v>
      </c>
      <c r="N213" t="s">
        <v>222</v>
      </c>
      <c r="O213" t="s">
        <v>2174</v>
      </c>
      <c r="P213" t="s">
        <v>2175</v>
      </c>
      <c r="Q213" t="str">
        <f>IF($C213="","",IFERROR(VLOOKUP($C213,sources!$A$2:$N$200,2,FALSE()),"?"))</f>
        <v>Photograph</v>
      </c>
      <c r="R213" t="str">
        <f t="shared" si="3"/>
        <v>Image</v>
      </c>
      <c r="S213" t="str">
        <f>IF($C213="","",IFERROR(VLOOKUP($C213,sources!$A$2:$N$200,9,FALSE()),"?"))</f>
        <v>US official</v>
      </c>
    </row>
    <row r="214" spans="1:19" x14ac:dyDescent="0.2">
      <c r="A214" t="s">
        <v>2176</v>
      </c>
      <c r="B214" t="s">
        <v>280</v>
      </c>
      <c r="C214" t="s">
        <v>1260</v>
      </c>
      <c r="D214" t="s">
        <v>1599</v>
      </c>
      <c r="E214" t="s">
        <v>2177</v>
      </c>
      <c r="F214" t="s">
        <v>1612</v>
      </c>
      <c r="I214" t="s">
        <v>1077</v>
      </c>
      <c r="K214" t="s">
        <v>250</v>
      </c>
      <c r="L214" t="s">
        <v>250</v>
      </c>
      <c r="M214" t="s">
        <v>222</v>
      </c>
      <c r="N214" t="s">
        <v>222</v>
      </c>
      <c r="O214" t="s">
        <v>2178</v>
      </c>
      <c r="P214" t="s">
        <v>2179</v>
      </c>
      <c r="Q214" t="str">
        <f>IF($C214="","",IFERROR(VLOOKUP($C214,sources!$A$2:$N$200,2,FALSE()),"?"))</f>
        <v>Photograph</v>
      </c>
      <c r="R214" t="str">
        <f t="shared" si="3"/>
        <v>Image</v>
      </c>
      <c r="S214" t="str">
        <f>IF($C214="","",IFERROR(VLOOKUP($C214,sources!$A$2:$N$200,9,FALSE()),"?"))</f>
        <v>US official</v>
      </c>
    </row>
    <row r="215" spans="1:19" x14ac:dyDescent="0.2">
      <c r="A215" t="s">
        <v>2180</v>
      </c>
      <c r="B215" t="s">
        <v>284</v>
      </c>
      <c r="C215" t="s">
        <v>1260</v>
      </c>
      <c r="D215" t="s">
        <v>1599</v>
      </c>
      <c r="E215" t="s">
        <v>2181</v>
      </c>
      <c r="F215" t="s">
        <v>1612</v>
      </c>
      <c r="I215" t="s">
        <v>1077</v>
      </c>
      <c r="K215" t="s">
        <v>361</v>
      </c>
      <c r="L215" t="s">
        <v>361</v>
      </c>
      <c r="M215" t="s">
        <v>222</v>
      </c>
      <c r="N215" t="s">
        <v>222</v>
      </c>
      <c r="O215" t="s">
        <v>2182</v>
      </c>
      <c r="P215" t="s">
        <v>2183</v>
      </c>
      <c r="Q215" t="str">
        <f>IF($C215="","",IFERROR(VLOOKUP($C215,sources!$A$2:$N$200,2,FALSE()),"?"))</f>
        <v>Photograph</v>
      </c>
      <c r="R215" t="str">
        <f t="shared" si="3"/>
        <v>Image</v>
      </c>
      <c r="S215" t="str">
        <f>IF($C215="","",IFERROR(VLOOKUP($C215,sources!$A$2:$N$200,9,FALSE()),"?"))</f>
        <v>US official</v>
      </c>
    </row>
    <row r="216" spans="1:19" x14ac:dyDescent="0.2">
      <c r="A216" t="s">
        <v>2184</v>
      </c>
      <c r="B216" t="s">
        <v>349</v>
      </c>
      <c r="C216" t="s">
        <v>1260</v>
      </c>
      <c r="D216" t="s">
        <v>1599</v>
      </c>
      <c r="E216" t="s">
        <v>2185</v>
      </c>
      <c r="F216" t="s">
        <v>1612</v>
      </c>
      <c r="I216" t="s">
        <v>1077</v>
      </c>
      <c r="M216" t="s">
        <v>209</v>
      </c>
      <c r="N216" t="s">
        <v>222</v>
      </c>
      <c r="O216" t="s">
        <v>2186</v>
      </c>
      <c r="P216" t="s">
        <v>2187</v>
      </c>
      <c r="Q216" t="str">
        <f>IF($C216="","",IFERROR(VLOOKUP($C216,sources!$A$2:$N$200,2,FALSE()),"?"))</f>
        <v>Photograph</v>
      </c>
      <c r="R216" t="str">
        <f t="shared" si="3"/>
        <v>Image</v>
      </c>
      <c r="S216" t="str">
        <f>IF($C216="","",IFERROR(VLOOKUP($C216,sources!$A$2:$N$200,9,FALSE()),"?"))</f>
        <v>US official</v>
      </c>
    </row>
    <row r="217" spans="1:19" x14ac:dyDescent="0.2">
      <c r="A217" t="s">
        <v>2188</v>
      </c>
      <c r="B217" t="s">
        <v>354</v>
      </c>
      <c r="C217" t="s">
        <v>1260</v>
      </c>
      <c r="D217" t="s">
        <v>1599</v>
      </c>
      <c r="E217" t="s">
        <v>2189</v>
      </c>
      <c r="F217" t="s">
        <v>1612</v>
      </c>
      <c r="I217" t="s">
        <v>1077</v>
      </c>
      <c r="K217" t="s">
        <v>361</v>
      </c>
      <c r="L217" t="s">
        <v>361</v>
      </c>
      <c r="M217" t="s">
        <v>222</v>
      </c>
      <c r="N217" t="s">
        <v>222</v>
      </c>
      <c r="O217" t="s">
        <v>2190</v>
      </c>
      <c r="P217" t="s">
        <v>2191</v>
      </c>
      <c r="Q217" t="str">
        <f>IF($C217="","",IFERROR(VLOOKUP($C217,sources!$A$2:$N$200,2,FALSE()),"?"))</f>
        <v>Photograph</v>
      </c>
      <c r="R217" t="str">
        <f t="shared" si="3"/>
        <v>Image</v>
      </c>
      <c r="S217" t="str">
        <f>IF($C217="","",IFERROR(VLOOKUP($C217,sources!$A$2:$N$200,9,FALSE()),"?"))</f>
        <v>US official</v>
      </c>
    </row>
    <row r="218" spans="1:19" x14ac:dyDescent="0.2">
      <c r="A218" t="s">
        <v>2192</v>
      </c>
      <c r="B218" t="s">
        <v>359</v>
      </c>
      <c r="C218" t="s">
        <v>1260</v>
      </c>
      <c r="D218" t="s">
        <v>1599</v>
      </c>
      <c r="E218" t="s">
        <v>2193</v>
      </c>
      <c r="F218" t="s">
        <v>1612</v>
      </c>
      <c r="I218" t="s">
        <v>1077</v>
      </c>
      <c r="M218" t="s">
        <v>209</v>
      </c>
      <c r="N218" t="s">
        <v>222</v>
      </c>
      <c r="O218" t="s">
        <v>2194</v>
      </c>
      <c r="P218" t="s">
        <v>2195</v>
      </c>
      <c r="Q218" t="str">
        <f>IF($C218="","",IFERROR(VLOOKUP($C218,sources!$A$2:$N$200,2,FALSE()),"?"))</f>
        <v>Photograph</v>
      </c>
      <c r="R218" t="str">
        <f t="shared" si="3"/>
        <v>Image</v>
      </c>
      <c r="S218" t="str">
        <f>IF($C218="","",IFERROR(VLOOKUP($C218,sources!$A$2:$N$200,9,FALSE()),"?"))</f>
        <v>US official</v>
      </c>
    </row>
    <row r="219" spans="1:19" x14ac:dyDescent="0.2">
      <c r="A219" t="s">
        <v>2196</v>
      </c>
      <c r="B219" t="s">
        <v>363</v>
      </c>
      <c r="C219" t="s">
        <v>1260</v>
      </c>
      <c r="D219" t="s">
        <v>1599</v>
      </c>
      <c r="E219" t="s">
        <v>2197</v>
      </c>
      <c r="F219" t="s">
        <v>1612</v>
      </c>
      <c r="I219" t="s">
        <v>1077</v>
      </c>
      <c r="K219" t="s">
        <v>361</v>
      </c>
      <c r="L219" t="s">
        <v>361</v>
      </c>
      <c r="M219" t="s">
        <v>222</v>
      </c>
      <c r="N219" t="s">
        <v>222</v>
      </c>
      <c r="O219" t="s">
        <v>2198</v>
      </c>
      <c r="P219" t="s">
        <v>2199</v>
      </c>
      <c r="Q219" t="str">
        <f>IF($C219="","",IFERROR(VLOOKUP($C219,sources!$A$2:$N$200,2,FALSE()),"?"))</f>
        <v>Photograph</v>
      </c>
      <c r="R219" t="str">
        <f t="shared" si="3"/>
        <v>Image</v>
      </c>
      <c r="S219" t="str">
        <f>IF($C219="","",IFERROR(VLOOKUP($C219,sources!$A$2:$N$200,9,FALSE()),"?"))</f>
        <v>US official</v>
      </c>
    </row>
    <row r="220" spans="1:19" x14ac:dyDescent="0.2">
      <c r="A220" t="s">
        <v>2200</v>
      </c>
      <c r="B220" t="s">
        <v>367</v>
      </c>
      <c r="C220" t="s">
        <v>1260</v>
      </c>
      <c r="D220" t="s">
        <v>1599</v>
      </c>
      <c r="E220" t="s">
        <v>2201</v>
      </c>
      <c r="F220" t="s">
        <v>1612</v>
      </c>
      <c r="I220" t="s">
        <v>1077</v>
      </c>
      <c r="M220" t="s">
        <v>209</v>
      </c>
      <c r="N220" t="s">
        <v>222</v>
      </c>
      <c r="O220" t="s">
        <v>2202</v>
      </c>
      <c r="P220" t="s">
        <v>2203</v>
      </c>
      <c r="Q220" t="str">
        <f>IF($C220="","",IFERROR(VLOOKUP($C220,sources!$A$2:$N$200,2,FALSE()),"?"))</f>
        <v>Photograph</v>
      </c>
      <c r="R220" t="str">
        <f t="shared" si="3"/>
        <v>Image</v>
      </c>
      <c r="S220" t="str">
        <f>IF($C220="","",IFERROR(VLOOKUP($C220,sources!$A$2:$N$200,9,FALSE()),"?"))</f>
        <v>US official</v>
      </c>
    </row>
    <row r="221" spans="1:19" x14ac:dyDescent="0.2">
      <c r="A221" t="s">
        <v>2204</v>
      </c>
      <c r="B221" t="s">
        <v>370</v>
      </c>
      <c r="C221" t="s">
        <v>1260</v>
      </c>
      <c r="D221" t="s">
        <v>1599</v>
      </c>
      <c r="E221" t="s">
        <v>2205</v>
      </c>
      <c r="F221" t="s">
        <v>1612</v>
      </c>
      <c r="I221" t="s">
        <v>1077</v>
      </c>
      <c r="M221" t="s">
        <v>209</v>
      </c>
      <c r="N221" t="s">
        <v>222</v>
      </c>
      <c r="O221" t="s">
        <v>2206</v>
      </c>
      <c r="P221" t="s">
        <v>2207</v>
      </c>
      <c r="Q221" t="str">
        <f>IF($C221="","",IFERROR(VLOOKUP($C221,sources!$A$2:$N$200,2,FALSE()),"?"))</f>
        <v>Photograph</v>
      </c>
      <c r="R221" t="str">
        <f t="shared" si="3"/>
        <v>Image</v>
      </c>
      <c r="S221" t="str">
        <f>IF($C221="","",IFERROR(VLOOKUP($C221,sources!$A$2:$N$200,9,FALSE()),"?"))</f>
        <v>US official</v>
      </c>
    </row>
    <row r="222" spans="1:19" x14ac:dyDescent="0.2">
      <c r="A222" t="s">
        <v>2208</v>
      </c>
      <c r="B222" t="s">
        <v>373</v>
      </c>
      <c r="C222" t="s">
        <v>1260</v>
      </c>
      <c r="D222" t="s">
        <v>1599</v>
      </c>
      <c r="E222" t="s">
        <v>2209</v>
      </c>
      <c r="F222" t="s">
        <v>1612</v>
      </c>
      <c r="I222" t="s">
        <v>1077</v>
      </c>
      <c r="K222" t="s">
        <v>361</v>
      </c>
      <c r="L222" t="s">
        <v>361</v>
      </c>
      <c r="M222" t="s">
        <v>222</v>
      </c>
      <c r="N222" t="s">
        <v>222</v>
      </c>
      <c r="O222" t="s">
        <v>2210</v>
      </c>
      <c r="P222" t="s">
        <v>2211</v>
      </c>
      <c r="Q222" t="str">
        <f>IF($C222="","",IFERROR(VLOOKUP($C222,sources!$A$2:$N$200,2,FALSE()),"?"))</f>
        <v>Photograph</v>
      </c>
      <c r="R222" t="str">
        <f t="shared" si="3"/>
        <v>Image</v>
      </c>
      <c r="S222" t="str">
        <f>IF($C222="","",IFERROR(VLOOKUP($C222,sources!$A$2:$N$200,9,FALSE()),"?"))</f>
        <v>US official</v>
      </c>
    </row>
    <row r="223" spans="1:19" x14ac:dyDescent="0.2">
      <c r="A223" t="s">
        <v>2212</v>
      </c>
      <c r="B223" t="s">
        <v>376</v>
      </c>
      <c r="C223" t="s">
        <v>1260</v>
      </c>
      <c r="D223" t="s">
        <v>1599</v>
      </c>
      <c r="E223" t="s">
        <v>2213</v>
      </c>
      <c r="F223" t="s">
        <v>1612</v>
      </c>
      <c r="I223" t="s">
        <v>1077</v>
      </c>
      <c r="M223" t="s">
        <v>209</v>
      </c>
      <c r="N223" t="s">
        <v>222</v>
      </c>
      <c r="O223" t="s">
        <v>2214</v>
      </c>
      <c r="P223" t="s">
        <v>2215</v>
      </c>
      <c r="Q223" t="str">
        <f>IF($C223="","",IFERROR(VLOOKUP($C223,sources!$A$2:$N$200,2,FALSE()),"?"))</f>
        <v>Photograph</v>
      </c>
      <c r="R223" t="str">
        <f t="shared" si="3"/>
        <v>Image</v>
      </c>
      <c r="S223" t="str">
        <f>IF($C223="","",IFERROR(VLOOKUP($C223,sources!$A$2:$N$200,9,FALSE()),"?"))</f>
        <v>US official</v>
      </c>
    </row>
    <row r="224" spans="1:19" x14ac:dyDescent="0.2">
      <c r="A224" t="s">
        <v>2216</v>
      </c>
      <c r="B224" t="s">
        <v>379</v>
      </c>
      <c r="C224" t="s">
        <v>1260</v>
      </c>
      <c r="D224" t="s">
        <v>1599</v>
      </c>
      <c r="E224" t="s">
        <v>2217</v>
      </c>
      <c r="F224" t="s">
        <v>1612</v>
      </c>
      <c r="I224" t="s">
        <v>1077</v>
      </c>
      <c r="M224" t="s">
        <v>209</v>
      </c>
      <c r="N224" t="s">
        <v>222</v>
      </c>
      <c r="O224" t="s">
        <v>2218</v>
      </c>
      <c r="P224" t="s">
        <v>2219</v>
      </c>
      <c r="Q224" t="str">
        <f>IF($C224="","",IFERROR(VLOOKUP($C224,sources!$A$2:$N$200,2,FALSE()),"?"))</f>
        <v>Photograph</v>
      </c>
      <c r="R224" t="str">
        <f t="shared" si="3"/>
        <v>Image</v>
      </c>
      <c r="S224" t="str">
        <f>IF($C224="","",IFERROR(VLOOKUP($C224,sources!$A$2:$N$200,9,FALSE()),"?"))</f>
        <v>US official</v>
      </c>
    </row>
    <row r="225" spans="1:19" x14ac:dyDescent="0.2">
      <c r="A225" t="s">
        <v>2220</v>
      </c>
      <c r="B225" t="s">
        <v>382</v>
      </c>
      <c r="C225" t="s">
        <v>1260</v>
      </c>
      <c r="D225" t="s">
        <v>1599</v>
      </c>
      <c r="E225" t="s">
        <v>2221</v>
      </c>
      <c r="F225" t="s">
        <v>1612</v>
      </c>
      <c r="I225" t="s">
        <v>1077</v>
      </c>
      <c r="M225" t="s">
        <v>209</v>
      </c>
      <c r="N225" t="s">
        <v>222</v>
      </c>
      <c r="O225" t="s">
        <v>2222</v>
      </c>
      <c r="P225" t="s">
        <v>2223</v>
      </c>
      <c r="Q225" t="str">
        <f>IF($C225="","",IFERROR(VLOOKUP($C225,sources!$A$2:$N$200,2,FALSE()),"?"))</f>
        <v>Photograph</v>
      </c>
      <c r="R225" t="str">
        <f t="shared" si="3"/>
        <v>Image</v>
      </c>
      <c r="S225" t="str">
        <f>IF($C225="","",IFERROR(VLOOKUP($C225,sources!$A$2:$N$200,9,FALSE()),"?"))</f>
        <v>US official</v>
      </c>
    </row>
    <row r="226" spans="1:19" x14ac:dyDescent="0.2">
      <c r="A226" t="s">
        <v>2224</v>
      </c>
      <c r="B226" t="s">
        <v>388</v>
      </c>
      <c r="C226" t="s">
        <v>1260</v>
      </c>
      <c r="D226" t="s">
        <v>1599</v>
      </c>
      <c r="E226" t="s">
        <v>2225</v>
      </c>
      <c r="F226" t="s">
        <v>1612</v>
      </c>
      <c r="I226" t="s">
        <v>1077</v>
      </c>
      <c r="M226" t="s">
        <v>209</v>
      </c>
      <c r="N226" t="s">
        <v>222</v>
      </c>
      <c r="O226" t="s">
        <v>2226</v>
      </c>
      <c r="P226" t="s">
        <v>2227</v>
      </c>
      <c r="Q226" t="str">
        <f>IF($C226="","",IFERROR(VLOOKUP($C226,sources!$A$2:$N$200,2,FALSE()),"?"))</f>
        <v>Photograph</v>
      </c>
      <c r="R226" t="str">
        <f t="shared" si="3"/>
        <v>Image</v>
      </c>
      <c r="S226" t="str">
        <f>IF($C226="","",IFERROR(VLOOKUP($C226,sources!$A$2:$N$200,9,FALSE()),"?"))</f>
        <v>US official</v>
      </c>
    </row>
    <row r="227" spans="1:19" x14ac:dyDescent="0.2">
      <c r="A227" t="s">
        <v>2228</v>
      </c>
      <c r="B227" t="s">
        <v>393</v>
      </c>
      <c r="C227" t="s">
        <v>1260</v>
      </c>
      <c r="D227" t="s">
        <v>1599</v>
      </c>
      <c r="E227" t="s">
        <v>2229</v>
      </c>
      <c r="F227" t="s">
        <v>1612</v>
      </c>
      <c r="I227" t="s">
        <v>1077</v>
      </c>
      <c r="M227" t="s">
        <v>209</v>
      </c>
      <c r="N227" t="s">
        <v>222</v>
      </c>
      <c r="O227" t="s">
        <v>2230</v>
      </c>
      <c r="P227" t="s">
        <v>2231</v>
      </c>
      <c r="Q227" t="str">
        <f>IF($C227="","",IFERROR(VLOOKUP($C227,sources!$A$2:$N$200,2,FALSE()),"?"))</f>
        <v>Photograph</v>
      </c>
      <c r="R227" t="str">
        <f t="shared" si="3"/>
        <v>Image</v>
      </c>
      <c r="S227" t="str">
        <f>IF($C227="","",IFERROR(VLOOKUP($C227,sources!$A$2:$N$200,9,FALSE()),"?"))</f>
        <v>US official</v>
      </c>
    </row>
    <row r="228" spans="1:19" x14ac:dyDescent="0.2">
      <c r="A228" t="s">
        <v>2232</v>
      </c>
      <c r="B228" t="s">
        <v>397</v>
      </c>
      <c r="C228" t="s">
        <v>1260</v>
      </c>
      <c r="D228" t="s">
        <v>1599</v>
      </c>
      <c r="E228" t="s">
        <v>2233</v>
      </c>
      <c r="F228" t="s">
        <v>1612</v>
      </c>
      <c r="I228" t="s">
        <v>1077</v>
      </c>
      <c r="M228" t="s">
        <v>209</v>
      </c>
      <c r="N228" t="s">
        <v>222</v>
      </c>
      <c r="O228" t="s">
        <v>2234</v>
      </c>
      <c r="P228" t="s">
        <v>2235</v>
      </c>
      <c r="Q228" t="str">
        <f>IF($C228="","",IFERROR(VLOOKUP($C228,sources!$A$2:$N$200,2,FALSE()),"?"))</f>
        <v>Photograph</v>
      </c>
      <c r="R228" t="str">
        <f t="shared" si="3"/>
        <v>Image</v>
      </c>
      <c r="S228" t="str">
        <f>IF($C228="","",IFERROR(VLOOKUP($C228,sources!$A$2:$N$200,9,FALSE()),"?"))</f>
        <v>US official</v>
      </c>
    </row>
    <row r="229" spans="1:19" x14ac:dyDescent="0.2">
      <c r="A229" t="s">
        <v>2236</v>
      </c>
      <c r="B229" t="s">
        <v>402</v>
      </c>
      <c r="C229" t="s">
        <v>1260</v>
      </c>
      <c r="D229" t="s">
        <v>1599</v>
      </c>
      <c r="E229" t="s">
        <v>2237</v>
      </c>
      <c r="F229" t="s">
        <v>1612</v>
      </c>
      <c r="I229" t="s">
        <v>1077</v>
      </c>
      <c r="M229" t="s">
        <v>209</v>
      </c>
      <c r="N229" t="s">
        <v>222</v>
      </c>
      <c r="O229" t="s">
        <v>2238</v>
      </c>
      <c r="P229" t="s">
        <v>2239</v>
      </c>
      <c r="Q229" t="str">
        <f>IF($C229="","",IFERROR(VLOOKUP($C229,sources!$A$2:$N$200,2,FALSE()),"?"))</f>
        <v>Photograph</v>
      </c>
      <c r="R229" t="str">
        <f t="shared" si="3"/>
        <v>Image</v>
      </c>
      <c r="S229" t="str">
        <f>IF($C229="","",IFERROR(VLOOKUP($C229,sources!$A$2:$N$200,9,FALSE()),"?"))</f>
        <v>US official</v>
      </c>
    </row>
    <row r="230" spans="1:19" x14ac:dyDescent="0.2">
      <c r="A230" t="s">
        <v>2240</v>
      </c>
      <c r="B230" t="s">
        <v>414</v>
      </c>
      <c r="C230" t="s">
        <v>1260</v>
      </c>
      <c r="D230" t="s">
        <v>1599</v>
      </c>
      <c r="E230" t="s">
        <v>2241</v>
      </c>
      <c r="F230" t="s">
        <v>1612</v>
      </c>
      <c r="I230" t="s">
        <v>1077</v>
      </c>
      <c r="K230" t="s">
        <v>2027</v>
      </c>
      <c r="L230" t="s">
        <v>2027</v>
      </c>
      <c r="M230" t="s">
        <v>222</v>
      </c>
      <c r="N230" t="s">
        <v>222</v>
      </c>
      <c r="O230" t="s">
        <v>2242</v>
      </c>
      <c r="P230" t="s">
        <v>2243</v>
      </c>
      <c r="Q230" t="str">
        <f>IF($C230="","",IFERROR(VLOOKUP($C230,sources!$A$2:$N$200,2,FALSE()),"?"))</f>
        <v>Photograph</v>
      </c>
      <c r="R230" t="str">
        <f t="shared" si="3"/>
        <v>Image</v>
      </c>
      <c r="S230" t="str">
        <f>IF($C230="","",IFERROR(VLOOKUP($C230,sources!$A$2:$N$200,9,FALSE()),"?"))</f>
        <v>US official</v>
      </c>
    </row>
    <row r="231" spans="1:19" x14ac:dyDescent="0.2">
      <c r="A231" t="s">
        <v>2244</v>
      </c>
      <c r="B231" t="s">
        <v>422</v>
      </c>
      <c r="C231" t="s">
        <v>1260</v>
      </c>
      <c r="D231" t="s">
        <v>1599</v>
      </c>
      <c r="E231" t="s">
        <v>2245</v>
      </c>
      <c r="F231" t="s">
        <v>1612</v>
      </c>
      <c r="I231" t="s">
        <v>1077</v>
      </c>
      <c r="K231" t="s">
        <v>361</v>
      </c>
      <c r="L231" t="s">
        <v>361</v>
      </c>
      <c r="M231" t="s">
        <v>222</v>
      </c>
      <c r="N231" t="s">
        <v>222</v>
      </c>
      <c r="O231" t="s">
        <v>2246</v>
      </c>
      <c r="P231" t="s">
        <v>2247</v>
      </c>
      <c r="Q231" t="str">
        <f>IF($C231="","",IFERROR(VLOOKUP($C231,sources!$A$2:$N$200,2,FALSE()),"?"))</f>
        <v>Photograph</v>
      </c>
      <c r="R231" t="str">
        <f t="shared" si="3"/>
        <v>Image</v>
      </c>
      <c r="S231" t="str">
        <f>IF($C231="","",IFERROR(VLOOKUP($C231,sources!$A$2:$N$200,9,FALSE()),"?"))</f>
        <v>US official</v>
      </c>
    </row>
    <row r="232" spans="1:19" x14ac:dyDescent="0.2">
      <c r="A232" t="s">
        <v>2248</v>
      </c>
      <c r="B232" t="s">
        <v>426</v>
      </c>
      <c r="C232" t="s">
        <v>1260</v>
      </c>
      <c r="D232" t="s">
        <v>1599</v>
      </c>
      <c r="E232" t="s">
        <v>2249</v>
      </c>
      <c r="F232" t="s">
        <v>1612</v>
      </c>
      <c r="I232" t="s">
        <v>1077</v>
      </c>
      <c r="K232" t="s">
        <v>1059</v>
      </c>
      <c r="L232" t="s">
        <v>1059</v>
      </c>
      <c r="M232" t="s">
        <v>222</v>
      </c>
      <c r="N232" t="s">
        <v>222</v>
      </c>
      <c r="O232" t="s">
        <v>2250</v>
      </c>
      <c r="P232" t="s">
        <v>2251</v>
      </c>
      <c r="Q232" t="str">
        <f>IF($C232="","",IFERROR(VLOOKUP($C232,sources!$A$2:$N$200,2,FALSE()),"?"))</f>
        <v>Photograph</v>
      </c>
      <c r="R232" t="str">
        <f t="shared" si="3"/>
        <v>Image</v>
      </c>
      <c r="S232" t="str">
        <f>IF($C232="","",IFERROR(VLOOKUP($C232,sources!$A$2:$N$200,9,FALSE()),"?"))</f>
        <v>US official</v>
      </c>
    </row>
    <row r="233" spans="1:19" x14ac:dyDescent="0.2">
      <c r="A233" t="s">
        <v>2252</v>
      </c>
      <c r="B233" t="s">
        <v>430</v>
      </c>
      <c r="C233" t="s">
        <v>1260</v>
      </c>
      <c r="D233" t="s">
        <v>1599</v>
      </c>
      <c r="E233" t="s">
        <v>2253</v>
      </c>
      <c r="F233" t="s">
        <v>1612</v>
      </c>
      <c r="I233" t="s">
        <v>1077</v>
      </c>
      <c r="K233" t="s">
        <v>2254</v>
      </c>
      <c r="L233" t="s">
        <v>2254</v>
      </c>
      <c r="M233" t="s">
        <v>222</v>
      </c>
      <c r="N233" t="s">
        <v>222</v>
      </c>
      <c r="O233" t="s">
        <v>2255</v>
      </c>
      <c r="P233" t="s">
        <v>2256</v>
      </c>
      <c r="Q233" t="str">
        <f>IF($C233="","",IFERROR(VLOOKUP($C233,sources!$A$2:$N$200,2,FALSE()),"?"))</f>
        <v>Photograph</v>
      </c>
      <c r="R233" t="str">
        <f t="shared" si="3"/>
        <v>Image</v>
      </c>
      <c r="S233" t="str">
        <f>IF($C233="","",IFERROR(VLOOKUP($C233,sources!$A$2:$N$200,9,FALSE()),"?"))</f>
        <v>US official</v>
      </c>
    </row>
    <row r="234" spans="1:19" x14ac:dyDescent="0.2">
      <c r="A234" t="s">
        <v>2257</v>
      </c>
      <c r="B234" t="s">
        <v>434</v>
      </c>
      <c r="C234" t="s">
        <v>1260</v>
      </c>
      <c r="D234" t="s">
        <v>1599</v>
      </c>
      <c r="E234" t="s">
        <v>2258</v>
      </c>
      <c r="F234" t="s">
        <v>1612</v>
      </c>
      <c r="I234" t="s">
        <v>1077</v>
      </c>
      <c r="K234" t="s">
        <v>1200</v>
      </c>
      <c r="L234" t="s">
        <v>1200</v>
      </c>
      <c r="M234" t="s">
        <v>222</v>
      </c>
      <c r="N234" t="s">
        <v>222</v>
      </c>
      <c r="O234" t="s">
        <v>2259</v>
      </c>
      <c r="P234" t="s">
        <v>2260</v>
      </c>
      <c r="Q234" t="str">
        <f>IF($C234="","",IFERROR(VLOOKUP($C234,sources!$A$2:$N$200,2,FALSE()),"?"))</f>
        <v>Photograph</v>
      </c>
      <c r="R234" t="str">
        <f t="shared" si="3"/>
        <v>Image</v>
      </c>
      <c r="S234" t="str">
        <f>IF($C234="","",IFERROR(VLOOKUP($C234,sources!$A$2:$N$200,9,FALSE()),"?"))</f>
        <v>US official</v>
      </c>
    </row>
    <row r="235" spans="1:19" x14ac:dyDescent="0.2">
      <c r="A235" t="s">
        <v>2261</v>
      </c>
      <c r="B235" t="s">
        <v>439</v>
      </c>
      <c r="C235" t="s">
        <v>1260</v>
      </c>
      <c r="D235" t="s">
        <v>1599</v>
      </c>
      <c r="E235" t="s">
        <v>2262</v>
      </c>
      <c r="F235" t="s">
        <v>1612</v>
      </c>
      <c r="I235" t="s">
        <v>1077</v>
      </c>
      <c r="K235" t="s">
        <v>2263</v>
      </c>
      <c r="L235" t="s">
        <v>2263</v>
      </c>
      <c r="M235" t="s">
        <v>222</v>
      </c>
      <c r="N235" t="s">
        <v>222</v>
      </c>
      <c r="O235" t="s">
        <v>2264</v>
      </c>
      <c r="P235" t="s">
        <v>2265</v>
      </c>
      <c r="Q235" t="str">
        <f>IF($C235="","",IFERROR(VLOOKUP($C235,sources!$A$2:$N$200,2,FALSE()),"?"))</f>
        <v>Photograph</v>
      </c>
      <c r="R235" t="str">
        <f t="shared" si="3"/>
        <v>Image</v>
      </c>
      <c r="S235" t="str">
        <f>IF($C235="","",IFERROR(VLOOKUP($C235,sources!$A$2:$N$200,9,FALSE()),"?"))</f>
        <v>US official</v>
      </c>
    </row>
    <row r="236" spans="1:19" x14ac:dyDescent="0.2">
      <c r="A236" t="s">
        <v>2266</v>
      </c>
      <c r="B236" t="s">
        <v>443</v>
      </c>
      <c r="C236" t="s">
        <v>1260</v>
      </c>
      <c r="D236" t="s">
        <v>1599</v>
      </c>
      <c r="E236" t="s">
        <v>2267</v>
      </c>
      <c r="F236" t="s">
        <v>1612</v>
      </c>
      <c r="I236" t="s">
        <v>1077</v>
      </c>
      <c r="K236" t="s">
        <v>1200</v>
      </c>
      <c r="L236" t="s">
        <v>1200</v>
      </c>
      <c r="M236" t="s">
        <v>222</v>
      </c>
      <c r="N236" t="s">
        <v>222</v>
      </c>
      <c r="O236" t="s">
        <v>2268</v>
      </c>
      <c r="P236" t="s">
        <v>2269</v>
      </c>
      <c r="Q236" t="str">
        <f>IF($C236="","",IFERROR(VLOOKUP($C236,sources!$A$2:$N$200,2,FALSE()),"?"))</f>
        <v>Photograph</v>
      </c>
      <c r="R236" t="str">
        <f t="shared" si="3"/>
        <v>Image</v>
      </c>
      <c r="S236" t="str">
        <f>IF($C236="","",IFERROR(VLOOKUP($C236,sources!$A$2:$N$200,9,FALSE()),"?"))</f>
        <v>US official</v>
      </c>
    </row>
    <row r="237" spans="1:19" x14ac:dyDescent="0.2">
      <c r="A237" t="s">
        <v>2270</v>
      </c>
      <c r="B237" t="s">
        <v>448</v>
      </c>
      <c r="C237" t="s">
        <v>1260</v>
      </c>
      <c r="D237" t="s">
        <v>1599</v>
      </c>
      <c r="E237" t="s">
        <v>2271</v>
      </c>
      <c r="F237" t="s">
        <v>1612</v>
      </c>
      <c r="I237" t="s">
        <v>1077</v>
      </c>
      <c r="K237" t="s">
        <v>2263</v>
      </c>
      <c r="L237" t="s">
        <v>2263</v>
      </c>
      <c r="M237" t="s">
        <v>222</v>
      </c>
      <c r="N237" t="s">
        <v>222</v>
      </c>
      <c r="O237" t="s">
        <v>2272</v>
      </c>
      <c r="P237" t="s">
        <v>2273</v>
      </c>
      <c r="Q237" t="str">
        <f>IF($C237="","",IFERROR(VLOOKUP($C237,sources!$A$2:$N$200,2,FALSE()),"?"))</f>
        <v>Photograph</v>
      </c>
      <c r="R237" t="str">
        <f t="shared" si="3"/>
        <v>Image</v>
      </c>
      <c r="S237" t="str">
        <f>IF($C237="","",IFERROR(VLOOKUP($C237,sources!$A$2:$N$200,9,FALSE()),"?"))</f>
        <v>US official</v>
      </c>
    </row>
    <row r="238" spans="1:19" x14ac:dyDescent="0.2">
      <c r="A238" t="s">
        <v>2274</v>
      </c>
      <c r="B238" t="s">
        <v>452</v>
      </c>
      <c r="C238" t="s">
        <v>1260</v>
      </c>
      <c r="D238" t="s">
        <v>1599</v>
      </c>
      <c r="E238" t="s">
        <v>2275</v>
      </c>
      <c r="F238" t="s">
        <v>1612</v>
      </c>
      <c r="I238" t="s">
        <v>1077</v>
      </c>
      <c r="M238" t="s">
        <v>209</v>
      </c>
      <c r="N238" t="s">
        <v>222</v>
      </c>
      <c r="O238" t="s">
        <v>2276</v>
      </c>
      <c r="P238" t="s">
        <v>2277</v>
      </c>
      <c r="Q238" t="str">
        <f>IF($C238="","",IFERROR(VLOOKUP($C238,sources!$A$2:$N$200,2,FALSE()),"?"))</f>
        <v>Photograph</v>
      </c>
      <c r="R238" t="str">
        <f t="shared" si="3"/>
        <v>Image</v>
      </c>
      <c r="S238" t="str">
        <f>IF($C238="","",IFERROR(VLOOKUP($C238,sources!$A$2:$N$200,9,FALSE()),"?"))</f>
        <v>US official</v>
      </c>
    </row>
    <row r="239" spans="1:19" x14ac:dyDescent="0.2">
      <c r="A239" t="s">
        <v>2278</v>
      </c>
      <c r="B239" t="s">
        <v>458</v>
      </c>
      <c r="C239" t="s">
        <v>1260</v>
      </c>
      <c r="D239" t="s">
        <v>1599</v>
      </c>
      <c r="E239" t="s">
        <v>2279</v>
      </c>
      <c r="F239" t="s">
        <v>1612</v>
      </c>
      <c r="I239" t="s">
        <v>1077</v>
      </c>
      <c r="M239" t="s">
        <v>209</v>
      </c>
      <c r="N239" t="s">
        <v>222</v>
      </c>
      <c r="O239" t="s">
        <v>2280</v>
      </c>
      <c r="P239" t="s">
        <v>2281</v>
      </c>
      <c r="Q239" t="str">
        <f>IF($C239="","",IFERROR(VLOOKUP($C239,sources!$A$2:$N$200,2,FALSE()),"?"))</f>
        <v>Photograph</v>
      </c>
      <c r="R239" t="str">
        <f t="shared" si="3"/>
        <v>Image</v>
      </c>
      <c r="S239" t="str">
        <f>IF($C239="","",IFERROR(VLOOKUP($C239,sources!$A$2:$N$200,9,FALSE()),"?"))</f>
        <v>US official</v>
      </c>
    </row>
    <row r="240" spans="1:19" x14ac:dyDescent="0.2">
      <c r="A240" t="s">
        <v>2282</v>
      </c>
      <c r="B240" t="s">
        <v>462</v>
      </c>
      <c r="C240" t="s">
        <v>1260</v>
      </c>
      <c r="D240" t="s">
        <v>1599</v>
      </c>
      <c r="E240" t="s">
        <v>2153</v>
      </c>
      <c r="F240" t="s">
        <v>1612</v>
      </c>
      <c r="I240" t="s">
        <v>1077</v>
      </c>
      <c r="K240" t="s">
        <v>302</v>
      </c>
      <c r="L240" t="s">
        <v>302</v>
      </c>
      <c r="M240" t="s">
        <v>222</v>
      </c>
      <c r="N240" t="s">
        <v>222</v>
      </c>
      <c r="O240" t="s">
        <v>2154</v>
      </c>
      <c r="P240" t="s">
        <v>2283</v>
      </c>
      <c r="Q240" t="str">
        <f>IF($C240="","",IFERROR(VLOOKUP($C240,sources!$A$2:$N$200,2,FALSE()),"?"))</f>
        <v>Photograph</v>
      </c>
      <c r="R240" t="str">
        <f t="shared" si="3"/>
        <v>Image</v>
      </c>
      <c r="S240" t="str">
        <f>IF($C240="","",IFERROR(VLOOKUP($C240,sources!$A$2:$N$200,9,FALSE()),"?"))</f>
        <v>US official</v>
      </c>
    </row>
    <row r="241" spans="1:19" x14ac:dyDescent="0.2">
      <c r="A241" t="s">
        <v>2284</v>
      </c>
      <c r="B241" t="s">
        <v>466</v>
      </c>
      <c r="C241" t="s">
        <v>1260</v>
      </c>
      <c r="D241" t="s">
        <v>1599</v>
      </c>
      <c r="E241" t="s">
        <v>2285</v>
      </c>
      <c r="F241" t="s">
        <v>1612</v>
      </c>
      <c r="I241" t="s">
        <v>1077</v>
      </c>
      <c r="M241" t="s">
        <v>209</v>
      </c>
      <c r="N241" t="s">
        <v>222</v>
      </c>
      <c r="O241" t="s">
        <v>2286</v>
      </c>
      <c r="P241" t="s">
        <v>2287</v>
      </c>
      <c r="Q241" t="str">
        <f>IF($C241="","",IFERROR(VLOOKUP($C241,sources!$A$2:$N$200,2,FALSE()),"?"))</f>
        <v>Photograph</v>
      </c>
      <c r="R241" t="str">
        <f t="shared" si="3"/>
        <v>Image</v>
      </c>
      <c r="S241" t="str">
        <f>IF($C241="","",IFERROR(VLOOKUP($C241,sources!$A$2:$N$200,9,FALSE()),"?"))</f>
        <v>US official</v>
      </c>
    </row>
    <row r="242" spans="1:19" x14ac:dyDescent="0.2">
      <c r="A242" t="s">
        <v>2288</v>
      </c>
      <c r="B242" t="s">
        <v>471</v>
      </c>
      <c r="C242" t="s">
        <v>1260</v>
      </c>
      <c r="D242" t="s">
        <v>1599</v>
      </c>
      <c r="E242" t="s">
        <v>2289</v>
      </c>
      <c r="F242" t="s">
        <v>1612</v>
      </c>
      <c r="I242" t="s">
        <v>1077</v>
      </c>
      <c r="K242" t="s">
        <v>2097</v>
      </c>
      <c r="L242" t="s">
        <v>2097</v>
      </c>
      <c r="M242" t="s">
        <v>222</v>
      </c>
      <c r="N242" t="s">
        <v>222</v>
      </c>
      <c r="O242" t="s">
        <v>2290</v>
      </c>
      <c r="P242" t="s">
        <v>2291</v>
      </c>
      <c r="Q242" t="str">
        <f>IF($C242="","",IFERROR(VLOOKUP($C242,sources!$A$2:$N$200,2,FALSE()),"?"))</f>
        <v>Photograph</v>
      </c>
      <c r="R242" t="str">
        <f t="shared" si="3"/>
        <v>Image</v>
      </c>
      <c r="S242" t="str">
        <f>IF($C242="","",IFERROR(VLOOKUP($C242,sources!$A$2:$N$200,9,FALSE()),"?"))</f>
        <v>US official</v>
      </c>
    </row>
    <row r="243" spans="1:19" x14ac:dyDescent="0.2">
      <c r="A243" t="s">
        <v>2292</v>
      </c>
      <c r="B243" t="s">
        <v>475</v>
      </c>
      <c r="C243" t="s">
        <v>1260</v>
      </c>
      <c r="D243" t="s">
        <v>1599</v>
      </c>
      <c r="E243" t="s">
        <v>2293</v>
      </c>
      <c r="F243" t="s">
        <v>1612</v>
      </c>
      <c r="I243" t="s">
        <v>1077</v>
      </c>
      <c r="M243" t="s">
        <v>209</v>
      </c>
      <c r="N243" t="s">
        <v>222</v>
      </c>
      <c r="O243" t="s">
        <v>2294</v>
      </c>
      <c r="P243" t="s">
        <v>2295</v>
      </c>
      <c r="Q243" t="str">
        <f>IF($C243="","",IFERROR(VLOOKUP($C243,sources!$A$2:$N$200,2,FALSE()),"?"))</f>
        <v>Photograph</v>
      </c>
      <c r="R243" t="str">
        <f t="shared" si="3"/>
        <v>Image</v>
      </c>
      <c r="S243" t="str">
        <f>IF($C243="","",IFERROR(VLOOKUP($C243,sources!$A$2:$N$200,9,FALSE()),"?"))</f>
        <v>US official</v>
      </c>
    </row>
    <row r="244" spans="1:19" x14ac:dyDescent="0.2">
      <c r="A244" t="s">
        <v>2296</v>
      </c>
      <c r="B244" t="s">
        <v>480</v>
      </c>
      <c r="C244" t="s">
        <v>1260</v>
      </c>
      <c r="D244" t="s">
        <v>1599</v>
      </c>
      <c r="E244" t="s">
        <v>2297</v>
      </c>
      <c r="F244" t="s">
        <v>1612</v>
      </c>
      <c r="I244" t="s">
        <v>1077</v>
      </c>
      <c r="K244" t="s">
        <v>2298</v>
      </c>
      <c r="L244" t="s">
        <v>2298</v>
      </c>
      <c r="M244" t="s">
        <v>222</v>
      </c>
      <c r="N244" t="s">
        <v>222</v>
      </c>
      <c r="O244" t="s">
        <v>2299</v>
      </c>
      <c r="P244" t="s">
        <v>2300</v>
      </c>
      <c r="Q244" t="str">
        <f>IF($C244="","",IFERROR(VLOOKUP($C244,sources!$A$2:$N$200,2,FALSE()),"?"))</f>
        <v>Photograph</v>
      </c>
      <c r="R244" t="str">
        <f t="shared" si="3"/>
        <v>Image</v>
      </c>
      <c r="S244" t="str">
        <f>IF($C244="","",IFERROR(VLOOKUP($C244,sources!$A$2:$N$200,9,FALSE()),"?"))</f>
        <v>US official</v>
      </c>
    </row>
    <row r="245" spans="1:19" x14ac:dyDescent="0.2">
      <c r="A245" t="s">
        <v>2301</v>
      </c>
      <c r="B245" t="s">
        <v>484</v>
      </c>
      <c r="C245" t="s">
        <v>1260</v>
      </c>
      <c r="D245" t="s">
        <v>1599</v>
      </c>
      <c r="E245" t="s">
        <v>2302</v>
      </c>
      <c r="F245" t="s">
        <v>1612</v>
      </c>
      <c r="I245" t="s">
        <v>1077</v>
      </c>
      <c r="K245" t="s">
        <v>302</v>
      </c>
      <c r="L245" t="s">
        <v>302</v>
      </c>
      <c r="M245" t="s">
        <v>222</v>
      </c>
      <c r="N245" t="s">
        <v>222</v>
      </c>
      <c r="O245" t="s">
        <v>2303</v>
      </c>
      <c r="P245" t="s">
        <v>2304</v>
      </c>
      <c r="Q245" t="str">
        <f>IF($C245="","",IFERROR(VLOOKUP($C245,sources!$A$2:$N$200,2,FALSE()),"?"))</f>
        <v>Photograph</v>
      </c>
      <c r="R245" t="str">
        <f t="shared" si="3"/>
        <v>Image</v>
      </c>
      <c r="S245" t="str">
        <f>IF($C245="","",IFERROR(VLOOKUP($C245,sources!$A$2:$N$200,9,FALSE()),"?"))</f>
        <v>US official</v>
      </c>
    </row>
    <row r="246" spans="1:19" x14ac:dyDescent="0.2">
      <c r="A246" t="s">
        <v>2305</v>
      </c>
      <c r="B246" t="s">
        <v>487</v>
      </c>
      <c r="C246" t="s">
        <v>1260</v>
      </c>
      <c r="D246" t="s">
        <v>1599</v>
      </c>
      <c r="E246" t="s">
        <v>2306</v>
      </c>
      <c r="F246" t="s">
        <v>1612</v>
      </c>
      <c r="I246" t="s">
        <v>1077</v>
      </c>
      <c r="K246" t="s">
        <v>250</v>
      </c>
      <c r="L246" t="s">
        <v>250</v>
      </c>
      <c r="M246" t="s">
        <v>222</v>
      </c>
      <c r="N246" t="s">
        <v>222</v>
      </c>
      <c r="O246" t="s">
        <v>2307</v>
      </c>
      <c r="P246" t="s">
        <v>2308</v>
      </c>
      <c r="Q246" t="str">
        <f>IF($C246="","",IFERROR(VLOOKUP($C246,sources!$A$2:$N$200,2,FALSE()),"?"))</f>
        <v>Photograph</v>
      </c>
      <c r="R246" t="str">
        <f t="shared" si="3"/>
        <v>Image</v>
      </c>
      <c r="S246" t="str">
        <f>IF($C246="","",IFERROR(VLOOKUP($C246,sources!$A$2:$N$200,9,FALSE()),"?"))</f>
        <v>US official</v>
      </c>
    </row>
    <row r="247" spans="1:19" x14ac:dyDescent="0.2">
      <c r="A247" t="s">
        <v>2309</v>
      </c>
      <c r="B247" t="s">
        <v>902</v>
      </c>
      <c r="C247" t="s">
        <v>1260</v>
      </c>
      <c r="D247" t="s">
        <v>1599</v>
      </c>
      <c r="E247" t="s">
        <v>2310</v>
      </c>
      <c r="F247" t="s">
        <v>1612</v>
      </c>
      <c r="I247" t="s">
        <v>1077</v>
      </c>
      <c r="M247" t="s">
        <v>209</v>
      </c>
      <c r="N247" t="s">
        <v>222</v>
      </c>
      <c r="O247" t="s">
        <v>2311</v>
      </c>
      <c r="P247" t="s">
        <v>2312</v>
      </c>
      <c r="Q247" t="str">
        <f>IF($C247="","",IFERROR(VLOOKUP($C247,sources!$A$2:$N$200,2,FALSE()),"?"))</f>
        <v>Photograph</v>
      </c>
      <c r="R247" t="str">
        <f t="shared" si="3"/>
        <v>Image</v>
      </c>
      <c r="S247" t="str">
        <f>IF($C247="","",IFERROR(VLOOKUP($C247,sources!$A$2:$N$200,9,FALSE()),"?"))</f>
        <v>US official</v>
      </c>
    </row>
    <row r="248" spans="1:19" x14ac:dyDescent="0.2">
      <c r="A248" t="s">
        <v>2313</v>
      </c>
      <c r="B248" t="s">
        <v>499</v>
      </c>
      <c r="C248" t="s">
        <v>1260</v>
      </c>
      <c r="D248" t="s">
        <v>1599</v>
      </c>
      <c r="E248" t="s">
        <v>2314</v>
      </c>
      <c r="F248" t="s">
        <v>1612</v>
      </c>
      <c r="I248" t="s">
        <v>1077</v>
      </c>
      <c r="K248" t="s">
        <v>1200</v>
      </c>
      <c r="L248" t="s">
        <v>1200</v>
      </c>
      <c r="M248" t="s">
        <v>222</v>
      </c>
      <c r="N248" t="s">
        <v>222</v>
      </c>
      <c r="O248" t="s">
        <v>2315</v>
      </c>
      <c r="P248" t="s">
        <v>2316</v>
      </c>
      <c r="Q248" t="str">
        <f>IF($C248="","",IFERROR(VLOOKUP($C248,sources!$A$2:$N$200,2,FALSE()),"?"))</f>
        <v>Photograph</v>
      </c>
      <c r="R248" t="str">
        <f t="shared" si="3"/>
        <v>Image</v>
      </c>
      <c r="S248" t="str">
        <f>IF($C248="","",IFERROR(VLOOKUP($C248,sources!$A$2:$N$200,9,FALSE()),"?"))</f>
        <v>US official</v>
      </c>
    </row>
    <row r="249" spans="1:19" x14ac:dyDescent="0.2">
      <c r="A249" t="s">
        <v>2317</v>
      </c>
      <c r="B249" t="s">
        <v>198</v>
      </c>
      <c r="C249" t="s">
        <v>1269</v>
      </c>
      <c r="D249" t="s">
        <v>1599</v>
      </c>
      <c r="E249" t="s">
        <v>2318</v>
      </c>
      <c r="F249" t="s">
        <v>1612</v>
      </c>
      <c r="I249" t="s">
        <v>1077</v>
      </c>
      <c r="M249" t="s">
        <v>228</v>
      </c>
      <c r="N249" t="s">
        <v>222</v>
      </c>
      <c r="O249" t="s">
        <v>2319</v>
      </c>
      <c r="P249" t="s">
        <v>2320</v>
      </c>
      <c r="Q249" t="str">
        <f>IF($C249="","",IFERROR(VLOOKUP($C249,sources!$A$2:$N$200,2,FALSE()),"?"))</f>
        <v>Map</v>
      </c>
      <c r="R249" t="str">
        <f t="shared" si="3"/>
        <v>Map</v>
      </c>
      <c r="S249" t="str">
        <f>IF($C249="","",IFERROR(VLOOKUP($C249,sources!$A$2:$N$200,9,FALSE()),"?"))</f>
        <v>US official</v>
      </c>
    </row>
    <row r="250" spans="1:19" x14ac:dyDescent="0.2">
      <c r="A250" t="s">
        <v>2321</v>
      </c>
      <c r="B250" t="s">
        <v>213</v>
      </c>
      <c r="C250" t="s">
        <v>1269</v>
      </c>
      <c r="D250" t="s">
        <v>1599</v>
      </c>
      <c r="E250" t="s">
        <v>2318</v>
      </c>
      <c r="F250" t="s">
        <v>1612</v>
      </c>
      <c r="I250" t="s">
        <v>1077</v>
      </c>
      <c r="M250" t="s">
        <v>228</v>
      </c>
      <c r="N250" t="s">
        <v>222</v>
      </c>
      <c r="O250" t="s">
        <v>2322</v>
      </c>
      <c r="P250" t="s">
        <v>2323</v>
      </c>
      <c r="Q250" t="str">
        <f>IF($C250="","",IFERROR(VLOOKUP($C250,sources!$A$2:$N$200,2,FALSE()),"?"))</f>
        <v>Map</v>
      </c>
      <c r="R250" t="str">
        <f t="shared" si="3"/>
        <v>Map</v>
      </c>
      <c r="S250" t="str">
        <f>IF($C250="","",IFERROR(VLOOKUP($C250,sources!$A$2:$N$200,9,FALSE()),"?"))</f>
        <v>US official</v>
      </c>
    </row>
    <row r="251" spans="1:19" x14ac:dyDescent="0.2">
      <c r="A251" t="s">
        <v>2324</v>
      </c>
      <c r="B251" t="s">
        <v>218</v>
      </c>
      <c r="C251" t="s">
        <v>1269</v>
      </c>
      <c r="D251" t="s">
        <v>1599</v>
      </c>
      <c r="E251" t="s">
        <v>2318</v>
      </c>
      <c r="F251" t="s">
        <v>1612</v>
      </c>
      <c r="I251" t="s">
        <v>1077</v>
      </c>
      <c r="M251" t="s">
        <v>228</v>
      </c>
      <c r="N251" t="s">
        <v>222</v>
      </c>
      <c r="O251" t="s">
        <v>2325</v>
      </c>
      <c r="P251" t="s">
        <v>2326</v>
      </c>
      <c r="Q251" t="str">
        <f>IF($C251="","",IFERROR(VLOOKUP($C251,sources!$A$2:$N$200,2,FALSE()),"?"))</f>
        <v>Map</v>
      </c>
      <c r="R251" t="str">
        <f t="shared" si="3"/>
        <v>Map</v>
      </c>
      <c r="S251" t="str">
        <f>IF($C251="","",IFERROR(VLOOKUP($C251,sources!$A$2:$N$200,9,FALSE()),"?"))</f>
        <v>US official</v>
      </c>
    </row>
    <row r="252" spans="1:19" x14ac:dyDescent="0.2">
      <c r="A252" t="s">
        <v>2327</v>
      </c>
      <c r="B252" t="s">
        <v>230</v>
      </c>
      <c r="C252" t="s">
        <v>1269</v>
      </c>
      <c r="D252" t="s">
        <v>1599</v>
      </c>
      <c r="E252" t="s">
        <v>2318</v>
      </c>
      <c r="F252" t="s">
        <v>1612</v>
      </c>
      <c r="I252" t="s">
        <v>1077</v>
      </c>
      <c r="M252" t="s">
        <v>228</v>
      </c>
      <c r="N252" t="s">
        <v>222</v>
      </c>
      <c r="O252" t="s">
        <v>2328</v>
      </c>
      <c r="P252" t="s">
        <v>2329</v>
      </c>
      <c r="Q252" t="str">
        <f>IF($C252="","",IFERROR(VLOOKUP($C252,sources!$A$2:$N$200,2,FALSE()),"?"))</f>
        <v>Map</v>
      </c>
      <c r="R252" t="str">
        <f t="shared" si="3"/>
        <v>Map</v>
      </c>
      <c r="S252" t="str">
        <f>IF($C252="","",IFERROR(VLOOKUP($C252,sources!$A$2:$N$200,9,FALSE()),"?"))</f>
        <v>US official</v>
      </c>
    </row>
    <row r="253" spans="1:19" x14ac:dyDescent="0.2">
      <c r="A253" t="s">
        <v>2330</v>
      </c>
      <c r="B253" t="s">
        <v>232</v>
      </c>
      <c r="C253" t="s">
        <v>1269</v>
      </c>
      <c r="D253" t="s">
        <v>1599</v>
      </c>
      <c r="E253" t="s">
        <v>2318</v>
      </c>
      <c r="F253" t="s">
        <v>1612</v>
      </c>
      <c r="I253" t="s">
        <v>1077</v>
      </c>
      <c r="M253" t="s">
        <v>228</v>
      </c>
      <c r="N253" t="s">
        <v>222</v>
      </c>
      <c r="O253" t="s">
        <v>2331</v>
      </c>
      <c r="P253" t="s">
        <v>2332</v>
      </c>
      <c r="Q253" t="str">
        <f>IF($C253="","",IFERROR(VLOOKUP($C253,sources!$A$2:$N$200,2,FALSE()),"?"))</f>
        <v>Map</v>
      </c>
      <c r="R253" t="str">
        <f t="shared" si="3"/>
        <v>Map</v>
      </c>
      <c r="S253" t="str">
        <f>IF($C253="","",IFERROR(VLOOKUP($C253,sources!$A$2:$N$200,9,FALSE()),"?"))</f>
        <v>US official</v>
      </c>
    </row>
    <row r="254" spans="1:19" x14ac:dyDescent="0.2">
      <c r="A254" t="s">
        <v>2333</v>
      </c>
      <c r="B254" t="s">
        <v>238</v>
      </c>
      <c r="C254" t="s">
        <v>1269</v>
      </c>
      <c r="D254" t="s">
        <v>1599</v>
      </c>
      <c r="E254" t="s">
        <v>2318</v>
      </c>
      <c r="F254" t="s">
        <v>1612</v>
      </c>
      <c r="I254" t="s">
        <v>1077</v>
      </c>
      <c r="M254" t="s">
        <v>228</v>
      </c>
      <c r="N254" t="s">
        <v>222</v>
      </c>
      <c r="O254" t="s">
        <v>2334</v>
      </c>
      <c r="P254" t="s">
        <v>2335</v>
      </c>
      <c r="Q254" t="str">
        <f>IF($C254="","",IFERROR(VLOOKUP($C254,sources!$A$2:$N$200,2,FALSE()),"?"))</f>
        <v>Map</v>
      </c>
      <c r="R254" t="str">
        <f t="shared" si="3"/>
        <v>Map</v>
      </c>
      <c r="S254" t="str">
        <f>IF($C254="","",IFERROR(VLOOKUP($C254,sources!$A$2:$N$200,9,FALSE()),"?"))</f>
        <v>US official</v>
      </c>
    </row>
    <row r="255" spans="1:19" x14ac:dyDescent="0.2">
      <c r="A255" t="s">
        <v>2336</v>
      </c>
      <c r="B255" t="s">
        <v>252</v>
      </c>
      <c r="C255" t="s">
        <v>1269</v>
      </c>
      <c r="D255" t="s">
        <v>1599</v>
      </c>
      <c r="E255" t="s">
        <v>2318</v>
      </c>
      <c r="F255" t="s">
        <v>1612</v>
      </c>
      <c r="I255" t="s">
        <v>1077</v>
      </c>
      <c r="M255" t="s">
        <v>228</v>
      </c>
      <c r="N255" t="s">
        <v>222</v>
      </c>
      <c r="O255" t="s">
        <v>2337</v>
      </c>
      <c r="P255" t="s">
        <v>2338</v>
      </c>
      <c r="Q255" t="str">
        <f>IF($C255="","",IFERROR(VLOOKUP($C255,sources!$A$2:$N$200,2,FALSE()),"?"))</f>
        <v>Map</v>
      </c>
      <c r="R255" t="str">
        <f t="shared" si="3"/>
        <v>Map</v>
      </c>
      <c r="S255" t="str">
        <f>IF($C255="","",IFERROR(VLOOKUP($C255,sources!$A$2:$N$200,9,FALSE()),"?"))</f>
        <v>US official</v>
      </c>
    </row>
    <row r="256" spans="1:19" x14ac:dyDescent="0.2">
      <c r="A256" t="s">
        <v>2339</v>
      </c>
      <c r="B256" t="s">
        <v>261</v>
      </c>
      <c r="C256" t="s">
        <v>1269</v>
      </c>
      <c r="D256" t="s">
        <v>1599</v>
      </c>
      <c r="E256" t="s">
        <v>2318</v>
      </c>
      <c r="F256" t="s">
        <v>1612</v>
      </c>
      <c r="I256" t="s">
        <v>1077</v>
      </c>
      <c r="M256" t="s">
        <v>228</v>
      </c>
      <c r="N256" t="s">
        <v>222</v>
      </c>
      <c r="O256" t="s">
        <v>2340</v>
      </c>
      <c r="P256" t="s">
        <v>2341</v>
      </c>
      <c r="Q256" t="str">
        <f>IF($C256="","",IFERROR(VLOOKUP($C256,sources!$A$2:$N$200,2,FALSE()),"?"))</f>
        <v>Map</v>
      </c>
      <c r="R256" t="str">
        <f t="shared" si="3"/>
        <v>Map</v>
      </c>
      <c r="S256" t="str">
        <f>IF($C256="","",IFERROR(VLOOKUP($C256,sources!$A$2:$N$200,9,FALSE()),"?"))</f>
        <v>US official</v>
      </c>
    </row>
    <row r="257" spans="1:19" x14ac:dyDescent="0.2">
      <c r="A257" t="s">
        <v>2342</v>
      </c>
      <c r="B257" t="s">
        <v>266</v>
      </c>
      <c r="C257" t="s">
        <v>1269</v>
      </c>
      <c r="D257" t="s">
        <v>1599</v>
      </c>
      <c r="E257" t="s">
        <v>2318</v>
      </c>
      <c r="F257" t="s">
        <v>1612</v>
      </c>
      <c r="I257" t="s">
        <v>1077</v>
      </c>
      <c r="M257" t="s">
        <v>228</v>
      </c>
      <c r="N257" t="s">
        <v>222</v>
      </c>
      <c r="O257" t="s">
        <v>2343</v>
      </c>
      <c r="P257" t="s">
        <v>2344</v>
      </c>
      <c r="Q257" t="str">
        <f>IF($C257="","",IFERROR(VLOOKUP($C257,sources!$A$2:$N$200,2,FALSE()),"?"))</f>
        <v>Map</v>
      </c>
      <c r="R257" t="str">
        <f t="shared" si="3"/>
        <v>Map</v>
      </c>
      <c r="S257" t="str">
        <f>IF($C257="","",IFERROR(VLOOKUP($C257,sources!$A$2:$N$200,9,FALSE()),"?"))</f>
        <v>US official</v>
      </c>
    </row>
    <row r="258" spans="1:19" x14ac:dyDescent="0.2">
      <c r="A258" t="s">
        <v>2345</v>
      </c>
      <c r="B258" t="s">
        <v>272</v>
      </c>
      <c r="C258" t="s">
        <v>1269</v>
      </c>
      <c r="D258" t="s">
        <v>1599</v>
      </c>
      <c r="E258" t="s">
        <v>2318</v>
      </c>
      <c r="F258" t="s">
        <v>1612</v>
      </c>
      <c r="I258" t="s">
        <v>1077</v>
      </c>
      <c r="M258" t="s">
        <v>228</v>
      </c>
      <c r="N258" t="s">
        <v>222</v>
      </c>
      <c r="O258" t="s">
        <v>2346</v>
      </c>
      <c r="P258" t="s">
        <v>2347</v>
      </c>
      <c r="Q258" t="str">
        <f>IF($C258="","",IFERROR(VLOOKUP($C258,sources!$A$2:$N$200,2,FALSE()),"?"))</f>
        <v>Map</v>
      </c>
      <c r="R258" t="str">
        <f t="shared" ref="R258:R321" si="4">IF($Q258="","",IF($Q258="Map","Map",IF(OR($Q258="Photograph",$Q258="Postcard"),"Image",IF(OR($Q258="Census or roll",$Q258="Report",$Q258="Newspaper",$Q258="Letter",$Q258="Memoir",$Q258="Administrative",$Q258="Web compilation"),"Textual",IF($Q258="Legal claim","Legal/admin",IF($Q258="Secondary","Secondary","Other"))))))</f>
        <v>Map</v>
      </c>
      <c r="S258" t="str">
        <f>IF($C258="","",IFERROR(VLOOKUP($C258,sources!$A$2:$N$200,9,FALSE()),"?"))</f>
        <v>US official</v>
      </c>
    </row>
    <row r="259" spans="1:19" x14ac:dyDescent="0.2">
      <c r="A259" t="s">
        <v>2348</v>
      </c>
      <c r="B259" t="s">
        <v>280</v>
      </c>
      <c r="C259" t="s">
        <v>1269</v>
      </c>
      <c r="D259" t="s">
        <v>1599</v>
      </c>
      <c r="E259" t="s">
        <v>2318</v>
      </c>
      <c r="F259" t="s">
        <v>1612</v>
      </c>
      <c r="I259" t="s">
        <v>1077</v>
      </c>
      <c r="M259" t="s">
        <v>228</v>
      </c>
      <c r="N259" t="s">
        <v>222</v>
      </c>
      <c r="O259" t="s">
        <v>2349</v>
      </c>
      <c r="P259" t="s">
        <v>2350</v>
      </c>
      <c r="Q259" t="str">
        <f>IF($C259="","",IFERROR(VLOOKUP($C259,sources!$A$2:$N$200,2,FALSE()),"?"))</f>
        <v>Map</v>
      </c>
      <c r="R259" t="str">
        <f t="shared" si="4"/>
        <v>Map</v>
      </c>
      <c r="S259" t="str">
        <f>IF($C259="","",IFERROR(VLOOKUP($C259,sources!$A$2:$N$200,9,FALSE()),"?"))</f>
        <v>US official</v>
      </c>
    </row>
    <row r="260" spans="1:19" x14ac:dyDescent="0.2">
      <c r="A260" t="s">
        <v>2351</v>
      </c>
      <c r="B260" t="s">
        <v>284</v>
      </c>
      <c r="C260" t="s">
        <v>1269</v>
      </c>
      <c r="D260" t="s">
        <v>1599</v>
      </c>
      <c r="E260" t="s">
        <v>2318</v>
      </c>
      <c r="F260" t="s">
        <v>1612</v>
      </c>
      <c r="I260" t="s">
        <v>1077</v>
      </c>
      <c r="M260" t="s">
        <v>228</v>
      </c>
      <c r="N260" t="s">
        <v>222</v>
      </c>
      <c r="O260" t="s">
        <v>2352</v>
      </c>
      <c r="P260" t="s">
        <v>2353</v>
      </c>
      <c r="Q260" t="str">
        <f>IF($C260="","",IFERROR(VLOOKUP($C260,sources!$A$2:$N$200,2,FALSE()),"?"))</f>
        <v>Map</v>
      </c>
      <c r="R260" t="str">
        <f t="shared" si="4"/>
        <v>Map</v>
      </c>
      <c r="S260" t="str">
        <f>IF($C260="","",IFERROR(VLOOKUP($C260,sources!$A$2:$N$200,9,FALSE()),"?"))</f>
        <v>US official</v>
      </c>
    </row>
    <row r="261" spans="1:19" x14ac:dyDescent="0.2">
      <c r="A261" t="s">
        <v>2354</v>
      </c>
      <c r="B261" t="s">
        <v>349</v>
      </c>
      <c r="C261" t="s">
        <v>1269</v>
      </c>
      <c r="D261" t="s">
        <v>1599</v>
      </c>
      <c r="E261" t="s">
        <v>2318</v>
      </c>
      <c r="F261" t="s">
        <v>1612</v>
      </c>
      <c r="I261" t="s">
        <v>1077</v>
      </c>
      <c r="M261" t="s">
        <v>228</v>
      </c>
      <c r="N261" t="s">
        <v>222</v>
      </c>
      <c r="O261" t="s">
        <v>2355</v>
      </c>
      <c r="P261" t="s">
        <v>2356</v>
      </c>
      <c r="Q261" t="str">
        <f>IF($C261="","",IFERROR(VLOOKUP($C261,sources!$A$2:$N$200,2,FALSE()),"?"))</f>
        <v>Map</v>
      </c>
      <c r="R261" t="str">
        <f t="shared" si="4"/>
        <v>Map</v>
      </c>
      <c r="S261" t="str">
        <f>IF($C261="","",IFERROR(VLOOKUP($C261,sources!$A$2:$N$200,9,FALSE()),"?"))</f>
        <v>US official</v>
      </c>
    </row>
    <row r="262" spans="1:19" x14ac:dyDescent="0.2">
      <c r="A262" t="s">
        <v>2357</v>
      </c>
      <c r="B262" t="s">
        <v>354</v>
      </c>
      <c r="C262" t="s">
        <v>1269</v>
      </c>
      <c r="D262" t="s">
        <v>1599</v>
      </c>
      <c r="E262" t="s">
        <v>2318</v>
      </c>
      <c r="F262" t="s">
        <v>1612</v>
      </c>
      <c r="I262" t="s">
        <v>1077</v>
      </c>
      <c r="M262" t="s">
        <v>228</v>
      </c>
      <c r="N262" t="s">
        <v>222</v>
      </c>
      <c r="O262" t="s">
        <v>2358</v>
      </c>
      <c r="P262" t="s">
        <v>2359</v>
      </c>
      <c r="Q262" t="str">
        <f>IF($C262="","",IFERROR(VLOOKUP($C262,sources!$A$2:$N$200,2,FALSE()),"?"))</f>
        <v>Map</v>
      </c>
      <c r="R262" t="str">
        <f t="shared" si="4"/>
        <v>Map</v>
      </c>
      <c r="S262" t="str">
        <f>IF($C262="","",IFERROR(VLOOKUP($C262,sources!$A$2:$N$200,9,FALSE()),"?"))</f>
        <v>US official</v>
      </c>
    </row>
    <row r="263" spans="1:19" x14ac:dyDescent="0.2">
      <c r="A263" t="s">
        <v>2360</v>
      </c>
      <c r="B263" t="s">
        <v>359</v>
      </c>
      <c r="C263" t="s">
        <v>1269</v>
      </c>
      <c r="D263" t="s">
        <v>1599</v>
      </c>
      <c r="E263" t="s">
        <v>2318</v>
      </c>
      <c r="F263" t="s">
        <v>1612</v>
      </c>
      <c r="I263" t="s">
        <v>1077</v>
      </c>
      <c r="M263" t="s">
        <v>228</v>
      </c>
      <c r="N263" t="s">
        <v>222</v>
      </c>
      <c r="O263" t="s">
        <v>2361</v>
      </c>
      <c r="P263" t="s">
        <v>2362</v>
      </c>
      <c r="Q263" t="str">
        <f>IF($C263="","",IFERROR(VLOOKUP($C263,sources!$A$2:$N$200,2,FALSE()),"?"))</f>
        <v>Map</v>
      </c>
      <c r="R263" t="str">
        <f t="shared" si="4"/>
        <v>Map</v>
      </c>
      <c r="S263" t="str">
        <f>IF($C263="","",IFERROR(VLOOKUP($C263,sources!$A$2:$N$200,9,FALSE()),"?"))</f>
        <v>US official</v>
      </c>
    </row>
    <row r="264" spans="1:19" x14ac:dyDescent="0.2">
      <c r="A264" t="s">
        <v>2363</v>
      </c>
      <c r="B264" t="s">
        <v>363</v>
      </c>
      <c r="C264" t="s">
        <v>1269</v>
      </c>
      <c r="D264" t="s">
        <v>1599</v>
      </c>
      <c r="E264" t="s">
        <v>2318</v>
      </c>
      <c r="F264" t="s">
        <v>1612</v>
      </c>
      <c r="I264" t="s">
        <v>1077</v>
      </c>
      <c r="M264" t="s">
        <v>228</v>
      </c>
      <c r="N264" t="s">
        <v>222</v>
      </c>
      <c r="O264" t="s">
        <v>2364</v>
      </c>
      <c r="P264" t="s">
        <v>2365</v>
      </c>
      <c r="Q264" t="str">
        <f>IF($C264="","",IFERROR(VLOOKUP($C264,sources!$A$2:$N$200,2,FALSE()),"?"))</f>
        <v>Map</v>
      </c>
      <c r="R264" t="str">
        <f t="shared" si="4"/>
        <v>Map</v>
      </c>
      <c r="S264" t="str">
        <f>IF($C264="","",IFERROR(VLOOKUP($C264,sources!$A$2:$N$200,9,FALSE()),"?"))</f>
        <v>US official</v>
      </c>
    </row>
    <row r="265" spans="1:19" x14ac:dyDescent="0.2">
      <c r="A265" t="s">
        <v>2366</v>
      </c>
      <c r="B265" t="s">
        <v>367</v>
      </c>
      <c r="C265" t="s">
        <v>1269</v>
      </c>
      <c r="D265" t="s">
        <v>1599</v>
      </c>
      <c r="E265" t="s">
        <v>2318</v>
      </c>
      <c r="F265" t="s">
        <v>1612</v>
      </c>
      <c r="I265" t="s">
        <v>1077</v>
      </c>
      <c r="M265" t="s">
        <v>228</v>
      </c>
      <c r="N265" t="s">
        <v>222</v>
      </c>
      <c r="O265" t="s">
        <v>2367</v>
      </c>
      <c r="P265" t="s">
        <v>2368</v>
      </c>
      <c r="Q265" t="str">
        <f>IF($C265="","",IFERROR(VLOOKUP($C265,sources!$A$2:$N$200,2,FALSE()),"?"))</f>
        <v>Map</v>
      </c>
      <c r="R265" t="str">
        <f t="shared" si="4"/>
        <v>Map</v>
      </c>
      <c r="S265" t="str">
        <f>IF($C265="","",IFERROR(VLOOKUP($C265,sources!$A$2:$N$200,9,FALSE()),"?"))</f>
        <v>US official</v>
      </c>
    </row>
    <row r="266" spans="1:19" x14ac:dyDescent="0.2">
      <c r="A266" t="s">
        <v>2369</v>
      </c>
      <c r="B266" t="s">
        <v>370</v>
      </c>
      <c r="C266" t="s">
        <v>1269</v>
      </c>
      <c r="D266" t="s">
        <v>1599</v>
      </c>
      <c r="E266" t="s">
        <v>2318</v>
      </c>
      <c r="F266" t="s">
        <v>1612</v>
      </c>
      <c r="I266" t="s">
        <v>1077</v>
      </c>
      <c r="M266" t="s">
        <v>228</v>
      </c>
      <c r="N266" t="s">
        <v>222</v>
      </c>
      <c r="O266" t="s">
        <v>2370</v>
      </c>
      <c r="P266" t="s">
        <v>2371</v>
      </c>
      <c r="Q266" t="str">
        <f>IF($C266="","",IFERROR(VLOOKUP($C266,sources!$A$2:$N$200,2,FALSE()),"?"))</f>
        <v>Map</v>
      </c>
      <c r="R266" t="str">
        <f t="shared" si="4"/>
        <v>Map</v>
      </c>
      <c r="S266" t="str">
        <f>IF($C266="","",IFERROR(VLOOKUP($C266,sources!$A$2:$N$200,9,FALSE()),"?"))</f>
        <v>US official</v>
      </c>
    </row>
    <row r="267" spans="1:19" x14ac:dyDescent="0.2">
      <c r="A267" t="s">
        <v>2372</v>
      </c>
      <c r="B267" t="s">
        <v>373</v>
      </c>
      <c r="C267" t="s">
        <v>1269</v>
      </c>
      <c r="D267" t="s">
        <v>1599</v>
      </c>
      <c r="E267" t="s">
        <v>2318</v>
      </c>
      <c r="F267" t="s">
        <v>1612</v>
      </c>
      <c r="I267" t="s">
        <v>1077</v>
      </c>
      <c r="M267" t="s">
        <v>228</v>
      </c>
      <c r="N267" t="s">
        <v>222</v>
      </c>
      <c r="O267" t="s">
        <v>2373</v>
      </c>
      <c r="P267" t="s">
        <v>2374</v>
      </c>
      <c r="Q267" t="str">
        <f>IF($C267="","",IFERROR(VLOOKUP($C267,sources!$A$2:$N$200,2,FALSE()),"?"))</f>
        <v>Map</v>
      </c>
      <c r="R267" t="str">
        <f t="shared" si="4"/>
        <v>Map</v>
      </c>
      <c r="S267" t="str">
        <f>IF($C267="","",IFERROR(VLOOKUP($C267,sources!$A$2:$N$200,9,FALSE()),"?"))</f>
        <v>US official</v>
      </c>
    </row>
    <row r="268" spans="1:19" x14ac:dyDescent="0.2">
      <c r="A268" t="s">
        <v>2375</v>
      </c>
      <c r="B268" t="s">
        <v>376</v>
      </c>
      <c r="C268" t="s">
        <v>1269</v>
      </c>
      <c r="D268" t="s">
        <v>1599</v>
      </c>
      <c r="E268" t="s">
        <v>2318</v>
      </c>
      <c r="F268" t="s">
        <v>1612</v>
      </c>
      <c r="I268" t="s">
        <v>1077</v>
      </c>
      <c r="M268" t="s">
        <v>228</v>
      </c>
      <c r="N268" t="s">
        <v>222</v>
      </c>
      <c r="O268" t="s">
        <v>2376</v>
      </c>
      <c r="P268" t="s">
        <v>2377</v>
      </c>
      <c r="Q268" t="str">
        <f>IF($C268="","",IFERROR(VLOOKUP($C268,sources!$A$2:$N$200,2,FALSE()),"?"))</f>
        <v>Map</v>
      </c>
      <c r="R268" t="str">
        <f t="shared" si="4"/>
        <v>Map</v>
      </c>
      <c r="S268" t="str">
        <f>IF($C268="","",IFERROR(VLOOKUP($C268,sources!$A$2:$N$200,9,FALSE()),"?"))</f>
        <v>US official</v>
      </c>
    </row>
    <row r="269" spans="1:19" x14ac:dyDescent="0.2">
      <c r="A269" t="s">
        <v>2378</v>
      </c>
      <c r="B269" t="s">
        <v>379</v>
      </c>
      <c r="C269" t="s">
        <v>1269</v>
      </c>
      <c r="D269" t="s">
        <v>1599</v>
      </c>
      <c r="E269" t="s">
        <v>2318</v>
      </c>
      <c r="F269" t="s">
        <v>1612</v>
      </c>
      <c r="I269" t="s">
        <v>1077</v>
      </c>
      <c r="M269" t="s">
        <v>228</v>
      </c>
      <c r="N269" t="s">
        <v>222</v>
      </c>
      <c r="O269" t="s">
        <v>2379</v>
      </c>
      <c r="P269" t="s">
        <v>2380</v>
      </c>
      <c r="Q269" t="str">
        <f>IF($C269="","",IFERROR(VLOOKUP($C269,sources!$A$2:$N$200,2,FALSE()),"?"))</f>
        <v>Map</v>
      </c>
      <c r="R269" t="str">
        <f t="shared" si="4"/>
        <v>Map</v>
      </c>
      <c r="S269" t="str">
        <f>IF($C269="","",IFERROR(VLOOKUP($C269,sources!$A$2:$N$200,9,FALSE()),"?"))</f>
        <v>US official</v>
      </c>
    </row>
    <row r="270" spans="1:19" x14ac:dyDescent="0.2">
      <c r="A270" t="s">
        <v>2381</v>
      </c>
      <c r="B270" t="s">
        <v>382</v>
      </c>
      <c r="C270" t="s">
        <v>1269</v>
      </c>
      <c r="D270" t="s">
        <v>1599</v>
      </c>
      <c r="E270" t="s">
        <v>2318</v>
      </c>
      <c r="F270" t="s">
        <v>1612</v>
      </c>
      <c r="I270" t="s">
        <v>1077</v>
      </c>
      <c r="M270" t="s">
        <v>228</v>
      </c>
      <c r="N270" t="s">
        <v>222</v>
      </c>
      <c r="O270" t="s">
        <v>2382</v>
      </c>
      <c r="P270" t="s">
        <v>2383</v>
      </c>
      <c r="Q270" t="str">
        <f>IF($C270="","",IFERROR(VLOOKUP($C270,sources!$A$2:$N$200,2,FALSE()),"?"))</f>
        <v>Map</v>
      </c>
      <c r="R270" t="str">
        <f t="shared" si="4"/>
        <v>Map</v>
      </c>
      <c r="S270" t="str">
        <f>IF($C270="","",IFERROR(VLOOKUP($C270,sources!$A$2:$N$200,9,FALSE()),"?"))</f>
        <v>US official</v>
      </c>
    </row>
    <row r="271" spans="1:19" x14ac:dyDescent="0.2">
      <c r="A271" t="s">
        <v>2384</v>
      </c>
      <c r="B271" t="s">
        <v>388</v>
      </c>
      <c r="C271" t="s">
        <v>1269</v>
      </c>
      <c r="D271" t="s">
        <v>1599</v>
      </c>
      <c r="E271" t="s">
        <v>2318</v>
      </c>
      <c r="F271" t="s">
        <v>1612</v>
      </c>
      <c r="I271" t="s">
        <v>1077</v>
      </c>
      <c r="M271" t="s">
        <v>228</v>
      </c>
      <c r="N271" t="s">
        <v>222</v>
      </c>
      <c r="O271" t="s">
        <v>2385</v>
      </c>
      <c r="P271" t="s">
        <v>2386</v>
      </c>
      <c r="Q271" t="str">
        <f>IF($C271="","",IFERROR(VLOOKUP($C271,sources!$A$2:$N$200,2,FALSE()),"?"))</f>
        <v>Map</v>
      </c>
      <c r="R271" t="str">
        <f t="shared" si="4"/>
        <v>Map</v>
      </c>
      <c r="S271" t="str">
        <f>IF($C271="","",IFERROR(VLOOKUP($C271,sources!$A$2:$N$200,9,FALSE()),"?"))</f>
        <v>US official</v>
      </c>
    </row>
    <row r="272" spans="1:19" x14ac:dyDescent="0.2">
      <c r="A272" t="s">
        <v>2387</v>
      </c>
      <c r="B272" t="s">
        <v>393</v>
      </c>
      <c r="C272" t="s">
        <v>1269</v>
      </c>
      <c r="D272" t="s">
        <v>1599</v>
      </c>
      <c r="E272" t="s">
        <v>2318</v>
      </c>
      <c r="F272" t="s">
        <v>1612</v>
      </c>
      <c r="I272" t="s">
        <v>1077</v>
      </c>
      <c r="M272" t="s">
        <v>228</v>
      </c>
      <c r="N272" t="s">
        <v>222</v>
      </c>
      <c r="O272" t="s">
        <v>2388</v>
      </c>
      <c r="P272" t="s">
        <v>2389</v>
      </c>
      <c r="Q272" t="str">
        <f>IF($C272="","",IFERROR(VLOOKUP($C272,sources!$A$2:$N$200,2,FALSE()),"?"))</f>
        <v>Map</v>
      </c>
      <c r="R272" t="str">
        <f t="shared" si="4"/>
        <v>Map</v>
      </c>
      <c r="S272" t="str">
        <f>IF($C272="","",IFERROR(VLOOKUP($C272,sources!$A$2:$N$200,9,FALSE()),"?"))</f>
        <v>US official</v>
      </c>
    </row>
    <row r="273" spans="1:19" x14ac:dyDescent="0.2">
      <c r="A273" t="s">
        <v>2390</v>
      </c>
      <c r="B273" t="s">
        <v>397</v>
      </c>
      <c r="C273" t="s">
        <v>1269</v>
      </c>
      <c r="D273" t="s">
        <v>1599</v>
      </c>
      <c r="E273" t="s">
        <v>2318</v>
      </c>
      <c r="F273" t="s">
        <v>1612</v>
      </c>
      <c r="I273" t="s">
        <v>1077</v>
      </c>
      <c r="M273" t="s">
        <v>228</v>
      </c>
      <c r="N273" t="s">
        <v>222</v>
      </c>
      <c r="O273" t="s">
        <v>2391</v>
      </c>
      <c r="P273" t="s">
        <v>2392</v>
      </c>
      <c r="Q273" t="str">
        <f>IF($C273="","",IFERROR(VLOOKUP($C273,sources!$A$2:$N$200,2,FALSE()),"?"))</f>
        <v>Map</v>
      </c>
      <c r="R273" t="str">
        <f t="shared" si="4"/>
        <v>Map</v>
      </c>
      <c r="S273" t="str">
        <f>IF($C273="","",IFERROR(VLOOKUP($C273,sources!$A$2:$N$200,9,FALSE()),"?"))</f>
        <v>US official</v>
      </c>
    </row>
    <row r="274" spans="1:19" x14ac:dyDescent="0.2">
      <c r="A274" t="s">
        <v>2393</v>
      </c>
      <c r="B274" t="s">
        <v>402</v>
      </c>
      <c r="C274" t="s">
        <v>1269</v>
      </c>
      <c r="D274" t="s">
        <v>1599</v>
      </c>
      <c r="E274" t="s">
        <v>2318</v>
      </c>
      <c r="F274" t="s">
        <v>1612</v>
      </c>
      <c r="I274" t="s">
        <v>1077</v>
      </c>
      <c r="M274" t="s">
        <v>228</v>
      </c>
      <c r="N274" t="s">
        <v>222</v>
      </c>
      <c r="O274" t="s">
        <v>2394</v>
      </c>
      <c r="P274" t="s">
        <v>2395</v>
      </c>
      <c r="Q274" t="str">
        <f>IF($C274="","",IFERROR(VLOOKUP($C274,sources!$A$2:$N$200,2,FALSE()),"?"))</f>
        <v>Map</v>
      </c>
      <c r="R274" t="str">
        <f t="shared" si="4"/>
        <v>Map</v>
      </c>
      <c r="S274" t="str">
        <f>IF($C274="","",IFERROR(VLOOKUP($C274,sources!$A$2:$N$200,9,FALSE()),"?"))</f>
        <v>US official</v>
      </c>
    </row>
    <row r="275" spans="1:19" x14ac:dyDescent="0.2">
      <c r="A275" t="s">
        <v>2396</v>
      </c>
      <c r="B275" t="s">
        <v>405</v>
      </c>
      <c r="C275" t="s">
        <v>1269</v>
      </c>
      <c r="D275" t="s">
        <v>1599</v>
      </c>
      <c r="E275" t="s">
        <v>2318</v>
      </c>
      <c r="F275" t="s">
        <v>1612</v>
      </c>
      <c r="I275" t="s">
        <v>1077</v>
      </c>
      <c r="M275" t="s">
        <v>228</v>
      </c>
      <c r="N275" t="s">
        <v>222</v>
      </c>
      <c r="O275" t="s">
        <v>2397</v>
      </c>
      <c r="P275" t="s">
        <v>2398</v>
      </c>
      <c r="Q275" t="str">
        <f>IF($C275="","",IFERROR(VLOOKUP($C275,sources!$A$2:$N$200,2,FALSE()),"?"))</f>
        <v>Map</v>
      </c>
      <c r="R275" t="str">
        <f t="shared" si="4"/>
        <v>Map</v>
      </c>
      <c r="S275" t="str">
        <f>IF($C275="","",IFERROR(VLOOKUP($C275,sources!$A$2:$N$200,9,FALSE()),"?"))</f>
        <v>US official</v>
      </c>
    </row>
    <row r="276" spans="1:19" x14ac:dyDescent="0.2">
      <c r="A276" t="s">
        <v>2399</v>
      </c>
      <c r="B276" t="s">
        <v>408</v>
      </c>
      <c r="C276" t="s">
        <v>1269</v>
      </c>
      <c r="D276" t="s">
        <v>1599</v>
      </c>
      <c r="E276" t="s">
        <v>2318</v>
      </c>
      <c r="F276" t="s">
        <v>1612</v>
      </c>
      <c r="I276" t="s">
        <v>1077</v>
      </c>
      <c r="M276" t="s">
        <v>228</v>
      </c>
      <c r="N276" t="s">
        <v>222</v>
      </c>
      <c r="O276" t="s">
        <v>2400</v>
      </c>
      <c r="P276" t="s">
        <v>2395</v>
      </c>
      <c r="Q276" t="str">
        <f>IF($C276="","",IFERROR(VLOOKUP($C276,sources!$A$2:$N$200,2,FALSE()),"?"))</f>
        <v>Map</v>
      </c>
      <c r="R276" t="str">
        <f t="shared" si="4"/>
        <v>Map</v>
      </c>
      <c r="S276" t="str">
        <f>IF($C276="","",IFERROR(VLOOKUP($C276,sources!$A$2:$N$200,9,FALSE()),"?"))</f>
        <v>US official</v>
      </c>
    </row>
    <row r="277" spans="1:19" x14ac:dyDescent="0.2">
      <c r="A277" t="s">
        <v>2401</v>
      </c>
      <c r="B277" t="s">
        <v>414</v>
      </c>
      <c r="C277" t="s">
        <v>1269</v>
      </c>
      <c r="D277" t="s">
        <v>1599</v>
      </c>
      <c r="E277" t="s">
        <v>2318</v>
      </c>
      <c r="F277" t="s">
        <v>1612</v>
      </c>
      <c r="I277" t="s">
        <v>1077</v>
      </c>
      <c r="M277" t="s">
        <v>228</v>
      </c>
      <c r="N277" t="s">
        <v>222</v>
      </c>
      <c r="O277" t="s">
        <v>2402</v>
      </c>
      <c r="P277" t="s">
        <v>2403</v>
      </c>
      <c r="Q277" t="str">
        <f>IF($C277="","",IFERROR(VLOOKUP($C277,sources!$A$2:$N$200,2,FALSE()),"?"))</f>
        <v>Map</v>
      </c>
      <c r="R277" t="str">
        <f t="shared" si="4"/>
        <v>Map</v>
      </c>
      <c r="S277" t="str">
        <f>IF($C277="","",IFERROR(VLOOKUP($C277,sources!$A$2:$N$200,9,FALSE()),"?"))</f>
        <v>US official</v>
      </c>
    </row>
    <row r="278" spans="1:19" x14ac:dyDescent="0.2">
      <c r="A278" t="s">
        <v>2404</v>
      </c>
      <c r="B278" t="s">
        <v>426</v>
      </c>
      <c r="C278" t="s">
        <v>1269</v>
      </c>
      <c r="D278" t="s">
        <v>1599</v>
      </c>
      <c r="E278" t="s">
        <v>2318</v>
      </c>
      <c r="F278" t="s">
        <v>1612</v>
      </c>
      <c r="I278" t="s">
        <v>1077</v>
      </c>
      <c r="M278" t="s">
        <v>228</v>
      </c>
      <c r="N278" t="s">
        <v>222</v>
      </c>
      <c r="O278" t="s">
        <v>2405</v>
      </c>
      <c r="P278" t="s">
        <v>2395</v>
      </c>
      <c r="Q278" t="str">
        <f>IF($C278="","",IFERROR(VLOOKUP($C278,sources!$A$2:$N$200,2,FALSE()),"?"))</f>
        <v>Map</v>
      </c>
      <c r="R278" t="str">
        <f t="shared" si="4"/>
        <v>Map</v>
      </c>
      <c r="S278" t="str">
        <f>IF($C278="","",IFERROR(VLOOKUP($C278,sources!$A$2:$N$200,9,FALSE()),"?"))</f>
        <v>US official</v>
      </c>
    </row>
    <row r="279" spans="1:19" x14ac:dyDescent="0.2">
      <c r="A279" t="s">
        <v>2406</v>
      </c>
      <c r="B279" t="s">
        <v>434</v>
      </c>
      <c r="C279" t="s">
        <v>1269</v>
      </c>
      <c r="D279" t="s">
        <v>1599</v>
      </c>
      <c r="E279" t="s">
        <v>2318</v>
      </c>
      <c r="F279" t="s">
        <v>1612</v>
      </c>
      <c r="I279" t="s">
        <v>1077</v>
      </c>
      <c r="M279" t="s">
        <v>228</v>
      </c>
      <c r="N279" t="s">
        <v>222</v>
      </c>
      <c r="O279" t="s">
        <v>2407</v>
      </c>
      <c r="P279" t="s">
        <v>2408</v>
      </c>
      <c r="Q279" t="str">
        <f>IF($C279="","",IFERROR(VLOOKUP($C279,sources!$A$2:$N$200,2,FALSE()),"?"))</f>
        <v>Map</v>
      </c>
      <c r="R279" t="str">
        <f t="shared" si="4"/>
        <v>Map</v>
      </c>
      <c r="S279" t="str">
        <f>IF($C279="","",IFERROR(VLOOKUP($C279,sources!$A$2:$N$200,9,FALSE()),"?"))</f>
        <v>US official</v>
      </c>
    </row>
    <row r="280" spans="1:19" x14ac:dyDescent="0.2">
      <c r="A280" t="s">
        <v>2409</v>
      </c>
      <c r="B280" t="s">
        <v>439</v>
      </c>
      <c r="C280" t="s">
        <v>1269</v>
      </c>
      <c r="D280" t="s">
        <v>1599</v>
      </c>
      <c r="E280" t="s">
        <v>2318</v>
      </c>
      <c r="F280" t="s">
        <v>1612</v>
      </c>
      <c r="I280" t="s">
        <v>1077</v>
      </c>
      <c r="M280" t="s">
        <v>228</v>
      </c>
      <c r="N280" t="s">
        <v>222</v>
      </c>
      <c r="O280" t="s">
        <v>2410</v>
      </c>
      <c r="P280" t="s">
        <v>2411</v>
      </c>
      <c r="Q280" t="str">
        <f>IF($C280="","",IFERROR(VLOOKUP($C280,sources!$A$2:$N$200,2,FALSE()),"?"))</f>
        <v>Map</v>
      </c>
      <c r="R280" t="str">
        <f t="shared" si="4"/>
        <v>Map</v>
      </c>
      <c r="S280" t="str">
        <f>IF($C280="","",IFERROR(VLOOKUP($C280,sources!$A$2:$N$200,9,FALSE()),"?"))</f>
        <v>US official</v>
      </c>
    </row>
    <row r="281" spans="1:19" x14ac:dyDescent="0.2">
      <c r="A281" t="s">
        <v>2412</v>
      </c>
      <c r="B281" t="s">
        <v>448</v>
      </c>
      <c r="C281" t="s">
        <v>1269</v>
      </c>
      <c r="D281" t="s">
        <v>1599</v>
      </c>
      <c r="E281" t="s">
        <v>2318</v>
      </c>
      <c r="F281" t="s">
        <v>1612</v>
      </c>
      <c r="I281" t="s">
        <v>1077</v>
      </c>
      <c r="M281" t="s">
        <v>228</v>
      </c>
      <c r="N281" t="s">
        <v>222</v>
      </c>
      <c r="O281" t="s">
        <v>2413</v>
      </c>
      <c r="P281" t="s">
        <v>2414</v>
      </c>
      <c r="Q281" t="str">
        <f>IF($C281="","",IFERROR(VLOOKUP($C281,sources!$A$2:$N$200,2,FALSE()),"?"))</f>
        <v>Map</v>
      </c>
      <c r="R281" t="str">
        <f t="shared" si="4"/>
        <v>Map</v>
      </c>
      <c r="S281" t="str">
        <f>IF($C281="","",IFERROR(VLOOKUP($C281,sources!$A$2:$N$200,9,FALSE()),"?"))</f>
        <v>US official</v>
      </c>
    </row>
    <row r="282" spans="1:19" x14ac:dyDescent="0.2">
      <c r="A282" t="s">
        <v>2415</v>
      </c>
      <c r="B282" t="s">
        <v>452</v>
      </c>
      <c r="C282" t="s">
        <v>1269</v>
      </c>
      <c r="D282" t="s">
        <v>1599</v>
      </c>
      <c r="E282" t="s">
        <v>2318</v>
      </c>
      <c r="F282" t="s">
        <v>1612</v>
      </c>
      <c r="I282" t="s">
        <v>1077</v>
      </c>
      <c r="M282" t="s">
        <v>228</v>
      </c>
      <c r="N282" t="s">
        <v>222</v>
      </c>
      <c r="O282" t="s">
        <v>2416</v>
      </c>
      <c r="P282" t="s">
        <v>2395</v>
      </c>
      <c r="Q282" t="str">
        <f>IF($C282="","",IFERROR(VLOOKUP($C282,sources!$A$2:$N$200,2,FALSE()),"?"))</f>
        <v>Map</v>
      </c>
      <c r="R282" t="str">
        <f t="shared" si="4"/>
        <v>Map</v>
      </c>
      <c r="S282" t="str">
        <f>IF($C282="","",IFERROR(VLOOKUP($C282,sources!$A$2:$N$200,9,FALSE()),"?"))</f>
        <v>US official</v>
      </c>
    </row>
    <row r="283" spans="1:19" x14ac:dyDescent="0.2">
      <c r="A283" t="s">
        <v>2417</v>
      </c>
      <c r="B283" t="s">
        <v>455</v>
      </c>
      <c r="C283" t="s">
        <v>1269</v>
      </c>
      <c r="D283" t="s">
        <v>1599</v>
      </c>
      <c r="E283" t="s">
        <v>2318</v>
      </c>
      <c r="F283" t="s">
        <v>1612</v>
      </c>
      <c r="I283" t="s">
        <v>1077</v>
      </c>
      <c r="M283" t="s">
        <v>228</v>
      </c>
      <c r="N283" t="s">
        <v>222</v>
      </c>
      <c r="O283" t="s">
        <v>2418</v>
      </c>
      <c r="P283" t="s">
        <v>2419</v>
      </c>
      <c r="Q283" t="str">
        <f>IF($C283="","",IFERROR(VLOOKUP($C283,sources!$A$2:$N$200,2,FALSE()),"?"))</f>
        <v>Map</v>
      </c>
      <c r="R283" t="str">
        <f t="shared" si="4"/>
        <v>Map</v>
      </c>
      <c r="S283" t="str">
        <f>IF($C283="","",IFERROR(VLOOKUP($C283,sources!$A$2:$N$200,9,FALSE()),"?"))</f>
        <v>US official</v>
      </c>
    </row>
    <row r="284" spans="1:19" x14ac:dyDescent="0.2">
      <c r="A284" t="s">
        <v>2420</v>
      </c>
      <c r="B284" t="s">
        <v>462</v>
      </c>
      <c r="C284" t="s">
        <v>1269</v>
      </c>
      <c r="D284" t="s">
        <v>1599</v>
      </c>
      <c r="E284" t="s">
        <v>2318</v>
      </c>
      <c r="F284" t="s">
        <v>1612</v>
      </c>
      <c r="I284" t="s">
        <v>1077</v>
      </c>
      <c r="M284" t="s">
        <v>228</v>
      </c>
      <c r="N284" t="s">
        <v>222</v>
      </c>
      <c r="O284" t="s">
        <v>2421</v>
      </c>
      <c r="P284" t="s">
        <v>2422</v>
      </c>
      <c r="Q284" t="str">
        <f>IF($C284="","",IFERROR(VLOOKUP($C284,sources!$A$2:$N$200,2,FALSE()),"?"))</f>
        <v>Map</v>
      </c>
      <c r="R284" t="str">
        <f t="shared" si="4"/>
        <v>Map</v>
      </c>
      <c r="S284" t="str">
        <f>IF($C284="","",IFERROR(VLOOKUP($C284,sources!$A$2:$N$200,9,FALSE()),"?"))</f>
        <v>US official</v>
      </c>
    </row>
    <row r="285" spans="1:19" x14ac:dyDescent="0.2">
      <c r="A285" t="s">
        <v>2423</v>
      </c>
      <c r="B285" t="s">
        <v>484</v>
      </c>
      <c r="C285" t="s">
        <v>1269</v>
      </c>
      <c r="D285" t="s">
        <v>1599</v>
      </c>
      <c r="E285" t="s">
        <v>2318</v>
      </c>
      <c r="F285" t="s">
        <v>1612</v>
      </c>
      <c r="I285" t="s">
        <v>1077</v>
      </c>
      <c r="M285" t="s">
        <v>228</v>
      </c>
      <c r="N285" t="s">
        <v>222</v>
      </c>
      <c r="O285" t="s">
        <v>2424</v>
      </c>
      <c r="P285" t="s">
        <v>2425</v>
      </c>
      <c r="Q285" t="str">
        <f>IF($C285="","",IFERROR(VLOOKUP($C285,sources!$A$2:$N$200,2,FALSE()),"?"))</f>
        <v>Map</v>
      </c>
      <c r="R285" t="str">
        <f t="shared" si="4"/>
        <v>Map</v>
      </c>
      <c r="S285" t="str">
        <f>IF($C285="","",IFERROR(VLOOKUP($C285,sources!$A$2:$N$200,9,FALSE()),"?"))</f>
        <v>US official</v>
      </c>
    </row>
    <row r="286" spans="1:19" x14ac:dyDescent="0.2">
      <c r="A286" t="s">
        <v>2426</v>
      </c>
      <c r="B286" t="s">
        <v>487</v>
      </c>
      <c r="C286" t="s">
        <v>1269</v>
      </c>
      <c r="D286" t="s">
        <v>1599</v>
      </c>
      <c r="E286" t="s">
        <v>2318</v>
      </c>
      <c r="F286" t="s">
        <v>1612</v>
      </c>
      <c r="I286" t="s">
        <v>1077</v>
      </c>
      <c r="M286" t="s">
        <v>228</v>
      </c>
      <c r="N286" t="s">
        <v>222</v>
      </c>
      <c r="O286" t="s">
        <v>2427</v>
      </c>
      <c r="P286" t="s">
        <v>2428</v>
      </c>
      <c r="Q286" t="str">
        <f>IF($C286="","",IFERROR(VLOOKUP($C286,sources!$A$2:$N$200,2,FALSE()),"?"))</f>
        <v>Map</v>
      </c>
      <c r="R286" t="str">
        <f t="shared" si="4"/>
        <v>Map</v>
      </c>
      <c r="S286" t="str">
        <f>IF($C286="","",IFERROR(VLOOKUP($C286,sources!$A$2:$N$200,9,FALSE()),"?"))</f>
        <v>US official</v>
      </c>
    </row>
    <row r="287" spans="1:19" x14ac:dyDescent="0.2">
      <c r="A287" t="s">
        <v>2429</v>
      </c>
      <c r="B287" t="s">
        <v>499</v>
      </c>
      <c r="C287" t="s">
        <v>1269</v>
      </c>
      <c r="D287" t="s">
        <v>1599</v>
      </c>
      <c r="E287" t="s">
        <v>2318</v>
      </c>
      <c r="F287" t="s">
        <v>1612</v>
      </c>
      <c r="I287" t="s">
        <v>1077</v>
      </c>
      <c r="M287" t="s">
        <v>228</v>
      </c>
      <c r="N287" t="s">
        <v>222</v>
      </c>
      <c r="O287" t="s">
        <v>2430</v>
      </c>
      <c r="P287" t="s">
        <v>2431</v>
      </c>
      <c r="Q287" t="str">
        <f>IF($C287="","",IFERROR(VLOOKUP($C287,sources!$A$2:$N$200,2,FALSE()),"?"))</f>
        <v>Map</v>
      </c>
      <c r="R287" t="str">
        <f t="shared" si="4"/>
        <v>Map</v>
      </c>
      <c r="S287" t="str">
        <f>IF($C287="","",IFERROR(VLOOKUP($C287,sources!$A$2:$N$200,9,FALSE()),"?"))</f>
        <v>US official</v>
      </c>
    </row>
    <row r="288" spans="1:19" x14ac:dyDescent="0.2">
      <c r="A288" t="s">
        <v>2432</v>
      </c>
      <c r="B288" t="s">
        <v>503</v>
      </c>
      <c r="C288" t="s">
        <v>1269</v>
      </c>
      <c r="D288" t="s">
        <v>1599</v>
      </c>
      <c r="E288" t="s">
        <v>2318</v>
      </c>
      <c r="F288" t="s">
        <v>1612</v>
      </c>
      <c r="I288" t="s">
        <v>1077</v>
      </c>
      <c r="M288" t="s">
        <v>228</v>
      </c>
      <c r="N288" t="s">
        <v>222</v>
      </c>
      <c r="O288" t="s">
        <v>2433</v>
      </c>
      <c r="P288" t="s">
        <v>2434</v>
      </c>
      <c r="Q288" t="str">
        <f>IF($C288="","",IFERROR(VLOOKUP($C288,sources!$A$2:$N$200,2,FALSE()),"?"))</f>
        <v>Map</v>
      </c>
      <c r="R288" t="str">
        <f t="shared" si="4"/>
        <v>Map</v>
      </c>
      <c r="S288" t="str">
        <f>IF($C288="","",IFERROR(VLOOKUP($C288,sources!$A$2:$N$200,9,FALSE()),"?"))</f>
        <v>US official</v>
      </c>
    </row>
    <row r="289" spans="1:19" x14ac:dyDescent="0.2">
      <c r="A289" t="s">
        <v>2435</v>
      </c>
      <c r="B289" t="s">
        <v>509</v>
      </c>
      <c r="C289" t="s">
        <v>1269</v>
      </c>
      <c r="D289" t="s">
        <v>1599</v>
      </c>
      <c r="E289" t="s">
        <v>2318</v>
      </c>
      <c r="F289" t="s">
        <v>1612</v>
      </c>
      <c r="I289" t="s">
        <v>1077</v>
      </c>
      <c r="M289" t="s">
        <v>228</v>
      </c>
      <c r="N289" t="s">
        <v>222</v>
      </c>
      <c r="O289" t="s">
        <v>2436</v>
      </c>
      <c r="P289" t="s">
        <v>2437</v>
      </c>
      <c r="Q289" t="str">
        <f>IF($C289="","",IFERROR(VLOOKUP($C289,sources!$A$2:$N$200,2,FALSE()),"?"))</f>
        <v>Map</v>
      </c>
      <c r="R289" t="str">
        <f t="shared" si="4"/>
        <v>Map</v>
      </c>
      <c r="S289" t="str">
        <f>IF($C289="","",IFERROR(VLOOKUP($C289,sources!$A$2:$N$200,9,FALSE()),"?"))</f>
        <v>US official</v>
      </c>
    </row>
    <row r="290" spans="1:19" x14ac:dyDescent="0.2">
      <c r="A290" t="s">
        <v>2438</v>
      </c>
      <c r="B290" t="s">
        <v>514</v>
      </c>
      <c r="C290" t="s">
        <v>1269</v>
      </c>
      <c r="D290" t="s">
        <v>1599</v>
      </c>
      <c r="E290" t="s">
        <v>2318</v>
      </c>
      <c r="F290" t="s">
        <v>1612</v>
      </c>
      <c r="I290" t="s">
        <v>1077</v>
      </c>
      <c r="M290" t="s">
        <v>228</v>
      </c>
      <c r="N290" t="s">
        <v>222</v>
      </c>
      <c r="O290" t="s">
        <v>2439</v>
      </c>
      <c r="P290" t="s">
        <v>2440</v>
      </c>
      <c r="Q290" t="str">
        <f>IF($C290="","",IFERROR(VLOOKUP($C290,sources!$A$2:$N$200,2,FALSE()),"?"))</f>
        <v>Map</v>
      </c>
      <c r="R290" t="str">
        <f t="shared" si="4"/>
        <v>Map</v>
      </c>
      <c r="S290" t="str">
        <f>IF($C290="","",IFERROR(VLOOKUP($C290,sources!$A$2:$N$200,9,FALSE()),"?"))</f>
        <v>US official</v>
      </c>
    </row>
    <row r="291" spans="1:19" x14ac:dyDescent="0.2">
      <c r="A291" t="s">
        <v>2441</v>
      </c>
      <c r="B291" t="s">
        <v>517</v>
      </c>
      <c r="C291" t="s">
        <v>1269</v>
      </c>
      <c r="D291" t="s">
        <v>1599</v>
      </c>
      <c r="E291" t="s">
        <v>2318</v>
      </c>
      <c r="F291" t="s">
        <v>1612</v>
      </c>
      <c r="I291" t="s">
        <v>1077</v>
      </c>
      <c r="M291" t="s">
        <v>228</v>
      </c>
      <c r="N291" t="s">
        <v>222</v>
      </c>
      <c r="O291" t="s">
        <v>2442</v>
      </c>
      <c r="P291" t="s">
        <v>2443</v>
      </c>
      <c r="Q291" t="str">
        <f>IF($C291="","",IFERROR(VLOOKUP($C291,sources!$A$2:$N$200,2,FALSE()),"?"))</f>
        <v>Map</v>
      </c>
      <c r="R291" t="str">
        <f t="shared" si="4"/>
        <v>Map</v>
      </c>
      <c r="S291" t="str">
        <f>IF($C291="","",IFERROR(VLOOKUP($C291,sources!$A$2:$N$200,9,FALSE()),"?"))</f>
        <v>US official</v>
      </c>
    </row>
    <row r="292" spans="1:19" x14ac:dyDescent="0.2">
      <c r="A292" t="s">
        <v>2444</v>
      </c>
      <c r="B292" t="s">
        <v>522</v>
      </c>
      <c r="C292" t="s">
        <v>1269</v>
      </c>
      <c r="D292" t="s">
        <v>1599</v>
      </c>
      <c r="E292" t="s">
        <v>2318</v>
      </c>
      <c r="F292" t="s">
        <v>1612</v>
      </c>
      <c r="I292" t="s">
        <v>1077</v>
      </c>
      <c r="M292" t="s">
        <v>228</v>
      </c>
      <c r="N292" t="s">
        <v>222</v>
      </c>
      <c r="O292" t="s">
        <v>2445</v>
      </c>
      <c r="P292" t="s">
        <v>2395</v>
      </c>
      <c r="Q292" t="str">
        <f>IF($C292="","",IFERROR(VLOOKUP($C292,sources!$A$2:$N$200,2,FALSE()),"?"))</f>
        <v>Map</v>
      </c>
      <c r="R292" t="str">
        <f t="shared" si="4"/>
        <v>Map</v>
      </c>
      <c r="S292" t="str">
        <f>IF($C292="","",IFERROR(VLOOKUP($C292,sources!$A$2:$N$200,9,FALSE()),"?"))</f>
        <v>US official</v>
      </c>
    </row>
    <row r="293" spans="1:19" x14ac:dyDescent="0.2">
      <c r="A293" t="s">
        <v>2446</v>
      </c>
      <c r="B293" t="s">
        <v>526</v>
      </c>
      <c r="C293" t="s">
        <v>1269</v>
      </c>
      <c r="D293" t="s">
        <v>1599</v>
      </c>
      <c r="E293" t="s">
        <v>2318</v>
      </c>
      <c r="F293" t="s">
        <v>1612</v>
      </c>
      <c r="I293" t="s">
        <v>1077</v>
      </c>
      <c r="M293" t="s">
        <v>228</v>
      </c>
      <c r="N293" t="s">
        <v>222</v>
      </c>
      <c r="O293" t="s">
        <v>2447</v>
      </c>
      <c r="P293" t="s">
        <v>2448</v>
      </c>
      <c r="Q293" t="str">
        <f>IF($C293="","",IFERROR(VLOOKUP($C293,sources!$A$2:$N$200,2,FALSE()),"?"))</f>
        <v>Map</v>
      </c>
      <c r="R293" t="str">
        <f t="shared" si="4"/>
        <v>Map</v>
      </c>
      <c r="S293" t="str">
        <f>IF($C293="","",IFERROR(VLOOKUP($C293,sources!$A$2:$N$200,9,FALSE()),"?"))</f>
        <v>US official</v>
      </c>
    </row>
    <row r="294" spans="1:19" x14ac:dyDescent="0.2">
      <c r="A294" t="s">
        <v>2449</v>
      </c>
      <c r="B294" t="s">
        <v>529</v>
      </c>
      <c r="C294" t="s">
        <v>1269</v>
      </c>
      <c r="D294" t="s">
        <v>1599</v>
      </c>
      <c r="E294" t="s">
        <v>2318</v>
      </c>
      <c r="F294" t="s">
        <v>1612</v>
      </c>
      <c r="I294" t="s">
        <v>1077</v>
      </c>
      <c r="M294" t="s">
        <v>228</v>
      </c>
      <c r="N294" t="s">
        <v>222</v>
      </c>
      <c r="O294" t="s">
        <v>2450</v>
      </c>
      <c r="P294" t="s">
        <v>2451</v>
      </c>
      <c r="Q294" t="str">
        <f>IF($C294="","",IFERROR(VLOOKUP($C294,sources!$A$2:$N$200,2,FALSE()),"?"))</f>
        <v>Map</v>
      </c>
      <c r="R294" t="str">
        <f t="shared" si="4"/>
        <v>Map</v>
      </c>
      <c r="S294" t="str">
        <f>IF($C294="","",IFERROR(VLOOKUP($C294,sources!$A$2:$N$200,9,FALSE()),"?"))</f>
        <v>US official</v>
      </c>
    </row>
    <row r="295" spans="1:19" x14ac:dyDescent="0.2">
      <c r="A295" t="s">
        <v>2452</v>
      </c>
      <c r="B295" t="s">
        <v>236</v>
      </c>
      <c r="C295" t="s">
        <v>1260</v>
      </c>
      <c r="D295" t="s">
        <v>1666</v>
      </c>
      <c r="E295" t="s">
        <v>237</v>
      </c>
      <c r="F295" t="s">
        <v>1612</v>
      </c>
      <c r="I295" t="s">
        <v>1077</v>
      </c>
      <c r="M295" t="s">
        <v>222</v>
      </c>
      <c r="N295" t="s">
        <v>222</v>
      </c>
      <c r="O295" t="s">
        <v>1600</v>
      </c>
      <c r="P295" t="s">
        <v>2453</v>
      </c>
      <c r="Q295" t="str">
        <f>IF($C295="","",IFERROR(VLOOKUP($C295,sources!$A$2:$N$200,2,FALSE()),"?"))</f>
        <v>Photograph</v>
      </c>
      <c r="R295" t="str">
        <f t="shared" si="4"/>
        <v>Image</v>
      </c>
      <c r="S295" t="str">
        <f>IF($C295="","",IFERROR(VLOOKUP($C295,sources!$A$2:$N$200,9,FALSE()),"?"))</f>
        <v>US official</v>
      </c>
    </row>
    <row r="296" spans="1:19" x14ac:dyDescent="0.2">
      <c r="A296" t="s">
        <v>2454</v>
      </c>
      <c r="B296" t="s">
        <v>198</v>
      </c>
      <c r="C296" t="s">
        <v>1277</v>
      </c>
      <c r="D296" t="s">
        <v>1599</v>
      </c>
      <c r="E296" t="s">
        <v>199</v>
      </c>
      <c r="F296" t="s">
        <v>1612</v>
      </c>
      <c r="I296" t="s">
        <v>1077</v>
      </c>
      <c r="M296" t="s">
        <v>209</v>
      </c>
      <c r="N296" t="s">
        <v>222</v>
      </c>
      <c r="O296" t="s">
        <v>1600</v>
      </c>
      <c r="P296" t="s">
        <v>2455</v>
      </c>
      <c r="Q296" t="str">
        <f>IF($C296="","",IFERROR(VLOOKUP($C296,sources!$A$2:$N$200,2,FALSE()),"?"))</f>
        <v>Administrative</v>
      </c>
      <c r="R296" t="str">
        <f t="shared" si="4"/>
        <v>Textual</v>
      </c>
      <c r="S296" t="str">
        <f>IF($C296="","",IFERROR(VLOOKUP($C296,sources!$A$2:$N$200,9,FALSE()),"?"))</f>
        <v>US official</v>
      </c>
    </row>
    <row r="297" spans="1:19" x14ac:dyDescent="0.2">
      <c r="A297" t="s">
        <v>2456</v>
      </c>
      <c r="B297" t="s">
        <v>218</v>
      </c>
      <c r="C297" t="s">
        <v>1277</v>
      </c>
      <c r="D297" t="s">
        <v>1599</v>
      </c>
      <c r="E297" t="s">
        <v>219</v>
      </c>
      <c r="F297" t="s">
        <v>1612</v>
      </c>
      <c r="I297" t="s">
        <v>1077</v>
      </c>
      <c r="M297" t="s">
        <v>209</v>
      </c>
      <c r="N297" t="s">
        <v>222</v>
      </c>
      <c r="O297" t="s">
        <v>1600</v>
      </c>
      <c r="P297" t="s">
        <v>2457</v>
      </c>
      <c r="Q297" t="str">
        <f>IF($C297="","",IFERROR(VLOOKUP($C297,sources!$A$2:$N$200,2,FALSE()),"?"))</f>
        <v>Administrative</v>
      </c>
      <c r="R297" t="str">
        <f t="shared" si="4"/>
        <v>Textual</v>
      </c>
      <c r="S297" t="str">
        <f>IF($C297="","",IFERROR(VLOOKUP($C297,sources!$A$2:$N$200,9,FALSE()),"?"))</f>
        <v>US official</v>
      </c>
    </row>
    <row r="298" spans="1:19" x14ac:dyDescent="0.2">
      <c r="A298" t="s">
        <v>2458</v>
      </c>
      <c r="B298" t="s">
        <v>230</v>
      </c>
      <c r="C298" t="s">
        <v>1277</v>
      </c>
      <c r="D298" t="s">
        <v>1599</v>
      </c>
      <c r="E298" t="s">
        <v>231</v>
      </c>
      <c r="F298" t="s">
        <v>1612</v>
      </c>
      <c r="I298" t="s">
        <v>1077</v>
      </c>
      <c r="M298" t="s">
        <v>209</v>
      </c>
      <c r="N298" t="s">
        <v>222</v>
      </c>
      <c r="O298" t="s">
        <v>1600</v>
      </c>
      <c r="P298" t="s">
        <v>2459</v>
      </c>
      <c r="Q298" t="str">
        <f>IF($C298="","",IFERROR(VLOOKUP($C298,sources!$A$2:$N$200,2,FALSE()),"?"))</f>
        <v>Administrative</v>
      </c>
      <c r="R298" t="str">
        <f t="shared" si="4"/>
        <v>Textual</v>
      </c>
      <c r="S298" t="str">
        <f>IF($C298="","",IFERROR(VLOOKUP($C298,sources!$A$2:$N$200,9,FALSE()),"?"))</f>
        <v>US official</v>
      </c>
    </row>
    <row r="299" spans="1:19" x14ac:dyDescent="0.2">
      <c r="A299" t="s">
        <v>2460</v>
      </c>
      <c r="B299" t="s">
        <v>232</v>
      </c>
      <c r="C299" t="s">
        <v>1277</v>
      </c>
      <c r="D299" t="s">
        <v>1599</v>
      </c>
      <c r="E299" t="s">
        <v>233</v>
      </c>
      <c r="F299" t="s">
        <v>1612</v>
      </c>
      <c r="I299" t="s">
        <v>1077</v>
      </c>
      <c r="M299" t="s">
        <v>209</v>
      </c>
      <c r="N299" t="s">
        <v>222</v>
      </c>
      <c r="O299" t="s">
        <v>1600</v>
      </c>
      <c r="P299" t="s">
        <v>2461</v>
      </c>
      <c r="Q299" t="str">
        <f>IF($C299="","",IFERROR(VLOOKUP($C299,sources!$A$2:$N$200,2,FALSE()),"?"))</f>
        <v>Administrative</v>
      </c>
      <c r="R299" t="str">
        <f t="shared" si="4"/>
        <v>Textual</v>
      </c>
      <c r="S299" t="str">
        <f>IF($C299="","",IFERROR(VLOOKUP($C299,sources!$A$2:$N$200,9,FALSE()),"?"))</f>
        <v>US official</v>
      </c>
    </row>
    <row r="300" spans="1:19" x14ac:dyDescent="0.2">
      <c r="A300" t="s">
        <v>2462</v>
      </c>
      <c r="B300" t="s">
        <v>238</v>
      </c>
      <c r="C300" t="s">
        <v>1277</v>
      </c>
      <c r="D300" t="s">
        <v>1599</v>
      </c>
      <c r="E300" t="s">
        <v>1607</v>
      </c>
      <c r="F300" t="s">
        <v>1612</v>
      </c>
      <c r="I300" t="s">
        <v>1077</v>
      </c>
      <c r="M300" t="s">
        <v>209</v>
      </c>
      <c r="N300" t="s">
        <v>222</v>
      </c>
      <c r="O300" t="s">
        <v>1600</v>
      </c>
      <c r="P300" t="s">
        <v>2463</v>
      </c>
      <c r="Q300" t="str">
        <f>IF($C300="","",IFERROR(VLOOKUP($C300,sources!$A$2:$N$200,2,FALSE()),"?"))</f>
        <v>Administrative</v>
      </c>
      <c r="R300" t="str">
        <f t="shared" si="4"/>
        <v>Textual</v>
      </c>
      <c r="S300" t="str">
        <f>IF($C300="","",IFERROR(VLOOKUP($C300,sources!$A$2:$N$200,9,FALSE()),"?"))</f>
        <v>US official</v>
      </c>
    </row>
    <row r="301" spans="1:19" x14ac:dyDescent="0.2">
      <c r="A301" t="s">
        <v>2464</v>
      </c>
      <c r="B301" t="s">
        <v>245</v>
      </c>
      <c r="C301" t="s">
        <v>1277</v>
      </c>
      <c r="D301" t="s">
        <v>1599</v>
      </c>
      <c r="E301" t="s">
        <v>246</v>
      </c>
      <c r="F301" t="s">
        <v>1612</v>
      </c>
      <c r="I301" t="s">
        <v>1077</v>
      </c>
      <c r="M301" t="s">
        <v>209</v>
      </c>
      <c r="N301" t="s">
        <v>222</v>
      </c>
      <c r="O301" t="s">
        <v>1600</v>
      </c>
      <c r="P301" t="s">
        <v>2465</v>
      </c>
      <c r="Q301" t="str">
        <f>IF($C301="","",IFERROR(VLOOKUP($C301,sources!$A$2:$N$200,2,FALSE()),"?"))</f>
        <v>Administrative</v>
      </c>
      <c r="R301" t="str">
        <f t="shared" si="4"/>
        <v>Textual</v>
      </c>
      <c r="S301" t="str">
        <f>IF($C301="","",IFERROR(VLOOKUP($C301,sources!$A$2:$N$200,9,FALSE()),"?"))</f>
        <v>US official</v>
      </c>
    </row>
    <row r="302" spans="1:19" x14ac:dyDescent="0.2">
      <c r="A302" t="s">
        <v>2466</v>
      </c>
      <c r="B302" t="s">
        <v>252</v>
      </c>
      <c r="C302" t="s">
        <v>1277</v>
      </c>
      <c r="D302" t="s">
        <v>1599</v>
      </c>
      <c r="E302" t="s">
        <v>253</v>
      </c>
      <c r="F302" t="s">
        <v>1612</v>
      </c>
      <c r="I302" t="s">
        <v>1077</v>
      </c>
      <c r="M302" t="s">
        <v>209</v>
      </c>
      <c r="N302" t="s">
        <v>222</v>
      </c>
      <c r="O302" t="s">
        <v>1600</v>
      </c>
      <c r="P302" t="s">
        <v>2467</v>
      </c>
      <c r="Q302" t="str">
        <f>IF($C302="","",IFERROR(VLOOKUP($C302,sources!$A$2:$N$200,2,FALSE()),"?"))</f>
        <v>Administrative</v>
      </c>
      <c r="R302" t="str">
        <f t="shared" si="4"/>
        <v>Textual</v>
      </c>
      <c r="S302" t="str">
        <f>IF($C302="","",IFERROR(VLOOKUP($C302,sources!$A$2:$N$200,9,FALSE()),"?"))</f>
        <v>US official</v>
      </c>
    </row>
    <row r="303" spans="1:19" x14ac:dyDescent="0.2">
      <c r="A303" t="s">
        <v>2468</v>
      </c>
      <c r="B303" t="s">
        <v>252</v>
      </c>
      <c r="C303" t="s">
        <v>1277</v>
      </c>
      <c r="D303" t="s">
        <v>1599</v>
      </c>
      <c r="E303" t="s">
        <v>324</v>
      </c>
      <c r="F303" t="s">
        <v>1612</v>
      </c>
      <c r="I303" t="s">
        <v>1077</v>
      </c>
      <c r="M303" t="s">
        <v>209</v>
      </c>
      <c r="N303" t="s">
        <v>222</v>
      </c>
      <c r="O303" t="s">
        <v>1600</v>
      </c>
      <c r="P303" t="s">
        <v>2469</v>
      </c>
      <c r="Q303" t="str">
        <f>IF($C303="","",IFERROR(VLOOKUP($C303,sources!$A$2:$N$200,2,FALSE()),"?"))</f>
        <v>Administrative</v>
      </c>
      <c r="R303" t="str">
        <f t="shared" si="4"/>
        <v>Textual</v>
      </c>
      <c r="S303" t="str">
        <f>IF($C303="","",IFERROR(VLOOKUP($C303,sources!$A$2:$N$200,9,FALSE()),"?"))</f>
        <v>US official</v>
      </c>
    </row>
    <row r="304" spans="1:19" x14ac:dyDescent="0.2">
      <c r="A304" t="s">
        <v>2470</v>
      </c>
      <c r="B304" t="s">
        <v>261</v>
      </c>
      <c r="C304" t="s">
        <v>1277</v>
      </c>
      <c r="D304" t="s">
        <v>1599</v>
      </c>
      <c r="E304" t="s">
        <v>262</v>
      </c>
      <c r="F304" t="s">
        <v>1612</v>
      </c>
      <c r="I304" t="s">
        <v>1077</v>
      </c>
      <c r="M304" t="s">
        <v>209</v>
      </c>
      <c r="N304" t="s">
        <v>222</v>
      </c>
      <c r="O304" t="s">
        <v>1600</v>
      </c>
      <c r="P304" t="s">
        <v>2471</v>
      </c>
      <c r="Q304" t="str">
        <f>IF($C304="","",IFERROR(VLOOKUP($C304,sources!$A$2:$N$200,2,FALSE()),"?"))</f>
        <v>Administrative</v>
      </c>
      <c r="R304" t="str">
        <f t="shared" si="4"/>
        <v>Textual</v>
      </c>
      <c r="S304" t="str">
        <f>IF($C304="","",IFERROR(VLOOKUP($C304,sources!$A$2:$N$200,9,FALSE()),"?"))</f>
        <v>US official</v>
      </c>
    </row>
    <row r="305" spans="1:19" x14ac:dyDescent="0.2">
      <c r="A305" t="s">
        <v>2472</v>
      </c>
      <c r="B305" t="s">
        <v>266</v>
      </c>
      <c r="C305" t="s">
        <v>1277</v>
      </c>
      <c r="D305" t="s">
        <v>1599</v>
      </c>
      <c r="E305" t="s">
        <v>267</v>
      </c>
      <c r="F305" t="s">
        <v>1612</v>
      </c>
      <c r="I305" t="s">
        <v>1077</v>
      </c>
      <c r="M305" t="s">
        <v>209</v>
      </c>
      <c r="N305" t="s">
        <v>222</v>
      </c>
      <c r="O305" t="s">
        <v>1600</v>
      </c>
      <c r="P305" t="s">
        <v>2473</v>
      </c>
      <c r="Q305" t="str">
        <f>IF($C305="","",IFERROR(VLOOKUP($C305,sources!$A$2:$N$200,2,FALSE()),"?"))</f>
        <v>Administrative</v>
      </c>
      <c r="R305" t="str">
        <f t="shared" si="4"/>
        <v>Textual</v>
      </c>
      <c r="S305" t="str">
        <f>IF($C305="","",IFERROR(VLOOKUP($C305,sources!$A$2:$N$200,9,FALSE()),"?"))</f>
        <v>US official</v>
      </c>
    </row>
    <row r="306" spans="1:19" x14ac:dyDescent="0.2">
      <c r="A306" t="s">
        <v>2474</v>
      </c>
      <c r="B306" t="s">
        <v>272</v>
      </c>
      <c r="C306" t="s">
        <v>1277</v>
      </c>
      <c r="D306" t="s">
        <v>1599</v>
      </c>
      <c r="E306" t="s">
        <v>273</v>
      </c>
      <c r="F306" t="s">
        <v>1612</v>
      </c>
      <c r="I306" t="s">
        <v>1077</v>
      </c>
      <c r="M306" t="s">
        <v>209</v>
      </c>
      <c r="N306" t="s">
        <v>222</v>
      </c>
      <c r="O306" t="s">
        <v>1600</v>
      </c>
      <c r="P306" t="s">
        <v>2475</v>
      </c>
      <c r="Q306" t="str">
        <f>IF($C306="","",IFERROR(VLOOKUP($C306,sources!$A$2:$N$200,2,FALSE()),"?"))</f>
        <v>Administrative</v>
      </c>
      <c r="R306" t="str">
        <f t="shared" si="4"/>
        <v>Textual</v>
      </c>
      <c r="S306" t="str">
        <f>IF($C306="","",IFERROR(VLOOKUP($C306,sources!$A$2:$N$200,9,FALSE()),"?"))</f>
        <v>US official</v>
      </c>
    </row>
    <row r="307" spans="1:19" x14ac:dyDescent="0.2">
      <c r="A307" t="s">
        <v>2476</v>
      </c>
      <c r="B307" t="s">
        <v>280</v>
      </c>
      <c r="C307" t="s">
        <v>1277</v>
      </c>
      <c r="D307" t="s">
        <v>1599</v>
      </c>
      <c r="E307" t="s">
        <v>281</v>
      </c>
      <c r="F307" t="s">
        <v>1612</v>
      </c>
      <c r="I307" t="s">
        <v>1077</v>
      </c>
      <c r="M307" t="s">
        <v>209</v>
      </c>
      <c r="N307" t="s">
        <v>222</v>
      </c>
      <c r="O307" t="s">
        <v>1600</v>
      </c>
      <c r="P307" t="s">
        <v>2477</v>
      </c>
      <c r="Q307" t="str">
        <f>IF($C307="","",IFERROR(VLOOKUP($C307,sources!$A$2:$N$200,2,FALSE()),"?"))</f>
        <v>Administrative</v>
      </c>
      <c r="R307" t="str">
        <f t="shared" si="4"/>
        <v>Textual</v>
      </c>
      <c r="S307" t="str">
        <f>IF($C307="","",IFERROR(VLOOKUP($C307,sources!$A$2:$N$200,9,FALSE()),"?"))</f>
        <v>US official</v>
      </c>
    </row>
    <row r="308" spans="1:19" x14ac:dyDescent="0.2">
      <c r="A308" t="s">
        <v>2478</v>
      </c>
      <c r="B308" t="s">
        <v>284</v>
      </c>
      <c r="C308" t="s">
        <v>1277</v>
      </c>
      <c r="D308" t="s">
        <v>1599</v>
      </c>
      <c r="E308" t="s">
        <v>285</v>
      </c>
      <c r="F308" t="s">
        <v>1612</v>
      </c>
      <c r="I308" t="s">
        <v>1077</v>
      </c>
      <c r="M308" t="s">
        <v>209</v>
      </c>
      <c r="N308" t="s">
        <v>222</v>
      </c>
      <c r="O308" t="s">
        <v>1600</v>
      </c>
      <c r="P308" t="s">
        <v>2479</v>
      </c>
      <c r="Q308" t="str">
        <f>IF($C308="","",IFERROR(VLOOKUP($C308,sources!$A$2:$N$200,2,FALSE()),"?"))</f>
        <v>Administrative</v>
      </c>
      <c r="R308" t="str">
        <f t="shared" si="4"/>
        <v>Textual</v>
      </c>
      <c r="S308" t="str">
        <f>IF($C308="","",IFERROR(VLOOKUP($C308,sources!$A$2:$N$200,9,FALSE()),"?"))</f>
        <v>US official</v>
      </c>
    </row>
    <row r="309" spans="1:19" x14ac:dyDescent="0.2">
      <c r="A309" t="s">
        <v>2480</v>
      </c>
      <c r="B309" t="s">
        <v>349</v>
      </c>
      <c r="C309" t="s">
        <v>1277</v>
      </c>
      <c r="D309" t="s">
        <v>1599</v>
      </c>
      <c r="E309" t="s">
        <v>350</v>
      </c>
      <c r="F309" t="s">
        <v>1612</v>
      </c>
      <c r="I309" t="s">
        <v>1077</v>
      </c>
      <c r="M309" t="s">
        <v>209</v>
      </c>
      <c r="N309" t="s">
        <v>222</v>
      </c>
      <c r="O309" t="s">
        <v>1600</v>
      </c>
      <c r="P309" t="s">
        <v>2481</v>
      </c>
      <c r="Q309" t="str">
        <f>IF($C309="","",IFERROR(VLOOKUP($C309,sources!$A$2:$N$200,2,FALSE()),"?"))</f>
        <v>Administrative</v>
      </c>
      <c r="R309" t="str">
        <f t="shared" si="4"/>
        <v>Textual</v>
      </c>
      <c r="S309" t="str">
        <f>IF($C309="","",IFERROR(VLOOKUP($C309,sources!$A$2:$N$200,9,FALSE()),"?"))</f>
        <v>US official</v>
      </c>
    </row>
    <row r="310" spans="1:19" x14ac:dyDescent="0.2">
      <c r="A310" t="s">
        <v>2482</v>
      </c>
      <c r="B310" t="s">
        <v>354</v>
      </c>
      <c r="C310" t="s">
        <v>1277</v>
      </c>
      <c r="D310" t="s">
        <v>1599</v>
      </c>
      <c r="E310" t="s">
        <v>355</v>
      </c>
      <c r="F310" t="s">
        <v>1612</v>
      </c>
      <c r="I310" t="s">
        <v>1077</v>
      </c>
      <c r="M310" t="s">
        <v>209</v>
      </c>
      <c r="N310" t="s">
        <v>222</v>
      </c>
      <c r="O310" t="s">
        <v>1600</v>
      </c>
      <c r="P310" t="s">
        <v>2483</v>
      </c>
      <c r="Q310" t="str">
        <f>IF($C310="","",IFERROR(VLOOKUP($C310,sources!$A$2:$N$200,2,FALSE()),"?"))</f>
        <v>Administrative</v>
      </c>
      <c r="R310" t="str">
        <f t="shared" si="4"/>
        <v>Textual</v>
      </c>
      <c r="S310" t="str">
        <f>IF($C310="","",IFERROR(VLOOKUP($C310,sources!$A$2:$N$200,9,FALSE()),"?"))</f>
        <v>US official</v>
      </c>
    </row>
    <row r="311" spans="1:19" x14ac:dyDescent="0.2">
      <c r="A311" t="s">
        <v>2484</v>
      </c>
      <c r="B311" t="s">
        <v>359</v>
      </c>
      <c r="C311" t="s">
        <v>1277</v>
      </c>
      <c r="D311" t="s">
        <v>1599</v>
      </c>
      <c r="E311" t="s">
        <v>360</v>
      </c>
      <c r="F311" t="s">
        <v>1612</v>
      </c>
      <c r="I311" t="s">
        <v>1077</v>
      </c>
      <c r="M311" t="s">
        <v>209</v>
      </c>
      <c r="N311" t="s">
        <v>222</v>
      </c>
      <c r="O311" t="s">
        <v>1600</v>
      </c>
      <c r="P311" t="s">
        <v>2485</v>
      </c>
      <c r="Q311" t="str">
        <f>IF($C311="","",IFERROR(VLOOKUP($C311,sources!$A$2:$N$200,2,FALSE()),"?"))</f>
        <v>Administrative</v>
      </c>
      <c r="R311" t="str">
        <f t="shared" si="4"/>
        <v>Textual</v>
      </c>
      <c r="S311" t="str">
        <f>IF($C311="","",IFERROR(VLOOKUP($C311,sources!$A$2:$N$200,9,FALSE()),"?"))</f>
        <v>US official</v>
      </c>
    </row>
    <row r="312" spans="1:19" x14ac:dyDescent="0.2">
      <c r="A312" t="s">
        <v>2486</v>
      </c>
      <c r="B312" t="s">
        <v>363</v>
      </c>
      <c r="C312" t="s">
        <v>1277</v>
      </c>
      <c r="D312" t="s">
        <v>1599</v>
      </c>
      <c r="E312" t="s">
        <v>364</v>
      </c>
      <c r="F312" t="s">
        <v>1612</v>
      </c>
      <c r="I312" t="s">
        <v>1077</v>
      </c>
      <c r="M312" t="s">
        <v>209</v>
      </c>
      <c r="N312" t="s">
        <v>222</v>
      </c>
      <c r="O312" t="s">
        <v>1600</v>
      </c>
      <c r="P312" t="s">
        <v>2487</v>
      </c>
      <c r="Q312" t="str">
        <f>IF($C312="","",IFERROR(VLOOKUP($C312,sources!$A$2:$N$200,2,FALSE()),"?"))</f>
        <v>Administrative</v>
      </c>
      <c r="R312" t="str">
        <f t="shared" si="4"/>
        <v>Textual</v>
      </c>
      <c r="S312" t="str">
        <f>IF($C312="","",IFERROR(VLOOKUP($C312,sources!$A$2:$N$200,9,FALSE()),"?"))</f>
        <v>US official</v>
      </c>
    </row>
    <row r="313" spans="1:19" x14ac:dyDescent="0.2">
      <c r="A313" t="s">
        <v>2488</v>
      </c>
      <c r="B313" t="s">
        <v>367</v>
      </c>
      <c r="C313" t="s">
        <v>1277</v>
      </c>
      <c r="D313" t="s">
        <v>1599</v>
      </c>
      <c r="E313" t="s">
        <v>368</v>
      </c>
      <c r="F313" t="s">
        <v>1612</v>
      </c>
      <c r="I313" t="s">
        <v>1077</v>
      </c>
      <c r="M313" t="s">
        <v>209</v>
      </c>
      <c r="N313" t="s">
        <v>222</v>
      </c>
      <c r="O313" t="s">
        <v>1600</v>
      </c>
      <c r="P313" t="s">
        <v>2489</v>
      </c>
      <c r="Q313" t="str">
        <f>IF($C313="","",IFERROR(VLOOKUP($C313,sources!$A$2:$N$200,2,FALSE()),"?"))</f>
        <v>Administrative</v>
      </c>
      <c r="R313" t="str">
        <f t="shared" si="4"/>
        <v>Textual</v>
      </c>
      <c r="S313" t="str">
        <f>IF($C313="","",IFERROR(VLOOKUP($C313,sources!$A$2:$N$200,9,FALSE()),"?"))</f>
        <v>US official</v>
      </c>
    </row>
    <row r="314" spans="1:19" x14ac:dyDescent="0.2">
      <c r="A314" t="s">
        <v>2490</v>
      </c>
      <c r="B314" t="s">
        <v>370</v>
      </c>
      <c r="C314" t="s">
        <v>1277</v>
      </c>
      <c r="D314" t="s">
        <v>1599</v>
      </c>
      <c r="E314" t="s">
        <v>371</v>
      </c>
      <c r="F314" t="s">
        <v>1612</v>
      </c>
      <c r="I314" t="s">
        <v>1077</v>
      </c>
      <c r="M314" t="s">
        <v>209</v>
      </c>
      <c r="N314" t="s">
        <v>222</v>
      </c>
      <c r="O314" t="s">
        <v>1600</v>
      </c>
      <c r="P314" t="s">
        <v>2491</v>
      </c>
      <c r="Q314" t="str">
        <f>IF($C314="","",IFERROR(VLOOKUP($C314,sources!$A$2:$N$200,2,FALSE()),"?"))</f>
        <v>Administrative</v>
      </c>
      <c r="R314" t="str">
        <f t="shared" si="4"/>
        <v>Textual</v>
      </c>
      <c r="S314" t="str">
        <f>IF($C314="","",IFERROR(VLOOKUP($C314,sources!$A$2:$N$200,9,FALSE()),"?"))</f>
        <v>US official</v>
      </c>
    </row>
    <row r="315" spans="1:19" x14ac:dyDescent="0.2">
      <c r="A315" t="s">
        <v>2492</v>
      </c>
      <c r="B315" t="s">
        <v>373</v>
      </c>
      <c r="C315" t="s">
        <v>1277</v>
      </c>
      <c r="D315" t="s">
        <v>1599</v>
      </c>
      <c r="E315" t="s">
        <v>374</v>
      </c>
      <c r="F315" t="s">
        <v>1612</v>
      </c>
      <c r="I315" t="s">
        <v>1077</v>
      </c>
      <c r="M315" t="s">
        <v>209</v>
      </c>
      <c r="N315" t="s">
        <v>222</v>
      </c>
      <c r="O315" t="s">
        <v>1600</v>
      </c>
      <c r="P315" t="s">
        <v>2493</v>
      </c>
      <c r="Q315" t="str">
        <f>IF($C315="","",IFERROR(VLOOKUP($C315,sources!$A$2:$N$200,2,FALSE()),"?"))</f>
        <v>Administrative</v>
      </c>
      <c r="R315" t="str">
        <f t="shared" si="4"/>
        <v>Textual</v>
      </c>
      <c r="S315" t="str">
        <f>IF($C315="","",IFERROR(VLOOKUP($C315,sources!$A$2:$N$200,9,FALSE()),"?"))</f>
        <v>US official</v>
      </c>
    </row>
    <row r="316" spans="1:19" x14ac:dyDescent="0.2">
      <c r="A316" t="s">
        <v>2494</v>
      </c>
      <c r="B316" t="s">
        <v>376</v>
      </c>
      <c r="C316" t="s">
        <v>1277</v>
      </c>
      <c r="D316" t="s">
        <v>1599</v>
      </c>
      <c r="E316" t="s">
        <v>377</v>
      </c>
      <c r="F316" t="s">
        <v>1612</v>
      </c>
      <c r="I316" t="s">
        <v>1077</v>
      </c>
      <c r="M316" t="s">
        <v>209</v>
      </c>
      <c r="N316" t="s">
        <v>222</v>
      </c>
      <c r="O316" t="s">
        <v>1600</v>
      </c>
      <c r="P316" t="s">
        <v>2495</v>
      </c>
      <c r="Q316" t="str">
        <f>IF($C316="","",IFERROR(VLOOKUP($C316,sources!$A$2:$N$200,2,FALSE()),"?"))</f>
        <v>Administrative</v>
      </c>
      <c r="R316" t="str">
        <f t="shared" si="4"/>
        <v>Textual</v>
      </c>
      <c r="S316" t="str">
        <f>IF($C316="","",IFERROR(VLOOKUP($C316,sources!$A$2:$N$200,9,FALSE()),"?"))</f>
        <v>US official</v>
      </c>
    </row>
    <row r="317" spans="1:19" x14ac:dyDescent="0.2">
      <c r="A317" t="s">
        <v>2496</v>
      </c>
      <c r="B317" t="s">
        <v>379</v>
      </c>
      <c r="C317" t="s">
        <v>1277</v>
      </c>
      <c r="D317" t="s">
        <v>1599</v>
      </c>
      <c r="E317" t="s">
        <v>380</v>
      </c>
      <c r="F317" t="s">
        <v>1612</v>
      </c>
      <c r="I317" t="s">
        <v>1077</v>
      </c>
      <c r="M317" t="s">
        <v>209</v>
      </c>
      <c r="N317" t="s">
        <v>222</v>
      </c>
      <c r="O317" t="s">
        <v>1600</v>
      </c>
      <c r="P317" t="s">
        <v>2497</v>
      </c>
      <c r="Q317" t="str">
        <f>IF($C317="","",IFERROR(VLOOKUP($C317,sources!$A$2:$N$200,2,FALSE()),"?"))</f>
        <v>Administrative</v>
      </c>
      <c r="R317" t="str">
        <f t="shared" si="4"/>
        <v>Textual</v>
      </c>
      <c r="S317" t="str">
        <f>IF($C317="","",IFERROR(VLOOKUP($C317,sources!$A$2:$N$200,9,FALSE()),"?"))</f>
        <v>US official</v>
      </c>
    </row>
    <row r="318" spans="1:19" x14ac:dyDescent="0.2">
      <c r="A318" t="s">
        <v>2498</v>
      </c>
      <c r="B318" t="s">
        <v>382</v>
      </c>
      <c r="C318" t="s">
        <v>1277</v>
      </c>
      <c r="D318" t="s">
        <v>1599</v>
      </c>
      <c r="E318" t="s">
        <v>383</v>
      </c>
      <c r="F318" t="s">
        <v>1612</v>
      </c>
      <c r="I318" t="s">
        <v>1077</v>
      </c>
      <c r="M318" t="s">
        <v>209</v>
      </c>
      <c r="N318" t="s">
        <v>222</v>
      </c>
      <c r="O318" t="s">
        <v>1600</v>
      </c>
      <c r="P318" t="s">
        <v>2499</v>
      </c>
      <c r="Q318" t="str">
        <f>IF($C318="","",IFERROR(VLOOKUP($C318,sources!$A$2:$N$200,2,FALSE()),"?"))</f>
        <v>Administrative</v>
      </c>
      <c r="R318" t="str">
        <f t="shared" si="4"/>
        <v>Textual</v>
      </c>
      <c r="S318" t="str">
        <f>IF($C318="","",IFERROR(VLOOKUP($C318,sources!$A$2:$N$200,9,FALSE()),"?"))</f>
        <v>US official</v>
      </c>
    </row>
    <row r="319" spans="1:19" x14ac:dyDescent="0.2">
      <c r="A319" t="s">
        <v>2500</v>
      </c>
      <c r="B319" t="s">
        <v>388</v>
      </c>
      <c r="C319" t="s">
        <v>1277</v>
      </c>
      <c r="D319" t="s">
        <v>1599</v>
      </c>
      <c r="E319" t="s">
        <v>389</v>
      </c>
      <c r="F319" t="s">
        <v>1612</v>
      </c>
      <c r="I319" t="s">
        <v>1077</v>
      </c>
      <c r="M319" t="s">
        <v>209</v>
      </c>
      <c r="N319" t="s">
        <v>222</v>
      </c>
      <c r="O319" t="s">
        <v>1600</v>
      </c>
      <c r="P319" t="s">
        <v>2501</v>
      </c>
      <c r="Q319" t="str">
        <f>IF($C319="","",IFERROR(VLOOKUP($C319,sources!$A$2:$N$200,2,FALSE()),"?"))</f>
        <v>Administrative</v>
      </c>
      <c r="R319" t="str">
        <f t="shared" si="4"/>
        <v>Textual</v>
      </c>
      <c r="S319" t="str">
        <f>IF($C319="","",IFERROR(VLOOKUP($C319,sources!$A$2:$N$200,9,FALSE()),"?"))</f>
        <v>US official</v>
      </c>
    </row>
    <row r="320" spans="1:19" x14ac:dyDescent="0.2">
      <c r="A320" t="s">
        <v>2502</v>
      </c>
      <c r="B320" t="s">
        <v>393</v>
      </c>
      <c r="C320" t="s">
        <v>1277</v>
      </c>
      <c r="D320" t="s">
        <v>1599</v>
      </c>
      <c r="E320" t="s">
        <v>394</v>
      </c>
      <c r="F320" t="s">
        <v>1612</v>
      </c>
      <c r="I320" t="s">
        <v>1077</v>
      </c>
      <c r="M320" t="s">
        <v>209</v>
      </c>
      <c r="N320" t="s">
        <v>222</v>
      </c>
      <c r="O320" t="s">
        <v>1600</v>
      </c>
      <c r="P320" t="s">
        <v>2503</v>
      </c>
      <c r="Q320" t="str">
        <f>IF($C320="","",IFERROR(VLOOKUP($C320,sources!$A$2:$N$200,2,FALSE()),"?"))</f>
        <v>Administrative</v>
      </c>
      <c r="R320" t="str">
        <f t="shared" si="4"/>
        <v>Textual</v>
      </c>
      <c r="S320" t="str">
        <f>IF($C320="","",IFERROR(VLOOKUP($C320,sources!$A$2:$N$200,9,FALSE()),"?"))</f>
        <v>US official</v>
      </c>
    </row>
    <row r="321" spans="1:19" x14ac:dyDescent="0.2">
      <c r="A321" t="s">
        <v>2504</v>
      </c>
      <c r="B321" t="s">
        <v>397</v>
      </c>
      <c r="C321" t="s">
        <v>1277</v>
      </c>
      <c r="D321" t="s">
        <v>1599</v>
      </c>
      <c r="E321" t="s">
        <v>398</v>
      </c>
      <c r="F321" t="s">
        <v>1612</v>
      </c>
      <c r="I321" t="s">
        <v>1077</v>
      </c>
      <c r="M321" t="s">
        <v>209</v>
      </c>
      <c r="N321" t="s">
        <v>222</v>
      </c>
      <c r="O321" t="s">
        <v>1600</v>
      </c>
      <c r="P321" t="s">
        <v>2505</v>
      </c>
      <c r="Q321" t="str">
        <f>IF($C321="","",IFERROR(VLOOKUP($C321,sources!$A$2:$N$200,2,FALSE()),"?"))</f>
        <v>Administrative</v>
      </c>
      <c r="R321" t="str">
        <f t="shared" si="4"/>
        <v>Textual</v>
      </c>
      <c r="S321" t="str">
        <f>IF($C321="","",IFERROR(VLOOKUP($C321,sources!$A$2:$N$200,9,FALSE()),"?"))</f>
        <v>US official</v>
      </c>
    </row>
    <row r="322" spans="1:19" x14ac:dyDescent="0.2">
      <c r="A322" t="s">
        <v>2506</v>
      </c>
      <c r="B322" t="s">
        <v>402</v>
      </c>
      <c r="C322" t="s">
        <v>1277</v>
      </c>
      <c r="D322" t="s">
        <v>1599</v>
      </c>
      <c r="E322" t="s">
        <v>403</v>
      </c>
      <c r="F322" t="s">
        <v>1612</v>
      </c>
      <c r="I322" t="s">
        <v>1077</v>
      </c>
      <c r="M322" t="s">
        <v>209</v>
      </c>
      <c r="N322" t="s">
        <v>222</v>
      </c>
      <c r="O322" t="s">
        <v>1600</v>
      </c>
      <c r="P322" t="s">
        <v>2507</v>
      </c>
      <c r="Q322" t="str">
        <f>IF($C322="","",IFERROR(VLOOKUP($C322,sources!$A$2:$N$200,2,FALSE()),"?"))</f>
        <v>Administrative</v>
      </c>
      <c r="R322" t="str">
        <f t="shared" ref="R322:R385" si="5">IF($Q322="","",IF($Q322="Map","Map",IF(OR($Q322="Photograph",$Q322="Postcard"),"Image",IF(OR($Q322="Census or roll",$Q322="Report",$Q322="Newspaper",$Q322="Letter",$Q322="Memoir",$Q322="Administrative",$Q322="Web compilation"),"Textual",IF($Q322="Legal claim","Legal/admin",IF($Q322="Secondary","Secondary","Other"))))))</f>
        <v>Textual</v>
      </c>
      <c r="S322" t="str">
        <f>IF($C322="","",IFERROR(VLOOKUP($C322,sources!$A$2:$N$200,9,FALSE()),"?"))</f>
        <v>US official</v>
      </c>
    </row>
    <row r="323" spans="1:19" x14ac:dyDescent="0.2">
      <c r="A323" t="s">
        <v>2508</v>
      </c>
      <c r="B323" t="s">
        <v>405</v>
      </c>
      <c r="C323" t="s">
        <v>1277</v>
      </c>
      <c r="D323" t="s">
        <v>1599</v>
      </c>
      <c r="E323" t="s">
        <v>406</v>
      </c>
      <c r="F323" t="s">
        <v>1612</v>
      </c>
      <c r="I323" t="s">
        <v>1077</v>
      </c>
      <c r="M323" t="s">
        <v>209</v>
      </c>
      <c r="N323" t="s">
        <v>222</v>
      </c>
      <c r="O323" t="s">
        <v>1600</v>
      </c>
      <c r="P323" t="s">
        <v>2509</v>
      </c>
      <c r="Q323" t="str">
        <f>IF($C323="","",IFERROR(VLOOKUP($C323,sources!$A$2:$N$200,2,FALSE()),"?"))</f>
        <v>Administrative</v>
      </c>
      <c r="R323" t="str">
        <f t="shared" si="5"/>
        <v>Textual</v>
      </c>
      <c r="S323" t="str">
        <f>IF($C323="","",IFERROR(VLOOKUP($C323,sources!$A$2:$N$200,9,FALSE()),"?"))</f>
        <v>US official</v>
      </c>
    </row>
    <row r="324" spans="1:19" x14ac:dyDescent="0.2">
      <c r="A324" t="s">
        <v>2510</v>
      </c>
      <c r="B324" t="s">
        <v>408</v>
      </c>
      <c r="C324" t="s">
        <v>1277</v>
      </c>
      <c r="D324" t="s">
        <v>1599</v>
      </c>
      <c r="E324" t="s">
        <v>409</v>
      </c>
      <c r="F324" t="s">
        <v>1612</v>
      </c>
      <c r="I324" t="s">
        <v>1077</v>
      </c>
      <c r="M324" t="s">
        <v>209</v>
      </c>
      <c r="N324" t="s">
        <v>222</v>
      </c>
      <c r="O324" t="s">
        <v>1600</v>
      </c>
      <c r="P324" t="s">
        <v>2511</v>
      </c>
      <c r="Q324" t="str">
        <f>IF($C324="","",IFERROR(VLOOKUP($C324,sources!$A$2:$N$200,2,FALSE()),"?"))</f>
        <v>Administrative</v>
      </c>
      <c r="R324" t="str">
        <f t="shared" si="5"/>
        <v>Textual</v>
      </c>
      <c r="S324" t="str">
        <f>IF($C324="","",IFERROR(VLOOKUP($C324,sources!$A$2:$N$200,9,FALSE()),"?"))</f>
        <v>US official</v>
      </c>
    </row>
    <row r="325" spans="1:19" x14ac:dyDescent="0.2">
      <c r="A325" t="s">
        <v>2512</v>
      </c>
      <c r="B325" t="s">
        <v>411</v>
      </c>
      <c r="C325" t="s">
        <v>1277</v>
      </c>
      <c r="D325" t="s">
        <v>1599</v>
      </c>
      <c r="E325" t="s">
        <v>412</v>
      </c>
      <c r="F325" t="s">
        <v>1612</v>
      </c>
      <c r="I325" t="s">
        <v>1077</v>
      </c>
      <c r="M325" t="s">
        <v>209</v>
      </c>
      <c r="N325" t="s">
        <v>222</v>
      </c>
      <c r="O325" t="s">
        <v>1600</v>
      </c>
      <c r="P325" t="s">
        <v>2513</v>
      </c>
      <c r="Q325" t="str">
        <f>IF($C325="","",IFERROR(VLOOKUP($C325,sources!$A$2:$N$200,2,FALSE()),"?"))</f>
        <v>Administrative</v>
      </c>
      <c r="R325" t="str">
        <f t="shared" si="5"/>
        <v>Textual</v>
      </c>
      <c r="S325" t="str">
        <f>IF($C325="","",IFERROR(VLOOKUP($C325,sources!$A$2:$N$200,9,FALSE()),"?"))</f>
        <v>US official</v>
      </c>
    </row>
    <row r="326" spans="1:19" x14ac:dyDescent="0.2">
      <c r="A326" t="s">
        <v>2514</v>
      </c>
      <c r="B326" t="s">
        <v>414</v>
      </c>
      <c r="C326" t="s">
        <v>1277</v>
      </c>
      <c r="D326" t="s">
        <v>1599</v>
      </c>
      <c r="E326" t="s">
        <v>415</v>
      </c>
      <c r="F326" t="s">
        <v>1612</v>
      </c>
      <c r="I326" t="s">
        <v>1077</v>
      </c>
      <c r="M326" t="s">
        <v>209</v>
      </c>
      <c r="N326" t="s">
        <v>222</v>
      </c>
      <c r="O326" t="s">
        <v>1600</v>
      </c>
      <c r="P326" t="s">
        <v>2515</v>
      </c>
      <c r="Q326" t="str">
        <f>IF($C326="","",IFERROR(VLOOKUP($C326,sources!$A$2:$N$200,2,FALSE()),"?"))</f>
        <v>Administrative</v>
      </c>
      <c r="R326" t="str">
        <f t="shared" si="5"/>
        <v>Textual</v>
      </c>
      <c r="S326" t="str">
        <f>IF($C326="","",IFERROR(VLOOKUP($C326,sources!$A$2:$N$200,9,FALSE()),"?"))</f>
        <v>US official</v>
      </c>
    </row>
    <row r="327" spans="1:19" x14ac:dyDescent="0.2">
      <c r="A327" t="s">
        <v>2516</v>
      </c>
      <c r="B327" t="s">
        <v>422</v>
      </c>
      <c r="C327" t="s">
        <v>1277</v>
      </c>
      <c r="D327" t="s">
        <v>1599</v>
      </c>
      <c r="E327" t="s">
        <v>423</v>
      </c>
      <c r="F327" t="s">
        <v>1612</v>
      </c>
      <c r="I327" t="s">
        <v>1077</v>
      </c>
      <c r="M327" t="s">
        <v>209</v>
      </c>
      <c r="N327" t="s">
        <v>222</v>
      </c>
      <c r="O327" t="s">
        <v>1600</v>
      </c>
      <c r="P327" t="s">
        <v>2517</v>
      </c>
      <c r="Q327" t="str">
        <f>IF($C327="","",IFERROR(VLOOKUP($C327,sources!$A$2:$N$200,2,FALSE()),"?"))</f>
        <v>Administrative</v>
      </c>
      <c r="R327" t="str">
        <f t="shared" si="5"/>
        <v>Textual</v>
      </c>
      <c r="S327" t="str">
        <f>IF($C327="","",IFERROR(VLOOKUP($C327,sources!$A$2:$N$200,9,FALSE()),"?"))</f>
        <v>US official</v>
      </c>
    </row>
    <row r="328" spans="1:19" x14ac:dyDescent="0.2">
      <c r="A328" t="s">
        <v>2518</v>
      </c>
      <c r="B328" t="s">
        <v>426</v>
      </c>
      <c r="C328" t="s">
        <v>1277</v>
      </c>
      <c r="D328" t="s">
        <v>1599</v>
      </c>
      <c r="E328" t="s">
        <v>427</v>
      </c>
      <c r="F328" t="s">
        <v>1612</v>
      </c>
      <c r="I328" t="s">
        <v>1077</v>
      </c>
      <c r="M328" t="s">
        <v>209</v>
      </c>
      <c r="N328" t="s">
        <v>222</v>
      </c>
      <c r="O328" t="s">
        <v>1600</v>
      </c>
      <c r="P328" t="s">
        <v>2519</v>
      </c>
      <c r="Q328" t="str">
        <f>IF($C328="","",IFERROR(VLOOKUP($C328,sources!$A$2:$N$200,2,FALSE()),"?"))</f>
        <v>Administrative</v>
      </c>
      <c r="R328" t="str">
        <f t="shared" si="5"/>
        <v>Textual</v>
      </c>
      <c r="S328" t="str">
        <f>IF($C328="","",IFERROR(VLOOKUP($C328,sources!$A$2:$N$200,9,FALSE()),"?"))</f>
        <v>US official</v>
      </c>
    </row>
    <row r="329" spans="1:19" x14ac:dyDescent="0.2">
      <c r="A329" t="s">
        <v>2520</v>
      </c>
      <c r="B329" t="s">
        <v>430</v>
      </c>
      <c r="C329" t="s">
        <v>1277</v>
      </c>
      <c r="D329" t="s">
        <v>1599</v>
      </c>
      <c r="E329" t="s">
        <v>431</v>
      </c>
      <c r="F329" t="s">
        <v>1612</v>
      </c>
      <c r="I329" t="s">
        <v>1077</v>
      </c>
      <c r="M329" t="s">
        <v>209</v>
      </c>
      <c r="N329" t="s">
        <v>222</v>
      </c>
      <c r="O329" t="s">
        <v>1600</v>
      </c>
      <c r="P329" t="s">
        <v>2521</v>
      </c>
      <c r="Q329" t="str">
        <f>IF($C329="","",IFERROR(VLOOKUP($C329,sources!$A$2:$N$200,2,FALSE()),"?"))</f>
        <v>Administrative</v>
      </c>
      <c r="R329" t="str">
        <f t="shared" si="5"/>
        <v>Textual</v>
      </c>
      <c r="S329" t="str">
        <f>IF($C329="","",IFERROR(VLOOKUP($C329,sources!$A$2:$N$200,9,FALSE()),"?"))</f>
        <v>US official</v>
      </c>
    </row>
    <row r="330" spans="1:19" x14ac:dyDescent="0.2">
      <c r="A330" t="s">
        <v>2522</v>
      </c>
      <c r="B330" t="s">
        <v>434</v>
      </c>
      <c r="C330" t="s">
        <v>1277</v>
      </c>
      <c r="D330" t="s">
        <v>1599</v>
      </c>
      <c r="E330" t="s">
        <v>435</v>
      </c>
      <c r="F330" t="s">
        <v>1612</v>
      </c>
      <c r="I330" t="s">
        <v>1077</v>
      </c>
      <c r="M330" t="s">
        <v>209</v>
      </c>
      <c r="N330" t="s">
        <v>222</v>
      </c>
      <c r="O330" t="s">
        <v>1600</v>
      </c>
      <c r="P330" t="s">
        <v>2523</v>
      </c>
      <c r="Q330" t="str">
        <f>IF($C330="","",IFERROR(VLOOKUP($C330,sources!$A$2:$N$200,2,FALSE()),"?"))</f>
        <v>Administrative</v>
      </c>
      <c r="R330" t="str">
        <f t="shared" si="5"/>
        <v>Textual</v>
      </c>
      <c r="S330" t="str">
        <f>IF($C330="","",IFERROR(VLOOKUP($C330,sources!$A$2:$N$200,9,FALSE()),"?"))</f>
        <v>US official</v>
      </c>
    </row>
    <row r="331" spans="1:19" x14ac:dyDescent="0.2">
      <c r="A331" t="s">
        <v>2524</v>
      </c>
      <c r="B331" t="s">
        <v>439</v>
      </c>
      <c r="C331" t="s">
        <v>1277</v>
      </c>
      <c r="D331" t="s">
        <v>1599</v>
      </c>
      <c r="E331" t="s">
        <v>440</v>
      </c>
      <c r="F331" t="s">
        <v>1612</v>
      </c>
      <c r="I331" t="s">
        <v>1077</v>
      </c>
      <c r="M331" t="s">
        <v>209</v>
      </c>
      <c r="N331" t="s">
        <v>222</v>
      </c>
      <c r="O331" t="s">
        <v>1600</v>
      </c>
      <c r="P331" t="s">
        <v>2525</v>
      </c>
      <c r="Q331" t="str">
        <f>IF($C331="","",IFERROR(VLOOKUP($C331,sources!$A$2:$N$200,2,FALSE()),"?"))</f>
        <v>Administrative</v>
      </c>
      <c r="R331" t="str">
        <f t="shared" si="5"/>
        <v>Textual</v>
      </c>
      <c r="S331" t="str">
        <f>IF($C331="","",IFERROR(VLOOKUP($C331,sources!$A$2:$N$200,9,FALSE()),"?"))</f>
        <v>US official</v>
      </c>
    </row>
    <row r="332" spans="1:19" x14ac:dyDescent="0.2">
      <c r="A332" t="s">
        <v>2526</v>
      </c>
      <c r="B332" t="s">
        <v>443</v>
      </c>
      <c r="C332" t="s">
        <v>1277</v>
      </c>
      <c r="D332" t="s">
        <v>1599</v>
      </c>
      <c r="E332" t="s">
        <v>444</v>
      </c>
      <c r="F332" t="s">
        <v>1612</v>
      </c>
      <c r="I332" t="s">
        <v>1077</v>
      </c>
      <c r="M332" t="s">
        <v>209</v>
      </c>
      <c r="N332" t="s">
        <v>222</v>
      </c>
      <c r="O332" t="s">
        <v>1600</v>
      </c>
      <c r="P332" t="s">
        <v>2527</v>
      </c>
      <c r="Q332" t="str">
        <f>IF($C332="","",IFERROR(VLOOKUP($C332,sources!$A$2:$N$200,2,FALSE()),"?"))</f>
        <v>Administrative</v>
      </c>
      <c r="R332" t="str">
        <f t="shared" si="5"/>
        <v>Textual</v>
      </c>
      <c r="S332" t="str">
        <f>IF($C332="","",IFERROR(VLOOKUP($C332,sources!$A$2:$N$200,9,FALSE()),"?"))</f>
        <v>US official</v>
      </c>
    </row>
    <row r="333" spans="1:19" x14ac:dyDescent="0.2">
      <c r="A333" t="s">
        <v>2528</v>
      </c>
      <c r="B333" t="s">
        <v>448</v>
      </c>
      <c r="C333" t="s">
        <v>1277</v>
      </c>
      <c r="D333" t="s">
        <v>1599</v>
      </c>
      <c r="E333" t="s">
        <v>449</v>
      </c>
      <c r="F333" t="s">
        <v>1612</v>
      </c>
      <c r="I333" t="s">
        <v>1077</v>
      </c>
      <c r="M333" t="s">
        <v>209</v>
      </c>
      <c r="N333" t="s">
        <v>222</v>
      </c>
      <c r="O333" t="s">
        <v>1600</v>
      </c>
      <c r="P333" t="s">
        <v>2529</v>
      </c>
      <c r="Q333" t="str">
        <f>IF($C333="","",IFERROR(VLOOKUP($C333,sources!$A$2:$N$200,2,FALSE()),"?"))</f>
        <v>Administrative</v>
      </c>
      <c r="R333" t="str">
        <f t="shared" si="5"/>
        <v>Textual</v>
      </c>
      <c r="S333" t="str">
        <f>IF($C333="","",IFERROR(VLOOKUP($C333,sources!$A$2:$N$200,9,FALSE()),"?"))</f>
        <v>US official</v>
      </c>
    </row>
    <row r="334" spans="1:19" x14ac:dyDescent="0.2">
      <c r="A334" t="s">
        <v>2530</v>
      </c>
      <c r="B334" t="s">
        <v>452</v>
      </c>
      <c r="C334" t="s">
        <v>1277</v>
      </c>
      <c r="D334" t="s">
        <v>1599</v>
      </c>
      <c r="E334" t="s">
        <v>453</v>
      </c>
      <c r="F334" t="s">
        <v>1612</v>
      </c>
      <c r="I334" t="s">
        <v>1077</v>
      </c>
      <c r="M334" t="s">
        <v>209</v>
      </c>
      <c r="N334" t="s">
        <v>222</v>
      </c>
      <c r="O334" t="s">
        <v>1600</v>
      </c>
      <c r="P334" t="s">
        <v>2531</v>
      </c>
      <c r="Q334" t="str">
        <f>IF($C334="","",IFERROR(VLOOKUP($C334,sources!$A$2:$N$200,2,FALSE()),"?"))</f>
        <v>Administrative</v>
      </c>
      <c r="R334" t="str">
        <f t="shared" si="5"/>
        <v>Textual</v>
      </c>
      <c r="S334" t="str">
        <f>IF($C334="","",IFERROR(VLOOKUP($C334,sources!$A$2:$N$200,9,FALSE()),"?"))</f>
        <v>US official</v>
      </c>
    </row>
    <row r="335" spans="1:19" x14ac:dyDescent="0.2">
      <c r="A335" t="s">
        <v>2532</v>
      </c>
      <c r="B335" t="s">
        <v>455</v>
      </c>
      <c r="C335" t="s">
        <v>1277</v>
      </c>
      <c r="D335" t="s">
        <v>1599</v>
      </c>
      <c r="E335" t="s">
        <v>456</v>
      </c>
      <c r="F335" t="s">
        <v>1612</v>
      </c>
      <c r="I335" t="s">
        <v>1077</v>
      </c>
      <c r="M335" t="s">
        <v>209</v>
      </c>
      <c r="N335" t="s">
        <v>222</v>
      </c>
      <c r="O335" t="s">
        <v>1600</v>
      </c>
      <c r="P335" t="s">
        <v>2533</v>
      </c>
      <c r="Q335" t="str">
        <f>IF($C335="","",IFERROR(VLOOKUP($C335,sources!$A$2:$N$200,2,FALSE()),"?"))</f>
        <v>Administrative</v>
      </c>
      <c r="R335" t="str">
        <f t="shared" si="5"/>
        <v>Textual</v>
      </c>
      <c r="S335" t="str">
        <f>IF($C335="","",IFERROR(VLOOKUP($C335,sources!$A$2:$N$200,9,FALSE()),"?"))</f>
        <v>US official</v>
      </c>
    </row>
    <row r="336" spans="1:19" x14ac:dyDescent="0.2">
      <c r="A336" t="s">
        <v>2534</v>
      </c>
      <c r="B336" t="s">
        <v>458</v>
      </c>
      <c r="C336" t="s">
        <v>1277</v>
      </c>
      <c r="D336" t="s">
        <v>1599</v>
      </c>
      <c r="E336" t="s">
        <v>459</v>
      </c>
      <c r="F336" t="s">
        <v>1612</v>
      </c>
      <c r="I336" t="s">
        <v>1077</v>
      </c>
      <c r="M336" t="s">
        <v>209</v>
      </c>
      <c r="N336" t="s">
        <v>222</v>
      </c>
      <c r="O336" t="s">
        <v>1600</v>
      </c>
      <c r="P336" t="s">
        <v>2535</v>
      </c>
      <c r="Q336" t="str">
        <f>IF($C336="","",IFERROR(VLOOKUP($C336,sources!$A$2:$N$200,2,FALSE()),"?"))</f>
        <v>Administrative</v>
      </c>
      <c r="R336" t="str">
        <f t="shared" si="5"/>
        <v>Textual</v>
      </c>
      <c r="S336" t="str">
        <f>IF($C336="","",IFERROR(VLOOKUP($C336,sources!$A$2:$N$200,9,FALSE()),"?"))</f>
        <v>US official</v>
      </c>
    </row>
    <row r="337" spans="1:19" x14ac:dyDescent="0.2">
      <c r="A337" t="s">
        <v>2536</v>
      </c>
      <c r="B337" t="s">
        <v>462</v>
      </c>
      <c r="C337" t="s">
        <v>1277</v>
      </c>
      <c r="D337" t="s">
        <v>1599</v>
      </c>
      <c r="E337" t="s">
        <v>463</v>
      </c>
      <c r="F337" t="s">
        <v>1612</v>
      </c>
      <c r="I337" t="s">
        <v>1077</v>
      </c>
      <c r="M337" t="s">
        <v>209</v>
      </c>
      <c r="N337" t="s">
        <v>222</v>
      </c>
      <c r="O337" t="s">
        <v>1600</v>
      </c>
      <c r="P337" t="s">
        <v>2537</v>
      </c>
      <c r="Q337" t="str">
        <f>IF($C337="","",IFERROR(VLOOKUP($C337,sources!$A$2:$N$200,2,FALSE()),"?"))</f>
        <v>Administrative</v>
      </c>
      <c r="R337" t="str">
        <f t="shared" si="5"/>
        <v>Textual</v>
      </c>
      <c r="S337" t="str">
        <f>IF($C337="","",IFERROR(VLOOKUP($C337,sources!$A$2:$N$200,9,FALSE()),"?"))</f>
        <v>US official</v>
      </c>
    </row>
    <row r="338" spans="1:19" x14ac:dyDescent="0.2">
      <c r="A338" t="s">
        <v>2538</v>
      </c>
      <c r="B338" t="s">
        <v>466</v>
      </c>
      <c r="C338" t="s">
        <v>1277</v>
      </c>
      <c r="D338" t="s">
        <v>1599</v>
      </c>
      <c r="E338" t="s">
        <v>467</v>
      </c>
      <c r="F338" t="s">
        <v>1612</v>
      </c>
      <c r="I338" t="s">
        <v>1077</v>
      </c>
      <c r="M338" t="s">
        <v>209</v>
      </c>
      <c r="N338" t="s">
        <v>222</v>
      </c>
      <c r="O338" t="s">
        <v>1600</v>
      </c>
      <c r="P338" t="s">
        <v>2539</v>
      </c>
      <c r="Q338" t="str">
        <f>IF($C338="","",IFERROR(VLOOKUP($C338,sources!$A$2:$N$200,2,FALSE()),"?"))</f>
        <v>Administrative</v>
      </c>
      <c r="R338" t="str">
        <f t="shared" si="5"/>
        <v>Textual</v>
      </c>
      <c r="S338" t="str">
        <f>IF($C338="","",IFERROR(VLOOKUP($C338,sources!$A$2:$N$200,9,FALSE()),"?"))</f>
        <v>US official</v>
      </c>
    </row>
    <row r="339" spans="1:19" x14ac:dyDescent="0.2">
      <c r="A339" t="s">
        <v>2540</v>
      </c>
      <c r="B339" t="s">
        <v>471</v>
      </c>
      <c r="C339" t="s">
        <v>1277</v>
      </c>
      <c r="D339" t="s">
        <v>1599</v>
      </c>
      <c r="E339" t="s">
        <v>472</v>
      </c>
      <c r="F339" t="s">
        <v>1612</v>
      </c>
      <c r="I339" t="s">
        <v>1077</v>
      </c>
      <c r="M339" t="s">
        <v>209</v>
      </c>
      <c r="N339" t="s">
        <v>222</v>
      </c>
      <c r="O339" t="s">
        <v>1600</v>
      </c>
      <c r="P339" t="s">
        <v>2541</v>
      </c>
      <c r="Q339" t="str">
        <f>IF($C339="","",IFERROR(VLOOKUP($C339,sources!$A$2:$N$200,2,FALSE()),"?"))</f>
        <v>Administrative</v>
      </c>
      <c r="R339" t="str">
        <f t="shared" si="5"/>
        <v>Textual</v>
      </c>
      <c r="S339" t="str">
        <f>IF($C339="","",IFERROR(VLOOKUP($C339,sources!$A$2:$N$200,9,FALSE()),"?"))</f>
        <v>US official</v>
      </c>
    </row>
    <row r="340" spans="1:19" x14ac:dyDescent="0.2">
      <c r="A340" t="s">
        <v>2542</v>
      </c>
      <c r="B340" t="s">
        <v>475</v>
      </c>
      <c r="C340" t="s">
        <v>1277</v>
      </c>
      <c r="D340" t="s">
        <v>1599</v>
      </c>
      <c r="E340" t="s">
        <v>476</v>
      </c>
      <c r="F340" t="s">
        <v>1612</v>
      </c>
      <c r="I340" t="s">
        <v>1077</v>
      </c>
      <c r="M340" t="s">
        <v>209</v>
      </c>
      <c r="N340" t="s">
        <v>222</v>
      </c>
      <c r="O340" t="s">
        <v>1600</v>
      </c>
      <c r="P340" t="s">
        <v>2543</v>
      </c>
      <c r="Q340" t="str">
        <f>IF($C340="","",IFERROR(VLOOKUP($C340,sources!$A$2:$N$200,2,FALSE()),"?"))</f>
        <v>Administrative</v>
      </c>
      <c r="R340" t="str">
        <f t="shared" si="5"/>
        <v>Textual</v>
      </c>
      <c r="S340" t="str">
        <f>IF($C340="","",IFERROR(VLOOKUP($C340,sources!$A$2:$N$200,9,FALSE()),"?"))</f>
        <v>US official</v>
      </c>
    </row>
    <row r="341" spans="1:19" x14ac:dyDescent="0.2">
      <c r="A341" t="s">
        <v>2544</v>
      </c>
      <c r="B341" t="s">
        <v>480</v>
      </c>
      <c r="C341" t="s">
        <v>1277</v>
      </c>
      <c r="D341" t="s">
        <v>1599</v>
      </c>
      <c r="E341" t="s">
        <v>481</v>
      </c>
      <c r="F341" t="s">
        <v>1612</v>
      </c>
      <c r="I341" t="s">
        <v>1077</v>
      </c>
      <c r="M341" t="s">
        <v>209</v>
      </c>
      <c r="N341" t="s">
        <v>222</v>
      </c>
      <c r="O341" t="s">
        <v>1600</v>
      </c>
      <c r="P341" t="s">
        <v>2545</v>
      </c>
      <c r="Q341" t="str">
        <f>IF($C341="","",IFERROR(VLOOKUP($C341,sources!$A$2:$N$200,2,FALSE()),"?"))</f>
        <v>Administrative</v>
      </c>
      <c r="R341" t="str">
        <f t="shared" si="5"/>
        <v>Textual</v>
      </c>
      <c r="S341" t="str">
        <f>IF($C341="","",IFERROR(VLOOKUP($C341,sources!$A$2:$N$200,9,FALSE()),"?"))</f>
        <v>US official</v>
      </c>
    </row>
    <row r="342" spans="1:19" x14ac:dyDescent="0.2">
      <c r="A342" t="s">
        <v>2546</v>
      </c>
      <c r="B342" t="s">
        <v>487</v>
      </c>
      <c r="C342" t="s">
        <v>1277</v>
      </c>
      <c r="D342" t="s">
        <v>1599</v>
      </c>
      <c r="E342" t="s">
        <v>488</v>
      </c>
      <c r="F342" t="s">
        <v>1612</v>
      </c>
      <c r="I342" t="s">
        <v>1077</v>
      </c>
      <c r="M342" t="s">
        <v>209</v>
      </c>
      <c r="N342" t="s">
        <v>222</v>
      </c>
      <c r="O342" t="s">
        <v>1600</v>
      </c>
      <c r="P342" t="s">
        <v>2547</v>
      </c>
      <c r="Q342" t="str">
        <f>IF($C342="","",IFERROR(VLOOKUP($C342,sources!$A$2:$N$200,2,FALSE()),"?"))</f>
        <v>Administrative</v>
      </c>
      <c r="R342" t="str">
        <f t="shared" si="5"/>
        <v>Textual</v>
      </c>
      <c r="S342" t="str">
        <f>IF($C342="","",IFERROR(VLOOKUP($C342,sources!$A$2:$N$200,9,FALSE()),"?"))</f>
        <v>US official</v>
      </c>
    </row>
    <row r="343" spans="1:19" x14ac:dyDescent="0.2">
      <c r="A343" t="s">
        <v>2548</v>
      </c>
      <c r="B343" t="s">
        <v>491</v>
      </c>
      <c r="C343" t="s">
        <v>1277</v>
      </c>
      <c r="D343" t="s">
        <v>1599</v>
      </c>
      <c r="E343" t="s">
        <v>492</v>
      </c>
      <c r="F343" t="s">
        <v>1612</v>
      </c>
      <c r="I343" t="s">
        <v>1077</v>
      </c>
      <c r="M343" t="s">
        <v>209</v>
      </c>
      <c r="N343" t="s">
        <v>222</v>
      </c>
      <c r="O343" t="s">
        <v>1600</v>
      </c>
      <c r="P343" t="s">
        <v>2549</v>
      </c>
      <c r="Q343" t="str">
        <f>IF($C343="","",IFERROR(VLOOKUP($C343,sources!$A$2:$N$200,2,FALSE()),"?"))</f>
        <v>Administrative</v>
      </c>
      <c r="R343" t="str">
        <f t="shared" si="5"/>
        <v>Textual</v>
      </c>
      <c r="S343" t="str">
        <f>IF($C343="","",IFERROR(VLOOKUP($C343,sources!$A$2:$N$200,9,FALSE()),"?"))</f>
        <v>US official</v>
      </c>
    </row>
    <row r="344" spans="1:19" x14ac:dyDescent="0.2">
      <c r="A344" t="s">
        <v>2550</v>
      </c>
      <c r="B344" t="s">
        <v>494</v>
      </c>
      <c r="C344" t="s">
        <v>1277</v>
      </c>
      <c r="D344" t="s">
        <v>1599</v>
      </c>
      <c r="E344" t="s">
        <v>495</v>
      </c>
      <c r="F344" t="s">
        <v>1612</v>
      </c>
      <c r="I344" t="s">
        <v>1077</v>
      </c>
      <c r="M344" t="s">
        <v>209</v>
      </c>
      <c r="N344" t="s">
        <v>222</v>
      </c>
      <c r="O344" t="s">
        <v>1600</v>
      </c>
      <c r="P344" t="s">
        <v>2551</v>
      </c>
      <c r="Q344" t="str">
        <f>IF($C344="","",IFERROR(VLOOKUP($C344,sources!$A$2:$N$200,2,FALSE()),"?"))</f>
        <v>Administrative</v>
      </c>
      <c r="R344" t="str">
        <f t="shared" si="5"/>
        <v>Textual</v>
      </c>
      <c r="S344" t="str">
        <f>IF($C344="","",IFERROR(VLOOKUP($C344,sources!$A$2:$N$200,9,FALSE()),"?"))</f>
        <v>US official</v>
      </c>
    </row>
    <row r="345" spans="1:19" x14ac:dyDescent="0.2">
      <c r="A345" t="s">
        <v>2552</v>
      </c>
      <c r="B345" t="s">
        <v>499</v>
      </c>
      <c r="C345" t="s">
        <v>1277</v>
      </c>
      <c r="D345" t="s">
        <v>1599</v>
      </c>
      <c r="E345" t="s">
        <v>500</v>
      </c>
      <c r="F345" t="s">
        <v>1612</v>
      </c>
      <c r="I345" t="s">
        <v>1077</v>
      </c>
      <c r="M345" t="s">
        <v>209</v>
      </c>
      <c r="N345" t="s">
        <v>222</v>
      </c>
      <c r="O345" t="s">
        <v>1600</v>
      </c>
      <c r="P345" t="s">
        <v>2553</v>
      </c>
      <c r="Q345" t="str">
        <f>IF($C345="","",IFERROR(VLOOKUP($C345,sources!$A$2:$N$200,2,FALSE()),"?"))</f>
        <v>Administrative</v>
      </c>
      <c r="R345" t="str">
        <f t="shared" si="5"/>
        <v>Textual</v>
      </c>
      <c r="S345" t="str">
        <f>IF($C345="","",IFERROR(VLOOKUP($C345,sources!$A$2:$N$200,9,FALSE()),"?"))</f>
        <v>US official</v>
      </c>
    </row>
    <row r="346" spans="1:19" x14ac:dyDescent="0.2">
      <c r="A346" t="s">
        <v>2554</v>
      </c>
      <c r="B346" t="s">
        <v>503</v>
      </c>
      <c r="C346" t="s">
        <v>1277</v>
      </c>
      <c r="D346" t="s">
        <v>1599</v>
      </c>
      <c r="E346" t="s">
        <v>504</v>
      </c>
      <c r="F346" t="s">
        <v>1612</v>
      </c>
      <c r="I346" t="s">
        <v>1077</v>
      </c>
      <c r="M346" t="s">
        <v>209</v>
      </c>
      <c r="N346" t="s">
        <v>222</v>
      </c>
      <c r="O346" t="s">
        <v>1600</v>
      </c>
      <c r="P346" t="s">
        <v>2555</v>
      </c>
      <c r="Q346" t="str">
        <f>IF($C346="","",IFERROR(VLOOKUP($C346,sources!$A$2:$N$200,2,FALSE()),"?"))</f>
        <v>Administrative</v>
      </c>
      <c r="R346" t="str">
        <f t="shared" si="5"/>
        <v>Textual</v>
      </c>
      <c r="S346" t="str">
        <f>IF($C346="","",IFERROR(VLOOKUP($C346,sources!$A$2:$N$200,9,FALSE()),"?"))</f>
        <v>US official</v>
      </c>
    </row>
    <row r="347" spans="1:19" x14ac:dyDescent="0.2">
      <c r="A347" t="s">
        <v>2556</v>
      </c>
      <c r="B347" t="s">
        <v>506</v>
      </c>
      <c r="C347" t="s">
        <v>1277</v>
      </c>
      <c r="D347" t="s">
        <v>1599</v>
      </c>
      <c r="E347" t="s">
        <v>507</v>
      </c>
      <c r="F347" t="s">
        <v>1612</v>
      </c>
      <c r="I347" t="s">
        <v>1077</v>
      </c>
      <c r="M347" t="s">
        <v>209</v>
      </c>
      <c r="N347" t="s">
        <v>222</v>
      </c>
      <c r="O347" t="s">
        <v>1600</v>
      </c>
      <c r="P347" t="s">
        <v>2557</v>
      </c>
      <c r="Q347" t="str">
        <f>IF($C347="","",IFERROR(VLOOKUP($C347,sources!$A$2:$N$200,2,FALSE()),"?"))</f>
        <v>Administrative</v>
      </c>
      <c r="R347" t="str">
        <f t="shared" si="5"/>
        <v>Textual</v>
      </c>
      <c r="S347" t="str">
        <f>IF($C347="","",IFERROR(VLOOKUP($C347,sources!$A$2:$N$200,9,FALSE()),"?"))</f>
        <v>US official</v>
      </c>
    </row>
    <row r="348" spans="1:19" x14ac:dyDescent="0.2">
      <c r="A348" t="s">
        <v>2558</v>
      </c>
      <c r="B348" t="s">
        <v>517</v>
      </c>
      <c r="C348" t="s">
        <v>1277</v>
      </c>
      <c r="D348" t="s">
        <v>1599</v>
      </c>
      <c r="E348" t="s">
        <v>518</v>
      </c>
      <c r="F348" t="s">
        <v>1612</v>
      </c>
      <c r="I348" t="s">
        <v>1077</v>
      </c>
      <c r="M348" t="s">
        <v>209</v>
      </c>
      <c r="N348" t="s">
        <v>222</v>
      </c>
      <c r="O348" t="s">
        <v>1600</v>
      </c>
      <c r="P348" t="s">
        <v>2559</v>
      </c>
      <c r="Q348" t="str">
        <f>IF($C348="","",IFERROR(VLOOKUP($C348,sources!$A$2:$N$200,2,FALSE()),"?"))</f>
        <v>Administrative</v>
      </c>
      <c r="R348" t="str">
        <f t="shared" si="5"/>
        <v>Textual</v>
      </c>
      <c r="S348" t="str">
        <f>IF($C348="","",IFERROR(VLOOKUP($C348,sources!$A$2:$N$200,9,FALSE()),"?"))</f>
        <v>US official</v>
      </c>
    </row>
    <row r="349" spans="1:19" x14ac:dyDescent="0.2">
      <c r="A349" t="s">
        <v>2560</v>
      </c>
      <c r="B349" t="s">
        <v>529</v>
      </c>
      <c r="C349" t="s">
        <v>1277</v>
      </c>
      <c r="D349" t="s">
        <v>1599</v>
      </c>
      <c r="E349" t="s">
        <v>530</v>
      </c>
      <c r="F349" t="s">
        <v>1612</v>
      </c>
      <c r="I349" t="s">
        <v>1077</v>
      </c>
      <c r="M349" t="s">
        <v>209</v>
      </c>
      <c r="N349" t="s">
        <v>222</v>
      </c>
      <c r="O349" t="s">
        <v>1600</v>
      </c>
      <c r="P349" t="s">
        <v>2561</v>
      </c>
      <c r="Q349" t="str">
        <f>IF($C349="","",IFERROR(VLOOKUP($C349,sources!$A$2:$N$200,2,FALSE()),"?"))</f>
        <v>Administrative</v>
      </c>
      <c r="R349" t="str">
        <f t="shared" si="5"/>
        <v>Textual</v>
      </c>
      <c r="S349" t="str">
        <f>IF($C349="","",IFERROR(VLOOKUP($C349,sources!$A$2:$N$200,9,FALSE()),"?"))</f>
        <v>US official</v>
      </c>
    </row>
    <row r="350" spans="1:19" x14ac:dyDescent="0.2">
      <c r="A350" t="s">
        <v>2562</v>
      </c>
      <c r="B350" t="s">
        <v>213</v>
      </c>
      <c r="C350" t="s">
        <v>1277</v>
      </c>
      <c r="D350" t="s">
        <v>1666</v>
      </c>
      <c r="E350" t="s">
        <v>214</v>
      </c>
      <c r="F350" t="s">
        <v>1612</v>
      </c>
      <c r="I350" t="s">
        <v>1077</v>
      </c>
      <c r="M350" t="s">
        <v>222</v>
      </c>
      <c r="N350" t="s">
        <v>222</v>
      </c>
      <c r="O350" t="s">
        <v>1600</v>
      </c>
      <c r="P350" t="s">
        <v>2563</v>
      </c>
      <c r="Q350" t="str">
        <f>IF($C350="","",IFERROR(VLOOKUP($C350,sources!$A$2:$N$200,2,FALSE()),"?"))</f>
        <v>Administrative</v>
      </c>
      <c r="R350" t="str">
        <f t="shared" si="5"/>
        <v>Textual</v>
      </c>
      <c r="S350" t="str">
        <f>IF($C350="","",IFERROR(VLOOKUP($C350,sources!$A$2:$N$200,9,FALSE()),"?"))</f>
        <v>US official</v>
      </c>
    </row>
    <row r="351" spans="1:19" x14ac:dyDescent="0.2">
      <c r="A351" t="s">
        <v>2564</v>
      </c>
      <c r="B351" t="s">
        <v>224</v>
      </c>
      <c r="C351" t="s">
        <v>1277</v>
      </c>
      <c r="D351" t="s">
        <v>1666</v>
      </c>
      <c r="E351" t="s">
        <v>225</v>
      </c>
      <c r="F351" t="s">
        <v>1612</v>
      </c>
      <c r="I351" t="s">
        <v>1077</v>
      </c>
      <c r="M351" t="s">
        <v>222</v>
      </c>
      <c r="N351" t="s">
        <v>222</v>
      </c>
      <c r="O351" t="s">
        <v>1600</v>
      </c>
      <c r="P351" t="s">
        <v>2563</v>
      </c>
      <c r="Q351" t="str">
        <f>IF($C351="","",IFERROR(VLOOKUP($C351,sources!$A$2:$N$200,2,FALSE()),"?"))</f>
        <v>Administrative</v>
      </c>
      <c r="R351" t="str">
        <f t="shared" si="5"/>
        <v>Textual</v>
      </c>
      <c r="S351" t="str">
        <f>IF($C351="","",IFERROR(VLOOKUP($C351,sources!$A$2:$N$200,9,FALSE()),"?"))</f>
        <v>US official</v>
      </c>
    </row>
    <row r="352" spans="1:19" x14ac:dyDescent="0.2">
      <c r="A352" t="s">
        <v>2565</v>
      </c>
      <c r="B352" t="s">
        <v>234</v>
      </c>
      <c r="C352" t="s">
        <v>1277</v>
      </c>
      <c r="D352" t="s">
        <v>1666</v>
      </c>
      <c r="E352" t="s">
        <v>235</v>
      </c>
      <c r="F352" t="s">
        <v>1612</v>
      </c>
      <c r="I352" t="s">
        <v>1077</v>
      </c>
      <c r="M352" t="s">
        <v>222</v>
      </c>
      <c r="N352" t="s">
        <v>222</v>
      </c>
      <c r="O352" t="s">
        <v>1600</v>
      </c>
      <c r="P352" t="s">
        <v>2563</v>
      </c>
      <c r="Q352" t="str">
        <f>IF($C352="","",IFERROR(VLOOKUP($C352,sources!$A$2:$N$200,2,FALSE()),"?"))</f>
        <v>Administrative</v>
      </c>
      <c r="R352" t="str">
        <f t="shared" si="5"/>
        <v>Textual</v>
      </c>
      <c r="S352" t="str">
        <f>IF($C352="","",IFERROR(VLOOKUP($C352,sources!$A$2:$N$200,9,FALSE()),"?"))</f>
        <v>US official</v>
      </c>
    </row>
    <row r="353" spans="1:19" x14ac:dyDescent="0.2">
      <c r="A353" t="s">
        <v>2566</v>
      </c>
      <c r="B353" t="s">
        <v>236</v>
      </c>
      <c r="C353" t="s">
        <v>1277</v>
      </c>
      <c r="D353" t="s">
        <v>1666</v>
      </c>
      <c r="E353" t="s">
        <v>237</v>
      </c>
      <c r="F353" t="s">
        <v>1612</v>
      </c>
      <c r="I353" t="s">
        <v>1077</v>
      </c>
      <c r="M353" t="s">
        <v>222</v>
      </c>
      <c r="N353" t="s">
        <v>222</v>
      </c>
      <c r="O353" t="s">
        <v>1600</v>
      </c>
      <c r="P353" t="s">
        <v>2563</v>
      </c>
      <c r="Q353" t="str">
        <f>IF($C353="","",IFERROR(VLOOKUP($C353,sources!$A$2:$N$200,2,FALSE()),"?"))</f>
        <v>Administrative</v>
      </c>
      <c r="R353" t="str">
        <f t="shared" si="5"/>
        <v>Textual</v>
      </c>
      <c r="S353" t="str">
        <f>IF($C353="","",IFERROR(VLOOKUP($C353,sources!$A$2:$N$200,9,FALSE()),"?"))</f>
        <v>US official</v>
      </c>
    </row>
    <row r="354" spans="1:19" x14ac:dyDescent="0.2">
      <c r="A354" t="s">
        <v>2567</v>
      </c>
      <c r="B354" t="s">
        <v>417</v>
      </c>
      <c r="C354" t="s">
        <v>1277</v>
      </c>
      <c r="D354" t="s">
        <v>1666</v>
      </c>
      <c r="E354" t="s">
        <v>418</v>
      </c>
      <c r="F354" t="s">
        <v>1612</v>
      </c>
      <c r="I354" t="s">
        <v>1077</v>
      </c>
      <c r="M354" t="s">
        <v>222</v>
      </c>
      <c r="N354" t="s">
        <v>222</v>
      </c>
      <c r="O354" t="s">
        <v>1600</v>
      </c>
      <c r="P354" t="s">
        <v>2563</v>
      </c>
      <c r="Q354" t="str">
        <f>IF($C354="","",IFERROR(VLOOKUP($C354,sources!$A$2:$N$200,2,FALSE()),"?"))</f>
        <v>Administrative</v>
      </c>
      <c r="R354" t="str">
        <f t="shared" si="5"/>
        <v>Textual</v>
      </c>
      <c r="S354" t="str">
        <f>IF($C354="","",IFERROR(VLOOKUP($C354,sources!$A$2:$N$200,9,FALSE()),"?"))</f>
        <v>US official</v>
      </c>
    </row>
    <row r="355" spans="1:19" x14ac:dyDescent="0.2">
      <c r="A355" t="s">
        <v>2568</v>
      </c>
      <c r="B355" t="s">
        <v>484</v>
      </c>
      <c r="C355" t="s">
        <v>1277</v>
      </c>
      <c r="D355" t="s">
        <v>1666</v>
      </c>
      <c r="E355" t="s">
        <v>485</v>
      </c>
      <c r="F355" t="s">
        <v>1612</v>
      </c>
      <c r="I355" t="s">
        <v>1077</v>
      </c>
      <c r="M355" t="s">
        <v>222</v>
      </c>
      <c r="N355" t="s">
        <v>222</v>
      </c>
      <c r="O355" t="s">
        <v>1600</v>
      </c>
      <c r="P355" t="s">
        <v>2563</v>
      </c>
      <c r="Q355" t="str">
        <f>IF($C355="","",IFERROR(VLOOKUP($C355,sources!$A$2:$N$200,2,FALSE()),"?"))</f>
        <v>Administrative</v>
      </c>
      <c r="R355" t="str">
        <f t="shared" si="5"/>
        <v>Textual</v>
      </c>
      <c r="S355" t="str">
        <f>IF($C355="","",IFERROR(VLOOKUP($C355,sources!$A$2:$N$200,9,FALSE()),"?"))</f>
        <v>US official</v>
      </c>
    </row>
    <row r="356" spans="1:19" x14ac:dyDescent="0.2">
      <c r="A356" t="s">
        <v>2569</v>
      </c>
      <c r="B356" t="s">
        <v>509</v>
      </c>
      <c r="C356" t="s">
        <v>1277</v>
      </c>
      <c r="D356" t="s">
        <v>1666</v>
      </c>
      <c r="E356" t="s">
        <v>510</v>
      </c>
      <c r="F356" t="s">
        <v>1612</v>
      </c>
      <c r="I356" t="s">
        <v>1077</v>
      </c>
      <c r="M356" t="s">
        <v>222</v>
      </c>
      <c r="N356" t="s">
        <v>222</v>
      </c>
      <c r="O356" t="s">
        <v>1600</v>
      </c>
      <c r="P356" t="s">
        <v>2563</v>
      </c>
      <c r="Q356" t="str">
        <f>IF($C356="","",IFERROR(VLOOKUP($C356,sources!$A$2:$N$200,2,FALSE()),"?"))</f>
        <v>Administrative</v>
      </c>
      <c r="R356" t="str">
        <f t="shared" si="5"/>
        <v>Textual</v>
      </c>
      <c r="S356" t="str">
        <f>IF($C356="","",IFERROR(VLOOKUP($C356,sources!$A$2:$N$200,9,FALSE()),"?"))</f>
        <v>US official</v>
      </c>
    </row>
    <row r="357" spans="1:19" x14ac:dyDescent="0.2">
      <c r="A357" t="s">
        <v>2570</v>
      </c>
      <c r="B357" t="s">
        <v>514</v>
      </c>
      <c r="C357" t="s">
        <v>1277</v>
      </c>
      <c r="D357" t="s">
        <v>1666</v>
      </c>
      <c r="E357" t="s">
        <v>515</v>
      </c>
      <c r="F357" t="s">
        <v>1612</v>
      </c>
      <c r="I357" t="s">
        <v>1077</v>
      </c>
      <c r="M357" t="s">
        <v>222</v>
      </c>
      <c r="N357" t="s">
        <v>222</v>
      </c>
      <c r="O357" t="s">
        <v>1600</v>
      </c>
      <c r="P357" t="s">
        <v>2563</v>
      </c>
      <c r="Q357" t="str">
        <f>IF($C357="","",IFERROR(VLOOKUP($C357,sources!$A$2:$N$200,2,FALSE()),"?"))</f>
        <v>Administrative</v>
      </c>
      <c r="R357" t="str">
        <f t="shared" si="5"/>
        <v>Textual</v>
      </c>
      <c r="S357" t="str">
        <f>IF($C357="","",IFERROR(VLOOKUP($C357,sources!$A$2:$N$200,9,FALSE()),"?"))</f>
        <v>US official</v>
      </c>
    </row>
    <row r="358" spans="1:19" x14ac:dyDescent="0.2">
      <c r="A358" t="s">
        <v>2571</v>
      </c>
      <c r="B358" t="s">
        <v>522</v>
      </c>
      <c r="C358" t="s">
        <v>1277</v>
      </c>
      <c r="D358" t="s">
        <v>1666</v>
      </c>
      <c r="E358" t="s">
        <v>523</v>
      </c>
      <c r="F358" t="s">
        <v>1612</v>
      </c>
      <c r="I358" t="s">
        <v>1077</v>
      </c>
      <c r="M358" t="s">
        <v>222</v>
      </c>
      <c r="N358" t="s">
        <v>222</v>
      </c>
      <c r="O358" t="s">
        <v>1600</v>
      </c>
      <c r="P358" t="s">
        <v>2563</v>
      </c>
      <c r="Q358" t="str">
        <f>IF($C358="","",IFERROR(VLOOKUP($C358,sources!$A$2:$N$200,2,FALSE()),"?"))</f>
        <v>Administrative</v>
      </c>
      <c r="R358" t="str">
        <f t="shared" si="5"/>
        <v>Textual</v>
      </c>
      <c r="S358" t="str">
        <f>IF($C358="","",IFERROR(VLOOKUP($C358,sources!$A$2:$N$200,9,FALSE()),"?"))</f>
        <v>US official</v>
      </c>
    </row>
    <row r="359" spans="1:19" x14ac:dyDescent="0.2">
      <c r="A359" t="s">
        <v>2572</v>
      </c>
      <c r="B359" t="s">
        <v>526</v>
      </c>
      <c r="C359" t="s">
        <v>1277</v>
      </c>
      <c r="D359" t="s">
        <v>1666</v>
      </c>
      <c r="E359" t="s">
        <v>527</v>
      </c>
      <c r="F359" t="s">
        <v>1612</v>
      </c>
      <c r="I359" t="s">
        <v>1077</v>
      </c>
      <c r="M359" t="s">
        <v>222</v>
      </c>
      <c r="N359" t="s">
        <v>222</v>
      </c>
      <c r="O359" t="s">
        <v>1600</v>
      </c>
      <c r="P359" t="s">
        <v>2563</v>
      </c>
      <c r="Q359" t="str">
        <f>IF($C359="","",IFERROR(VLOOKUP($C359,sources!$A$2:$N$200,2,FALSE()),"?"))</f>
        <v>Administrative</v>
      </c>
      <c r="R359" t="str">
        <f t="shared" si="5"/>
        <v>Textual</v>
      </c>
      <c r="S359" t="str">
        <f>IF($C359="","",IFERROR(VLOOKUP($C359,sources!$A$2:$N$200,9,FALSE()),"?"))</f>
        <v>US official</v>
      </c>
    </row>
    <row r="360" spans="1:19" x14ac:dyDescent="0.2">
      <c r="A360" t="s">
        <v>2573</v>
      </c>
      <c r="B360" t="s">
        <v>238</v>
      </c>
      <c r="C360" t="s">
        <v>1286</v>
      </c>
      <c r="D360" t="s">
        <v>1599</v>
      </c>
      <c r="E360" t="s">
        <v>2574</v>
      </c>
      <c r="F360" t="s">
        <v>1612</v>
      </c>
      <c r="I360" t="s">
        <v>1077</v>
      </c>
      <c r="K360" t="s">
        <v>302</v>
      </c>
      <c r="L360" t="s">
        <v>302</v>
      </c>
      <c r="M360" t="s">
        <v>222</v>
      </c>
      <c r="N360" t="s">
        <v>222</v>
      </c>
      <c r="O360" t="s">
        <v>2575</v>
      </c>
      <c r="P360" t="s">
        <v>2576</v>
      </c>
      <c r="Q360" t="str">
        <f>IF($C360="","",IFERROR(VLOOKUP($C360,sources!$A$2:$N$200,2,FALSE()),"?"))</f>
        <v>Photograph</v>
      </c>
      <c r="R360" t="str">
        <f t="shared" si="5"/>
        <v>Image</v>
      </c>
      <c r="S360" t="str">
        <f>IF($C360="","",IFERROR(VLOOKUP($C360,sources!$A$2:$N$200,9,FALSE()),"?"))</f>
        <v>US press</v>
      </c>
    </row>
    <row r="361" spans="1:19" x14ac:dyDescent="0.2">
      <c r="A361" t="s">
        <v>2577</v>
      </c>
      <c r="B361" t="s">
        <v>238</v>
      </c>
      <c r="C361" t="s">
        <v>1286</v>
      </c>
      <c r="D361" t="s">
        <v>1599</v>
      </c>
      <c r="E361" t="s">
        <v>2578</v>
      </c>
      <c r="F361" t="s">
        <v>1612</v>
      </c>
      <c r="I361" t="s">
        <v>1077</v>
      </c>
      <c r="K361" t="s">
        <v>302</v>
      </c>
      <c r="L361" t="s">
        <v>302</v>
      </c>
      <c r="M361" t="s">
        <v>222</v>
      </c>
      <c r="N361" t="s">
        <v>222</v>
      </c>
      <c r="O361" t="s">
        <v>2575</v>
      </c>
      <c r="P361" t="s">
        <v>2579</v>
      </c>
      <c r="Q361" t="str">
        <f>IF($C361="","",IFERROR(VLOOKUP($C361,sources!$A$2:$N$200,2,FALSE()),"?"))</f>
        <v>Photograph</v>
      </c>
      <c r="R361" t="str">
        <f t="shared" si="5"/>
        <v>Image</v>
      </c>
      <c r="S361" t="str">
        <f>IF($C361="","",IFERROR(VLOOKUP($C361,sources!$A$2:$N$200,9,FALSE()),"?"))</f>
        <v>US press</v>
      </c>
    </row>
    <row r="362" spans="1:19" x14ac:dyDescent="0.2">
      <c r="A362" t="s">
        <v>2580</v>
      </c>
      <c r="B362" t="s">
        <v>252</v>
      </c>
      <c r="C362" t="s">
        <v>1286</v>
      </c>
      <c r="D362" t="s">
        <v>1599</v>
      </c>
      <c r="E362" t="s">
        <v>2581</v>
      </c>
      <c r="F362" t="s">
        <v>1612</v>
      </c>
      <c r="I362" t="s">
        <v>1077</v>
      </c>
      <c r="K362" t="s">
        <v>310</v>
      </c>
      <c r="L362" t="s">
        <v>310</v>
      </c>
      <c r="M362" t="s">
        <v>222</v>
      </c>
      <c r="N362" t="s">
        <v>222</v>
      </c>
      <c r="O362" t="s">
        <v>2575</v>
      </c>
      <c r="P362" t="s">
        <v>2582</v>
      </c>
      <c r="Q362" t="str">
        <f>IF($C362="","",IFERROR(VLOOKUP($C362,sources!$A$2:$N$200,2,FALSE()),"?"))</f>
        <v>Photograph</v>
      </c>
      <c r="R362" t="str">
        <f t="shared" si="5"/>
        <v>Image</v>
      </c>
      <c r="S362" t="str">
        <f>IF($C362="","",IFERROR(VLOOKUP($C362,sources!$A$2:$N$200,9,FALSE()),"?"))</f>
        <v>US press</v>
      </c>
    </row>
    <row r="363" spans="1:19" x14ac:dyDescent="0.2">
      <c r="A363" t="s">
        <v>2583</v>
      </c>
      <c r="B363" t="s">
        <v>252</v>
      </c>
      <c r="C363" t="s">
        <v>1286</v>
      </c>
      <c r="D363" t="s">
        <v>1599</v>
      </c>
      <c r="E363" t="s">
        <v>2584</v>
      </c>
      <c r="F363" t="s">
        <v>1612</v>
      </c>
      <c r="I363" t="s">
        <v>1077</v>
      </c>
      <c r="K363" t="s">
        <v>302</v>
      </c>
      <c r="L363" t="s">
        <v>302</v>
      </c>
      <c r="M363" t="s">
        <v>222</v>
      </c>
      <c r="N363" t="s">
        <v>222</v>
      </c>
      <c r="O363" t="s">
        <v>2575</v>
      </c>
      <c r="P363" t="s">
        <v>2585</v>
      </c>
      <c r="Q363" t="str">
        <f>IF($C363="","",IFERROR(VLOOKUP($C363,sources!$A$2:$N$200,2,FALSE()),"?"))</f>
        <v>Photograph</v>
      </c>
      <c r="R363" t="str">
        <f t="shared" si="5"/>
        <v>Image</v>
      </c>
      <c r="S363" t="str">
        <f>IF($C363="","",IFERROR(VLOOKUP($C363,sources!$A$2:$N$200,9,FALSE()),"?"))</f>
        <v>US press</v>
      </c>
    </row>
    <row r="364" spans="1:19" x14ac:dyDescent="0.2">
      <c r="A364" t="s">
        <v>2586</v>
      </c>
      <c r="B364" t="s">
        <v>252</v>
      </c>
      <c r="C364" t="s">
        <v>1286</v>
      </c>
      <c r="D364" t="s">
        <v>1599</v>
      </c>
      <c r="E364" t="s">
        <v>2587</v>
      </c>
      <c r="F364" t="s">
        <v>1612</v>
      </c>
      <c r="I364" t="s">
        <v>1077</v>
      </c>
      <c r="K364" t="s">
        <v>310</v>
      </c>
      <c r="L364" t="s">
        <v>250</v>
      </c>
      <c r="M364" t="s">
        <v>222</v>
      </c>
      <c r="N364" t="s">
        <v>222</v>
      </c>
      <c r="O364" t="s">
        <v>2575</v>
      </c>
      <c r="P364" t="s">
        <v>2588</v>
      </c>
      <c r="Q364" t="str">
        <f>IF($C364="","",IFERROR(VLOOKUP($C364,sources!$A$2:$N$200,2,FALSE()),"?"))</f>
        <v>Photograph</v>
      </c>
      <c r="R364" t="str">
        <f t="shared" si="5"/>
        <v>Image</v>
      </c>
      <c r="S364" t="str">
        <f>IF($C364="","",IFERROR(VLOOKUP($C364,sources!$A$2:$N$200,9,FALSE()),"?"))</f>
        <v>US press</v>
      </c>
    </row>
    <row r="365" spans="1:19" x14ac:dyDescent="0.2">
      <c r="A365" t="s">
        <v>2589</v>
      </c>
      <c r="B365" t="s">
        <v>272</v>
      </c>
      <c r="C365" t="s">
        <v>1286</v>
      </c>
      <c r="D365" t="s">
        <v>1599</v>
      </c>
      <c r="E365" t="s">
        <v>2590</v>
      </c>
      <c r="F365" t="s">
        <v>1612</v>
      </c>
      <c r="I365" t="s">
        <v>1077</v>
      </c>
      <c r="K365" t="s">
        <v>302</v>
      </c>
      <c r="L365" t="s">
        <v>302</v>
      </c>
      <c r="M365" t="s">
        <v>222</v>
      </c>
      <c r="N365" t="s">
        <v>222</v>
      </c>
      <c r="O365" t="s">
        <v>2575</v>
      </c>
      <c r="P365" t="s">
        <v>2591</v>
      </c>
      <c r="Q365" t="str">
        <f>IF($C365="","",IFERROR(VLOOKUP($C365,sources!$A$2:$N$200,2,FALSE()),"?"))</f>
        <v>Photograph</v>
      </c>
      <c r="R365" t="str">
        <f t="shared" si="5"/>
        <v>Image</v>
      </c>
      <c r="S365" t="str">
        <f>IF($C365="","",IFERROR(VLOOKUP($C365,sources!$A$2:$N$200,9,FALSE()),"?"))</f>
        <v>US press</v>
      </c>
    </row>
    <row r="366" spans="1:19" x14ac:dyDescent="0.2">
      <c r="A366" t="s">
        <v>2592</v>
      </c>
      <c r="B366" t="s">
        <v>261</v>
      </c>
      <c r="C366" t="s">
        <v>1286</v>
      </c>
      <c r="D366" t="s">
        <v>1599</v>
      </c>
      <c r="E366" t="s">
        <v>2593</v>
      </c>
      <c r="F366" t="s">
        <v>1612</v>
      </c>
      <c r="I366" t="s">
        <v>1077</v>
      </c>
      <c r="K366" t="s">
        <v>302</v>
      </c>
      <c r="L366" t="s">
        <v>302</v>
      </c>
      <c r="M366" t="s">
        <v>222</v>
      </c>
      <c r="N366" t="s">
        <v>222</v>
      </c>
      <c r="O366" t="s">
        <v>2575</v>
      </c>
      <c r="P366" t="s">
        <v>2594</v>
      </c>
      <c r="Q366" t="str">
        <f>IF($C366="","",IFERROR(VLOOKUP($C366,sources!$A$2:$N$200,2,FALSE()),"?"))</f>
        <v>Photograph</v>
      </c>
      <c r="R366" t="str">
        <f t="shared" si="5"/>
        <v>Image</v>
      </c>
      <c r="S366" t="str">
        <f>IF($C366="","",IFERROR(VLOOKUP($C366,sources!$A$2:$N$200,9,FALSE()),"?"))</f>
        <v>US press</v>
      </c>
    </row>
    <row r="367" spans="1:19" x14ac:dyDescent="0.2">
      <c r="A367" t="s">
        <v>2595</v>
      </c>
      <c r="B367" t="s">
        <v>349</v>
      </c>
      <c r="C367" t="s">
        <v>1286</v>
      </c>
      <c r="D367" t="s">
        <v>1599</v>
      </c>
      <c r="E367" t="s">
        <v>2596</v>
      </c>
      <c r="F367" t="s">
        <v>1612</v>
      </c>
      <c r="I367" t="s">
        <v>1077</v>
      </c>
      <c r="K367" t="s">
        <v>302</v>
      </c>
      <c r="L367" t="s">
        <v>302</v>
      </c>
      <c r="M367" t="s">
        <v>222</v>
      </c>
      <c r="N367" t="s">
        <v>222</v>
      </c>
      <c r="O367" t="s">
        <v>2575</v>
      </c>
      <c r="P367" t="s">
        <v>2597</v>
      </c>
      <c r="Q367" t="str">
        <f>IF($C367="","",IFERROR(VLOOKUP($C367,sources!$A$2:$N$200,2,FALSE()),"?"))</f>
        <v>Photograph</v>
      </c>
      <c r="R367" t="str">
        <f t="shared" si="5"/>
        <v>Image</v>
      </c>
      <c r="S367" t="str">
        <f>IF($C367="","",IFERROR(VLOOKUP($C367,sources!$A$2:$N$200,9,FALSE()),"?"))</f>
        <v>US press</v>
      </c>
    </row>
    <row r="368" spans="1:19" x14ac:dyDescent="0.2">
      <c r="A368" t="s">
        <v>2598</v>
      </c>
      <c r="B368" t="s">
        <v>349</v>
      </c>
      <c r="C368" t="s">
        <v>1286</v>
      </c>
      <c r="D368" t="s">
        <v>1599</v>
      </c>
      <c r="E368" t="s">
        <v>2599</v>
      </c>
      <c r="F368" t="s">
        <v>1612</v>
      </c>
      <c r="I368" t="s">
        <v>1077</v>
      </c>
      <c r="K368" t="s">
        <v>302</v>
      </c>
      <c r="L368" t="s">
        <v>302</v>
      </c>
      <c r="M368" t="s">
        <v>222</v>
      </c>
      <c r="N368" t="s">
        <v>222</v>
      </c>
      <c r="O368" t="s">
        <v>2575</v>
      </c>
      <c r="P368" t="s">
        <v>2600</v>
      </c>
      <c r="Q368" t="str">
        <f>IF($C368="","",IFERROR(VLOOKUP($C368,sources!$A$2:$N$200,2,FALSE()),"?"))</f>
        <v>Photograph</v>
      </c>
      <c r="R368" t="str">
        <f t="shared" si="5"/>
        <v>Image</v>
      </c>
      <c r="S368" t="str">
        <f>IF($C368="","",IFERROR(VLOOKUP($C368,sources!$A$2:$N$200,9,FALSE()),"?"))</f>
        <v>US press</v>
      </c>
    </row>
    <row r="369" spans="1:19" x14ac:dyDescent="0.2">
      <c r="A369" t="s">
        <v>2601</v>
      </c>
      <c r="B369" t="s">
        <v>439</v>
      </c>
      <c r="C369" t="s">
        <v>1286</v>
      </c>
      <c r="D369" t="s">
        <v>1599</v>
      </c>
      <c r="E369" t="s">
        <v>2602</v>
      </c>
      <c r="F369" t="s">
        <v>1612</v>
      </c>
      <c r="I369" t="s">
        <v>1077</v>
      </c>
      <c r="K369" t="s">
        <v>302</v>
      </c>
      <c r="L369" t="s">
        <v>302</v>
      </c>
      <c r="M369" t="s">
        <v>222</v>
      </c>
      <c r="N369" t="s">
        <v>222</v>
      </c>
      <c r="O369" t="s">
        <v>2575</v>
      </c>
      <c r="P369" t="s">
        <v>2603</v>
      </c>
      <c r="Q369" t="str">
        <f>IF($C369="","",IFERROR(VLOOKUP($C369,sources!$A$2:$N$200,2,FALSE()),"?"))</f>
        <v>Photograph</v>
      </c>
      <c r="R369" t="str">
        <f t="shared" si="5"/>
        <v>Image</v>
      </c>
      <c r="S369" t="str">
        <f>IF($C369="","",IFERROR(VLOOKUP($C369,sources!$A$2:$N$200,9,FALSE()),"?"))</f>
        <v>US press</v>
      </c>
    </row>
    <row r="370" spans="1:19" x14ac:dyDescent="0.2">
      <c r="A370" t="s">
        <v>2604</v>
      </c>
      <c r="B370" t="s">
        <v>238</v>
      </c>
      <c r="C370" t="s">
        <v>1294</v>
      </c>
      <c r="D370" t="s">
        <v>1599</v>
      </c>
      <c r="E370" t="s">
        <v>1607</v>
      </c>
      <c r="F370" t="s">
        <v>1612</v>
      </c>
      <c r="I370" t="s">
        <v>1077</v>
      </c>
      <c r="K370" t="s">
        <v>1191</v>
      </c>
      <c r="L370" t="s">
        <v>1191</v>
      </c>
      <c r="M370" t="s">
        <v>228</v>
      </c>
      <c r="N370" t="s">
        <v>222</v>
      </c>
      <c r="O370" t="s">
        <v>2605</v>
      </c>
      <c r="P370" t="s">
        <v>2606</v>
      </c>
      <c r="Q370" t="str">
        <f>IF($C370="","",IFERROR(VLOOKUP($C370,sources!$A$2:$N$200,2,FALSE()),"?"))</f>
        <v>Map</v>
      </c>
      <c r="R370" t="str">
        <f t="shared" si="5"/>
        <v>Map</v>
      </c>
      <c r="S370" t="str">
        <f>IF($C370="","",IFERROR(VLOOKUP($C370,sources!$A$2:$N$200,9,FALSE()),"?"))</f>
        <v>Secondary</v>
      </c>
    </row>
    <row r="371" spans="1:19" x14ac:dyDescent="0.2">
      <c r="A371" t="s">
        <v>2607</v>
      </c>
      <c r="B371" t="s">
        <v>402</v>
      </c>
      <c r="C371" t="s">
        <v>1294</v>
      </c>
      <c r="D371" t="s">
        <v>1599</v>
      </c>
      <c r="E371" t="s">
        <v>403</v>
      </c>
      <c r="F371" t="s">
        <v>1612</v>
      </c>
      <c r="I371" t="s">
        <v>1077</v>
      </c>
      <c r="K371" t="s">
        <v>1191</v>
      </c>
      <c r="L371" t="s">
        <v>1191</v>
      </c>
      <c r="M371" t="s">
        <v>228</v>
      </c>
      <c r="N371" t="s">
        <v>222</v>
      </c>
      <c r="O371" t="s">
        <v>2605</v>
      </c>
      <c r="P371" t="s">
        <v>2608</v>
      </c>
      <c r="Q371" t="str">
        <f>IF($C371="","",IFERROR(VLOOKUP($C371,sources!$A$2:$N$200,2,FALSE()),"?"))</f>
        <v>Map</v>
      </c>
      <c r="R371" t="str">
        <f t="shared" si="5"/>
        <v>Map</v>
      </c>
      <c r="S371" t="str">
        <f>IF($C371="","",IFERROR(VLOOKUP($C371,sources!$A$2:$N$200,9,FALSE()),"?"))</f>
        <v>Secondary</v>
      </c>
    </row>
    <row r="372" spans="1:19" x14ac:dyDescent="0.2">
      <c r="A372" t="s">
        <v>2609</v>
      </c>
      <c r="B372" t="s">
        <v>411</v>
      </c>
      <c r="C372" t="s">
        <v>1294</v>
      </c>
      <c r="D372" t="s">
        <v>1599</v>
      </c>
      <c r="E372" t="s">
        <v>412</v>
      </c>
      <c r="F372" t="s">
        <v>1612</v>
      </c>
      <c r="I372" t="s">
        <v>1077</v>
      </c>
      <c r="K372" t="s">
        <v>1191</v>
      </c>
      <c r="L372" t="s">
        <v>1191</v>
      </c>
      <c r="M372" t="s">
        <v>228</v>
      </c>
      <c r="N372" t="s">
        <v>222</v>
      </c>
      <c r="O372" t="s">
        <v>2605</v>
      </c>
      <c r="P372" t="s">
        <v>2610</v>
      </c>
      <c r="Q372" t="str">
        <f>IF($C372="","",IFERROR(VLOOKUP($C372,sources!$A$2:$N$200,2,FALSE()),"?"))</f>
        <v>Map</v>
      </c>
      <c r="R372" t="str">
        <f t="shared" si="5"/>
        <v>Map</v>
      </c>
      <c r="S372" t="str">
        <f>IF($C372="","",IFERROR(VLOOKUP($C372,sources!$A$2:$N$200,9,FALSE()),"?"))</f>
        <v>Secondary</v>
      </c>
    </row>
    <row r="373" spans="1:19" x14ac:dyDescent="0.2">
      <c r="A373" t="s">
        <v>2611</v>
      </c>
      <c r="B373" t="s">
        <v>408</v>
      </c>
      <c r="C373" t="s">
        <v>1294</v>
      </c>
      <c r="D373" t="s">
        <v>1599</v>
      </c>
      <c r="E373" t="s">
        <v>409</v>
      </c>
      <c r="F373" t="s">
        <v>1612</v>
      </c>
      <c r="I373" t="s">
        <v>1077</v>
      </c>
      <c r="K373" t="s">
        <v>1191</v>
      </c>
      <c r="L373" t="s">
        <v>1191</v>
      </c>
      <c r="M373" t="s">
        <v>228</v>
      </c>
      <c r="N373" t="s">
        <v>222</v>
      </c>
      <c r="O373" t="s">
        <v>2605</v>
      </c>
      <c r="P373" t="s">
        <v>2612</v>
      </c>
      <c r="Q373" t="str">
        <f>IF($C373="","",IFERROR(VLOOKUP($C373,sources!$A$2:$N$200,2,FALSE()),"?"))</f>
        <v>Map</v>
      </c>
      <c r="R373" t="str">
        <f t="shared" si="5"/>
        <v>Map</v>
      </c>
      <c r="S373" t="str">
        <f>IF($C373="","",IFERROR(VLOOKUP($C373,sources!$A$2:$N$200,9,FALSE()),"?"))</f>
        <v>Secondary</v>
      </c>
    </row>
    <row r="374" spans="1:19" x14ac:dyDescent="0.2">
      <c r="A374" t="s">
        <v>2613</v>
      </c>
      <c r="B374" t="s">
        <v>224</v>
      </c>
      <c r="C374" t="s">
        <v>1294</v>
      </c>
      <c r="D374" t="s">
        <v>1599</v>
      </c>
      <c r="E374" t="s">
        <v>225</v>
      </c>
      <c r="F374" t="s">
        <v>1612</v>
      </c>
      <c r="I374" t="s">
        <v>1077</v>
      </c>
      <c r="K374" t="s">
        <v>1191</v>
      </c>
      <c r="L374" t="s">
        <v>1191</v>
      </c>
      <c r="M374" t="s">
        <v>228</v>
      </c>
      <c r="N374" t="s">
        <v>222</v>
      </c>
      <c r="O374" t="s">
        <v>2605</v>
      </c>
      <c r="P374" t="s">
        <v>2614</v>
      </c>
      <c r="Q374" t="str">
        <f>IF($C374="","",IFERROR(VLOOKUP($C374,sources!$A$2:$N$200,2,FALSE()),"?"))</f>
        <v>Map</v>
      </c>
      <c r="R374" t="str">
        <f t="shared" si="5"/>
        <v>Map</v>
      </c>
      <c r="S374" t="str">
        <f>IF($C374="","",IFERROR(VLOOKUP($C374,sources!$A$2:$N$200,9,FALSE()),"?"))</f>
        <v>Secondary</v>
      </c>
    </row>
    <row r="375" spans="1:19" x14ac:dyDescent="0.2">
      <c r="A375" t="s">
        <v>2615</v>
      </c>
      <c r="B375" t="s">
        <v>284</v>
      </c>
      <c r="C375" t="s">
        <v>1294</v>
      </c>
      <c r="D375" t="s">
        <v>1599</v>
      </c>
      <c r="E375" t="s">
        <v>285</v>
      </c>
      <c r="F375" t="s">
        <v>1612</v>
      </c>
      <c r="I375" t="s">
        <v>1077</v>
      </c>
      <c r="K375" t="s">
        <v>1191</v>
      </c>
      <c r="L375" t="s">
        <v>1191</v>
      </c>
      <c r="M375" t="s">
        <v>228</v>
      </c>
      <c r="N375" t="s">
        <v>222</v>
      </c>
      <c r="O375" t="s">
        <v>2605</v>
      </c>
      <c r="P375" t="s">
        <v>2616</v>
      </c>
      <c r="Q375" t="str">
        <f>IF($C375="","",IFERROR(VLOOKUP($C375,sources!$A$2:$N$200,2,FALSE()),"?"))</f>
        <v>Map</v>
      </c>
      <c r="R375" t="str">
        <f t="shared" si="5"/>
        <v>Map</v>
      </c>
      <c r="S375" t="str">
        <f>IF($C375="","",IFERROR(VLOOKUP($C375,sources!$A$2:$N$200,9,FALSE()),"?"))</f>
        <v>Secondary</v>
      </c>
    </row>
    <row r="376" spans="1:19" x14ac:dyDescent="0.2">
      <c r="A376" t="s">
        <v>2617</v>
      </c>
      <c r="B376" t="s">
        <v>373</v>
      </c>
      <c r="C376" t="s">
        <v>1294</v>
      </c>
      <c r="D376" t="s">
        <v>1599</v>
      </c>
      <c r="E376" t="s">
        <v>374</v>
      </c>
      <c r="F376" t="s">
        <v>1612</v>
      </c>
      <c r="I376" t="s">
        <v>1077</v>
      </c>
      <c r="K376" t="s">
        <v>1191</v>
      </c>
      <c r="L376" t="s">
        <v>1191</v>
      </c>
      <c r="M376" t="s">
        <v>228</v>
      </c>
      <c r="N376" t="s">
        <v>222</v>
      </c>
      <c r="O376" t="s">
        <v>2605</v>
      </c>
      <c r="P376" t="s">
        <v>2618</v>
      </c>
      <c r="Q376" t="str">
        <f>IF($C376="","",IFERROR(VLOOKUP($C376,sources!$A$2:$N$200,2,FALSE()),"?"))</f>
        <v>Map</v>
      </c>
      <c r="R376" t="str">
        <f t="shared" si="5"/>
        <v>Map</v>
      </c>
      <c r="S376" t="str">
        <f>IF($C376="","",IFERROR(VLOOKUP($C376,sources!$A$2:$N$200,9,FALSE()),"?"))</f>
        <v>Secondary</v>
      </c>
    </row>
    <row r="377" spans="1:19" x14ac:dyDescent="0.2">
      <c r="A377" t="s">
        <v>2619</v>
      </c>
      <c r="B377" t="s">
        <v>382</v>
      </c>
      <c r="C377" t="s">
        <v>1294</v>
      </c>
      <c r="D377" t="s">
        <v>1599</v>
      </c>
      <c r="E377" t="s">
        <v>383</v>
      </c>
      <c r="F377" t="s">
        <v>1612</v>
      </c>
      <c r="I377" t="s">
        <v>1077</v>
      </c>
      <c r="K377" t="s">
        <v>1191</v>
      </c>
      <c r="L377" t="s">
        <v>1191</v>
      </c>
      <c r="M377" t="s">
        <v>228</v>
      </c>
      <c r="N377" t="s">
        <v>222</v>
      </c>
      <c r="O377" t="s">
        <v>2605</v>
      </c>
      <c r="P377" t="s">
        <v>2620</v>
      </c>
      <c r="Q377" t="str">
        <f>IF($C377="","",IFERROR(VLOOKUP($C377,sources!$A$2:$N$200,2,FALSE()),"?"))</f>
        <v>Map</v>
      </c>
      <c r="R377" t="str">
        <f t="shared" si="5"/>
        <v>Map</v>
      </c>
      <c r="S377" t="str">
        <f>IF($C377="","",IFERROR(VLOOKUP($C377,sources!$A$2:$N$200,9,FALSE()),"?"))</f>
        <v>Secondary</v>
      </c>
    </row>
    <row r="378" spans="1:19" x14ac:dyDescent="0.2">
      <c r="A378" t="s">
        <v>2621</v>
      </c>
      <c r="B378" t="s">
        <v>379</v>
      </c>
      <c r="C378" t="s">
        <v>1294</v>
      </c>
      <c r="D378" t="s">
        <v>1599</v>
      </c>
      <c r="E378" t="s">
        <v>380</v>
      </c>
      <c r="F378" t="s">
        <v>1612</v>
      </c>
      <c r="I378" t="s">
        <v>1077</v>
      </c>
      <c r="K378" t="s">
        <v>1191</v>
      </c>
      <c r="L378" t="s">
        <v>1191</v>
      </c>
      <c r="M378" t="s">
        <v>228</v>
      </c>
      <c r="N378" t="s">
        <v>222</v>
      </c>
      <c r="O378" t="s">
        <v>2605</v>
      </c>
      <c r="P378" t="s">
        <v>2622</v>
      </c>
      <c r="Q378" t="str">
        <f>IF($C378="","",IFERROR(VLOOKUP($C378,sources!$A$2:$N$200,2,FALSE()),"?"))</f>
        <v>Map</v>
      </c>
      <c r="R378" t="str">
        <f t="shared" si="5"/>
        <v>Map</v>
      </c>
      <c r="S378" t="str">
        <f>IF($C378="","",IFERROR(VLOOKUP($C378,sources!$A$2:$N$200,9,FALSE()),"?"))</f>
        <v>Secondary</v>
      </c>
    </row>
    <row r="379" spans="1:19" x14ac:dyDescent="0.2">
      <c r="A379" t="s">
        <v>2623</v>
      </c>
      <c r="B379" t="s">
        <v>414</v>
      </c>
      <c r="C379" t="s">
        <v>1294</v>
      </c>
      <c r="D379" t="s">
        <v>1599</v>
      </c>
      <c r="E379" t="s">
        <v>415</v>
      </c>
      <c r="F379" t="s">
        <v>1612</v>
      </c>
      <c r="I379" t="s">
        <v>1077</v>
      </c>
      <c r="K379" t="s">
        <v>1191</v>
      </c>
      <c r="L379" t="s">
        <v>1191</v>
      </c>
      <c r="M379" t="s">
        <v>228</v>
      </c>
      <c r="N379" t="s">
        <v>222</v>
      </c>
      <c r="O379" t="s">
        <v>2605</v>
      </c>
      <c r="P379" t="s">
        <v>2624</v>
      </c>
      <c r="Q379" t="str">
        <f>IF($C379="","",IFERROR(VLOOKUP($C379,sources!$A$2:$N$200,2,FALSE()),"?"))</f>
        <v>Map</v>
      </c>
      <c r="R379" t="str">
        <f t="shared" si="5"/>
        <v>Map</v>
      </c>
      <c r="S379" t="str">
        <f>IF($C379="","",IFERROR(VLOOKUP($C379,sources!$A$2:$N$200,9,FALSE()),"?"))</f>
        <v>Secondary</v>
      </c>
    </row>
    <row r="380" spans="1:19" x14ac:dyDescent="0.2">
      <c r="A380" t="s">
        <v>2625</v>
      </c>
      <c r="B380" t="s">
        <v>261</v>
      </c>
      <c r="C380" t="s">
        <v>1294</v>
      </c>
      <c r="D380" t="s">
        <v>1599</v>
      </c>
      <c r="E380" t="s">
        <v>262</v>
      </c>
      <c r="F380" t="s">
        <v>1612</v>
      </c>
      <c r="I380" t="s">
        <v>1077</v>
      </c>
      <c r="K380" t="s">
        <v>1191</v>
      </c>
      <c r="L380" t="s">
        <v>1191</v>
      </c>
      <c r="M380" t="s">
        <v>228</v>
      </c>
      <c r="N380" t="s">
        <v>222</v>
      </c>
      <c r="O380" t="s">
        <v>2605</v>
      </c>
      <c r="P380" t="s">
        <v>2626</v>
      </c>
      <c r="Q380" t="str">
        <f>IF($C380="","",IFERROR(VLOOKUP($C380,sources!$A$2:$N$200,2,FALSE()),"?"))</f>
        <v>Map</v>
      </c>
      <c r="R380" t="str">
        <f t="shared" si="5"/>
        <v>Map</v>
      </c>
      <c r="S380" t="str">
        <f>IF($C380="","",IFERROR(VLOOKUP($C380,sources!$A$2:$N$200,9,FALSE()),"?"))</f>
        <v>Secondary</v>
      </c>
    </row>
    <row r="381" spans="1:19" x14ac:dyDescent="0.2">
      <c r="A381" t="s">
        <v>2627</v>
      </c>
      <c r="B381" t="s">
        <v>198</v>
      </c>
      <c r="C381" t="s">
        <v>1294</v>
      </c>
      <c r="D381" t="s">
        <v>1599</v>
      </c>
      <c r="E381" t="s">
        <v>199</v>
      </c>
      <c r="F381" t="s">
        <v>1612</v>
      </c>
      <c r="I381" t="s">
        <v>1077</v>
      </c>
      <c r="K381" t="s">
        <v>1191</v>
      </c>
      <c r="L381" t="s">
        <v>1191</v>
      </c>
      <c r="M381" t="s">
        <v>228</v>
      </c>
      <c r="N381" t="s">
        <v>222</v>
      </c>
      <c r="O381" t="s">
        <v>2605</v>
      </c>
      <c r="P381" t="s">
        <v>2628</v>
      </c>
      <c r="Q381" t="str">
        <f>IF($C381="","",IFERROR(VLOOKUP($C381,sources!$A$2:$N$200,2,FALSE()),"?"))</f>
        <v>Map</v>
      </c>
      <c r="R381" t="str">
        <f t="shared" si="5"/>
        <v>Map</v>
      </c>
      <c r="S381" t="str">
        <f>IF($C381="","",IFERROR(VLOOKUP($C381,sources!$A$2:$N$200,9,FALSE()),"?"))</f>
        <v>Secondary</v>
      </c>
    </row>
    <row r="382" spans="1:19" x14ac:dyDescent="0.2">
      <c r="A382" t="s">
        <v>2629</v>
      </c>
      <c r="B382" t="s">
        <v>272</v>
      </c>
      <c r="C382" t="s">
        <v>1294</v>
      </c>
      <c r="D382" t="s">
        <v>1599</v>
      </c>
      <c r="E382" t="s">
        <v>2630</v>
      </c>
      <c r="F382" t="s">
        <v>1612</v>
      </c>
      <c r="I382" t="s">
        <v>1077</v>
      </c>
      <c r="K382" t="s">
        <v>1191</v>
      </c>
      <c r="L382" t="s">
        <v>1191</v>
      </c>
      <c r="M382" t="s">
        <v>228</v>
      </c>
      <c r="N382" t="s">
        <v>222</v>
      </c>
      <c r="O382" t="s">
        <v>2605</v>
      </c>
      <c r="P382" t="s">
        <v>2631</v>
      </c>
      <c r="Q382" t="str">
        <f>IF($C382="","",IFERROR(VLOOKUP($C382,sources!$A$2:$N$200,2,FALSE()),"?"))</f>
        <v>Map</v>
      </c>
      <c r="R382" t="str">
        <f t="shared" si="5"/>
        <v>Map</v>
      </c>
      <c r="S382" t="str">
        <f>IF($C382="","",IFERROR(VLOOKUP($C382,sources!$A$2:$N$200,9,FALSE()),"?"))</f>
        <v>Secondary</v>
      </c>
    </row>
    <row r="383" spans="1:19" x14ac:dyDescent="0.2">
      <c r="A383" t="s">
        <v>2632</v>
      </c>
      <c r="B383" t="s">
        <v>280</v>
      </c>
      <c r="C383" t="s">
        <v>1294</v>
      </c>
      <c r="D383" t="s">
        <v>1599</v>
      </c>
      <c r="E383" t="s">
        <v>281</v>
      </c>
      <c r="F383" t="s">
        <v>1612</v>
      </c>
      <c r="I383" t="s">
        <v>1077</v>
      </c>
      <c r="K383" t="s">
        <v>1191</v>
      </c>
      <c r="L383" t="s">
        <v>1191</v>
      </c>
      <c r="M383" t="s">
        <v>228</v>
      </c>
      <c r="N383" t="s">
        <v>222</v>
      </c>
      <c r="O383" t="s">
        <v>2605</v>
      </c>
      <c r="P383" t="s">
        <v>2633</v>
      </c>
      <c r="Q383" t="str">
        <f>IF($C383="","",IFERROR(VLOOKUP($C383,sources!$A$2:$N$200,2,FALSE()),"?"))</f>
        <v>Map</v>
      </c>
      <c r="R383" t="str">
        <f t="shared" si="5"/>
        <v>Map</v>
      </c>
      <c r="S383" t="str">
        <f>IF($C383="","",IFERROR(VLOOKUP($C383,sources!$A$2:$N$200,9,FALSE()),"?"))</f>
        <v>Secondary</v>
      </c>
    </row>
    <row r="384" spans="1:19" x14ac:dyDescent="0.2">
      <c r="A384" t="s">
        <v>2634</v>
      </c>
      <c r="B384" t="s">
        <v>252</v>
      </c>
      <c r="C384" t="s">
        <v>1294</v>
      </c>
      <c r="D384" t="s">
        <v>1599</v>
      </c>
      <c r="E384" t="s">
        <v>324</v>
      </c>
      <c r="F384" t="s">
        <v>1612</v>
      </c>
      <c r="I384" t="s">
        <v>1077</v>
      </c>
      <c r="K384" t="s">
        <v>1191</v>
      </c>
      <c r="L384" t="s">
        <v>1191</v>
      </c>
      <c r="M384" t="s">
        <v>228</v>
      </c>
      <c r="N384" t="s">
        <v>222</v>
      </c>
      <c r="O384" t="s">
        <v>2605</v>
      </c>
      <c r="P384" t="s">
        <v>2635</v>
      </c>
      <c r="Q384" t="str">
        <f>IF($C384="","",IFERROR(VLOOKUP($C384,sources!$A$2:$N$200,2,FALSE()),"?"))</f>
        <v>Map</v>
      </c>
      <c r="R384" t="str">
        <f t="shared" si="5"/>
        <v>Map</v>
      </c>
      <c r="S384" t="str">
        <f>IF($C384="","",IFERROR(VLOOKUP($C384,sources!$A$2:$N$200,9,FALSE()),"?"))</f>
        <v>Secondary</v>
      </c>
    </row>
    <row r="385" spans="1:19" x14ac:dyDescent="0.2">
      <c r="A385" t="s">
        <v>2636</v>
      </c>
      <c r="B385" t="s">
        <v>266</v>
      </c>
      <c r="C385" t="s">
        <v>1294</v>
      </c>
      <c r="D385" t="s">
        <v>1599</v>
      </c>
      <c r="E385" t="s">
        <v>267</v>
      </c>
      <c r="F385" t="s">
        <v>1612</v>
      </c>
      <c r="I385" t="s">
        <v>1077</v>
      </c>
      <c r="K385" t="s">
        <v>1191</v>
      </c>
      <c r="L385" t="s">
        <v>1191</v>
      </c>
      <c r="M385" t="s">
        <v>228</v>
      </c>
      <c r="N385" t="s">
        <v>222</v>
      </c>
      <c r="O385" t="s">
        <v>2605</v>
      </c>
      <c r="P385" t="s">
        <v>2637</v>
      </c>
      <c r="Q385" t="str">
        <f>IF($C385="","",IFERROR(VLOOKUP($C385,sources!$A$2:$N$200,2,FALSE()),"?"))</f>
        <v>Map</v>
      </c>
      <c r="R385" t="str">
        <f t="shared" si="5"/>
        <v>Map</v>
      </c>
      <c r="S385" t="str">
        <f>IF($C385="","",IFERROR(VLOOKUP($C385,sources!$A$2:$N$200,9,FALSE()),"?"))</f>
        <v>Secondary</v>
      </c>
    </row>
    <row r="386" spans="1:19" x14ac:dyDescent="0.2">
      <c r="A386" t="s">
        <v>2638</v>
      </c>
      <c r="B386" t="s">
        <v>376</v>
      </c>
      <c r="C386" t="s">
        <v>1294</v>
      </c>
      <c r="D386" t="s">
        <v>1599</v>
      </c>
      <c r="E386" t="s">
        <v>377</v>
      </c>
      <c r="F386" t="s">
        <v>1612</v>
      </c>
      <c r="I386" t="s">
        <v>1077</v>
      </c>
      <c r="K386" t="s">
        <v>1191</v>
      </c>
      <c r="L386" t="s">
        <v>1191</v>
      </c>
      <c r="M386" t="s">
        <v>228</v>
      </c>
      <c r="N386" t="s">
        <v>222</v>
      </c>
      <c r="O386" t="s">
        <v>2605</v>
      </c>
      <c r="P386" t="s">
        <v>2639</v>
      </c>
      <c r="Q386" t="str">
        <f>IF($C386="","",IFERROR(VLOOKUP($C386,sources!$A$2:$N$200,2,FALSE()),"?"))</f>
        <v>Map</v>
      </c>
      <c r="R386" t="str">
        <f t="shared" ref="R386:R449" si="6">IF($Q386="","",IF($Q386="Map","Map",IF(OR($Q386="Photograph",$Q386="Postcard"),"Image",IF(OR($Q386="Census or roll",$Q386="Report",$Q386="Newspaper",$Q386="Letter",$Q386="Memoir",$Q386="Administrative",$Q386="Web compilation"),"Textual",IF($Q386="Legal claim","Legal/admin",IF($Q386="Secondary","Secondary","Other"))))))</f>
        <v>Map</v>
      </c>
      <c r="S386" t="str">
        <f>IF($C386="","",IFERROR(VLOOKUP($C386,sources!$A$2:$N$200,9,FALSE()),"?"))</f>
        <v>Secondary</v>
      </c>
    </row>
    <row r="387" spans="1:19" x14ac:dyDescent="0.2">
      <c r="A387" t="s">
        <v>2640</v>
      </c>
      <c r="B387" t="s">
        <v>363</v>
      </c>
      <c r="C387" t="s">
        <v>1294</v>
      </c>
      <c r="D387" t="s">
        <v>1599</v>
      </c>
      <c r="E387" t="s">
        <v>364</v>
      </c>
      <c r="F387" t="s">
        <v>1612</v>
      </c>
      <c r="I387" t="s">
        <v>1077</v>
      </c>
      <c r="K387" t="s">
        <v>1191</v>
      </c>
      <c r="L387" t="s">
        <v>1191</v>
      </c>
      <c r="M387" t="s">
        <v>228</v>
      </c>
      <c r="N387" t="s">
        <v>222</v>
      </c>
      <c r="O387" t="s">
        <v>2605</v>
      </c>
      <c r="P387" t="s">
        <v>2641</v>
      </c>
      <c r="Q387" t="str">
        <f>IF($C387="","",IFERROR(VLOOKUP($C387,sources!$A$2:$N$200,2,FALSE()),"?"))</f>
        <v>Map</v>
      </c>
      <c r="R387" t="str">
        <f t="shared" si="6"/>
        <v>Map</v>
      </c>
      <c r="S387" t="str">
        <f>IF($C387="","",IFERROR(VLOOKUP($C387,sources!$A$2:$N$200,9,FALSE()),"?"))</f>
        <v>Secondary</v>
      </c>
    </row>
    <row r="388" spans="1:19" x14ac:dyDescent="0.2">
      <c r="A388" t="s">
        <v>2642</v>
      </c>
      <c r="B388" t="s">
        <v>393</v>
      </c>
      <c r="C388" t="s">
        <v>1294</v>
      </c>
      <c r="D388" t="s">
        <v>1599</v>
      </c>
      <c r="E388" t="s">
        <v>394</v>
      </c>
      <c r="F388" t="s">
        <v>1612</v>
      </c>
      <c r="I388" t="s">
        <v>1077</v>
      </c>
      <c r="K388" t="s">
        <v>1191</v>
      </c>
      <c r="L388" t="s">
        <v>1191</v>
      </c>
      <c r="M388" t="s">
        <v>228</v>
      </c>
      <c r="N388" t="s">
        <v>222</v>
      </c>
      <c r="O388" t="s">
        <v>2605</v>
      </c>
      <c r="P388" t="s">
        <v>2643</v>
      </c>
      <c r="Q388" t="str">
        <f>IF($C388="","",IFERROR(VLOOKUP($C388,sources!$A$2:$N$200,2,FALSE()),"?"))</f>
        <v>Map</v>
      </c>
      <c r="R388" t="str">
        <f t="shared" si="6"/>
        <v>Map</v>
      </c>
      <c r="S388" t="str">
        <f>IF($C388="","",IFERROR(VLOOKUP($C388,sources!$A$2:$N$200,9,FALSE()),"?"))</f>
        <v>Secondary</v>
      </c>
    </row>
    <row r="389" spans="1:19" x14ac:dyDescent="0.2">
      <c r="A389" t="s">
        <v>2644</v>
      </c>
      <c r="B389" t="s">
        <v>370</v>
      </c>
      <c r="C389" t="s">
        <v>1294</v>
      </c>
      <c r="D389" t="s">
        <v>1599</v>
      </c>
      <c r="E389" t="s">
        <v>371</v>
      </c>
      <c r="F389" t="s">
        <v>1612</v>
      </c>
      <c r="I389" t="s">
        <v>1077</v>
      </c>
      <c r="K389" t="s">
        <v>1191</v>
      </c>
      <c r="L389" t="s">
        <v>1191</v>
      </c>
      <c r="M389" t="s">
        <v>228</v>
      </c>
      <c r="N389" t="s">
        <v>222</v>
      </c>
      <c r="O389" t="s">
        <v>2605</v>
      </c>
      <c r="P389" t="s">
        <v>2645</v>
      </c>
      <c r="Q389" t="str">
        <f>IF($C389="","",IFERROR(VLOOKUP($C389,sources!$A$2:$N$200,2,FALSE()),"?"))</f>
        <v>Map</v>
      </c>
      <c r="R389" t="str">
        <f t="shared" si="6"/>
        <v>Map</v>
      </c>
      <c r="S389" t="str">
        <f>IF($C389="","",IFERROR(VLOOKUP($C389,sources!$A$2:$N$200,9,FALSE()),"?"))</f>
        <v>Secondary</v>
      </c>
    </row>
    <row r="390" spans="1:19" x14ac:dyDescent="0.2">
      <c r="A390" t="s">
        <v>2646</v>
      </c>
      <c r="B390" t="s">
        <v>367</v>
      </c>
      <c r="C390" t="s">
        <v>1294</v>
      </c>
      <c r="D390" t="s">
        <v>1599</v>
      </c>
      <c r="E390" t="s">
        <v>368</v>
      </c>
      <c r="F390" t="s">
        <v>1612</v>
      </c>
      <c r="I390" t="s">
        <v>1077</v>
      </c>
      <c r="M390" t="s">
        <v>228</v>
      </c>
      <c r="N390" t="s">
        <v>222</v>
      </c>
      <c r="O390" t="s">
        <v>2605</v>
      </c>
      <c r="P390" t="s">
        <v>2647</v>
      </c>
      <c r="Q390" t="str">
        <f>IF($C390="","",IFERROR(VLOOKUP($C390,sources!$A$2:$N$200,2,FALSE()),"?"))</f>
        <v>Map</v>
      </c>
      <c r="R390" t="str">
        <f t="shared" si="6"/>
        <v>Map</v>
      </c>
      <c r="S390" t="str">
        <f>IF($C390="","",IFERROR(VLOOKUP($C390,sources!$A$2:$N$200,9,FALSE()),"?"))</f>
        <v>Secondary</v>
      </c>
    </row>
    <row r="391" spans="1:19" x14ac:dyDescent="0.2">
      <c r="A391" t="s">
        <v>2648</v>
      </c>
      <c r="B391" t="s">
        <v>218</v>
      </c>
      <c r="C391" t="s">
        <v>1294</v>
      </c>
      <c r="D391" t="s">
        <v>1599</v>
      </c>
      <c r="E391" t="s">
        <v>1590</v>
      </c>
      <c r="F391" t="s">
        <v>1612</v>
      </c>
      <c r="I391" t="s">
        <v>1077</v>
      </c>
      <c r="K391" t="s">
        <v>1191</v>
      </c>
      <c r="L391" t="s">
        <v>1191</v>
      </c>
      <c r="M391" t="s">
        <v>228</v>
      </c>
      <c r="N391" t="s">
        <v>222</v>
      </c>
      <c r="O391" t="s">
        <v>2605</v>
      </c>
      <c r="P391" t="s">
        <v>2649</v>
      </c>
      <c r="Q391" t="str">
        <f>IF($C391="","",IFERROR(VLOOKUP($C391,sources!$A$2:$N$200,2,FALSE()),"?"))</f>
        <v>Map</v>
      </c>
      <c r="R391" t="str">
        <f t="shared" si="6"/>
        <v>Map</v>
      </c>
      <c r="S391" t="str">
        <f>IF($C391="","",IFERROR(VLOOKUP($C391,sources!$A$2:$N$200,9,FALSE()),"?"))</f>
        <v>Secondary</v>
      </c>
    </row>
    <row r="392" spans="1:19" x14ac:dyDescent="0.2">
      <c r="A392" t="s">
        <v>2650</v>
      </c>
      <c r="B392" t="s">
        <v>462</v>
      </c>
      <c r="C392" t="s">
        <v>1294</v>
      </c>
      <c r="D392" t="s">
        <v>1599</v>
      </c>
      <c r="E392" t="s">
        <v>463</v>
      </c>
      <c r="F392" t="s">
        <v>1612</v>
      </c>
      <c r="I392" t="s">
        <v>1077</v>
      </c>
      <c r="K392" t="s">
        <v>1191</v>
      </c>
      <c r="L392" t="s">
        <v>1191</v>
      </c>
      <c r="M392" t="s">
        <v>228</v>
      </c>
      <c r="N392" t="s">
        <v>222</v>
      </c>
      <c r="O392" t="s">
        <v>2605</v>
      </c>
      <c r="P392" t="s">
        <v>2651</v>
      </c>
      <c r="Q392" t="str">
        <f>IF($C392="","",IFERROR(VLOOKUP($C392,sources!$A$2:$N$200,2,FALSE()),"?"))</f>
        <v>Map</v>
      </c>
      <c r="R392" t="str">
        <f t="shared" si="6"/>
        <v>Map</v>
      </c>
      <c r="S392" t="str">
        <f>IF($C392="","",IFERROR(VLOOKUP($C392,sources!$A$2:$N$200,9,FALSE()),"?"))</f>
        <v>Secondary</v>
      </c>
    </row>
    <row r="393" spans="1:19" x14ac:dyDescent="0.2">
      <c r="A393" t="s">
        <v>2652</v>
      </c>
      <c r="B393" t="s">
        <v>434</v>
      </c>
      <c r="C393" t="s">
        <v>1294</v>
      </c>
      <c r="D393" t="s">
        <v>1599</v>
      </c>
      <c r="E393" t="s">
        <v>2653</v>
      </c>
      <c r="F393" t="s">
        <v>1612</v>
      </c>
      <c r="I393" t="s">
        <v>1077</v>
      </c>
      <c r="K393" t="s">
        <v>1191</v>
      </c>
      <c r="L393" t="s">
        <v>1191</v>
      </c>
      <c r="M393" t="s">
        <v>228</v>
      </c>
      <c r="N393" t="s">
        <v>222</v>
      </c>
      <c r="O393" t="s">
        <v>2605</v>
      </c>
      <c r="P393" t="s">
        <v>2654</v>
      </c>
      <c r="Q393" t="str">
        <f>IF($C393="","",IFERROR(VLOOKUP($C393,sources!$A$2:$N$200,2,FALSE()),"?"))</f>
        <v>Map</v>
      </c>
      <c r="R393" t="str">
        <f t="shared" si="6"/>
        <v>Map</v>
      </c>
      <c r="S393" t="str">
        <f>IF($C393="","",IFERROR(VLOOKUP($C393,sources!$A$2:$N$200,9,FALSE()),"?"))</f>
        <v>Secondary</v>
      </c>
    </row>
    <row r="394" spans="1:19" x14ac:dyDescent="0.2">
      <c r="A394" t="s">
        <v>2655</v>
      </c>
      <c r="B394" t="s">
        <v>487</v>
      </c>
      <c r="C394" t="s">
        <v>1294</v>
      </c>
      <c r="D394" t="s">
        <v>1599</v>
      </c>
      <c r="E394" t="s">
        <v>2656</v>
      </c>
      <c r="F394" t="s">
        <v>1612</v>
      </c>
      <c r="I394" t="s">
        <v>1077</v>
      </c>
      <c r="K394" t="s">
        <v>1191</v>
      </c>
      <c r="L394" t="s">
        <v>1191</v>
      </c>
      <c r="M394" t="s">
        <v>228</v>
      </c>
      <c r="N394" t="s">
        <v>222</v>
      </c>
      <c r="O394" t="s">
        <v>2605</v>
      </c>
      <c r="P394" t="s">
        <v>2657</v>
      </c>
      <c r="Q394" t="str">
        <f>IF($C394="","",IFERROR(VLOOKUP($C394,sources!$A$2:$N$200,2,FALSE()),"?"))</f>
        <v>Map</v>
      </c>
      <c r="R394" t="str">
        <f t="shared" si="6"/>
        <v>Map</v>
      </c>
      <c r="S394" t="str">
        <f>IF($C394="","",IFERROR(VLOOKUP($C394,sources!$A$2:$N$200,9,FALSE()),"?"))</f>
        <v>Secondary</v>
      </c>
    </row>
    <row r="395" spans="1:19" x14ac:dyDescent="0.2">
      <c r="A395" t="s">
        <v>2658</v>
      </c>
      <c r="B395" t="s">
        <v>238</v>
      </c>
      <c r="C395" t="s">
        <v>1303</v>
      </c>
      <c r="D395" t="s">
        <v>1603</v>
      </c>
      <c r="E395" t="s">
        <v>1607</v>
      </c>
      <c r="F395" t="s">
        <v>1612</v>
      </c>
      <c r="K395" t="s">
        <v>2659</v>
      </c>
      <c r="M395" t="s">
        <v>222</v>
      </c>
      <c r="N395" t="s">
        <v>222</v>
      </c>
      <c r="O395" t="s">
        <v>2660</v>
      </c>
      <c r="P395" t="s">
        <v>2661</v>
      </c>
      <c r="Q395" t="str">
        <f>IF($C395="","",IFERROR(VLOOKUP($C395,sources!$A$2:$N$200,2,FALSE()),"?"))</f>
        <v>Newspaper</v>
      </c>
      <c r="R395" t="str">
        <f t="shared" si="6"/>
        <v>Textual</v>
      </c>
      <c r="S395" t="str">
        <f>IF($C395="","",IFERROR(VLOOKUP($C395,sources!$A$2:$N$200,9,FALSE()),"?"))</f>
        <v>US press</v>
      </c>
    </row>
    <row r="396" spans="1:19" x14ac:dyDescent="0.2">
      <c r="A396" t="s">
        <v>2662</v>
      </c>
      <c r="B396" t="s">
        <v>284</v>
      </c>
      <c r="C396" t="s">
        <v>1303</v>
      </c>
      <c r="D396" t="s">
        <v>1599</v>
      </c>
      <c r="E396" t="s">
        <v>350</v>
      </c>
      <c r="F396" t="s">
        <v>1612</v>
      </c>
      <c r="K396" t="s">
        <v>2663</v>
      </c>
      <c r="M396" t="s">
        <v>222</v>
      </c>
      <c r="N396" t="s">
        <v>222</v>
      </c>
      <c r="O396" t="s">
        <v>2664</v>
      </c>
      <c r="P396" t="s">
        <v>2665</v>
      </c>
      <c r="Q396" t="str">
        <f>IF($C396="","",IFERROR(VLOOKUP($C396,sources!$A$2:$N$200,2,FALSE()),"?"))</f>
        <v>Newspaper</v>
      </c>
      <c r="R396" t="str">
        <f t="shared" si="6"/>
        <v>Textual</v>
      </c>
      <c r="S396" t="str">
        <f>IF($C396="","",IFERROR(VLOOKUP($C396,sources!$A$2:$N$200,9,FALSE()),"?"))</f>
        <v>US press</v>
      </c>
    </row>
    <row r="397" spans="1:19" x14ac:dyDescent="0.2">
      <c r="A397" t="s">
        <v>2666</v>
      </c>
      <c r="B397" t="s">
        <v>284</v>
      </c>
      <c r="C397" t="s">
        <v>1303</v>
      </c>
      <c r="D397" t="s">
        <v>1599</v>
      </c>
      <c r="E397" t="s">
        <v>350</v>
      </c>
      <c r="F397" t="s">
        <v>1612</v>
      </c>
      <c r="K397" t="s">
        <v>2667</v>
      </c>
      <c r="M397" t="s">
        <v>222</v>
      </c>
      <c r="N397" t="s">
        <v>222</v>
      </c>
      <c r="O397" t="s">
        <v>2668</v>
      </c>
      <c r="P397" t="s">
        <v>2669</v>
      </c>
      <c r="Q397" t="str">
        <f>IF($C397="","",IFERROR(VLOOKUP($C397,sources!$A$2:$N$200,2,FALSE()),"?"))</f>
        <v>Newspaper</v>
      </c>
      <c r="R397" t="str">
        <f t="shared" si="6"/>
        <v>Textual</v>
      </c>
      <c r="S397" t="str">
        <f>IF($C397="","",IFERROR(VLOOKUP($C397,sources!$A$2:$N$200,9,FALSE()),"?"))</f>
        <v>US press</v>
      </c>
    </row>
    <row r="398" spans="1:19" x14ac:dyDescent="0.2">
      <c r="A398" t="s">
        <v>2670</v>
      </c>
      <c r="B398" t="s">
        <v>379</v>
      </c>
      <c r="C398" t="s">
        <v>1311</v>
      </c>
      <c r="D398" t="s">
        <v>1599</v>
      </c>
      <c r="E398" t="s">
        <v>364</v>
      </c>
      <c r="F398" t="s">
        <v>1612</v>
      </c>
      <c r="M398" t="s">
        <v>228</v>
      </c>
      <c r="N398" t="s">
        <v>222</v>
      </c>
      <c r="O398" t="s">
        <v>2671</v>
      </c>
      <c r="P398" t="s">
        <v>2672</v>
      </c>
      <c r="Q398" t="str">
        <f>IF($C398="","",IFERROR(VLOOKUP($C398,sources!$A$2:$N$200,2,FALSE()),"?"))</f>
        <v>Web compilation</v>
      </c>
      <c r="R398" t="str">
        <f t="shared" si="6"/>
        <v>Textual</v>
      </c>
      <c r="S398" t="str">
        <f>IF($C398="","",IFERROR(VLOOKUP($C398,sources!$A$2:$N$200,9,FALSE()),"?"))</f>
        <v>US press</v>
      </c>
    </row>
    <row r="399" spans="1:19" x14ac:dyDescent="0.2">
      <c r="A399" t="s">
        <v>2673</v>
      </c>
      <c r="B399" t="s">
        <v>238</v>
      </c>
      <c r="C399" t="s">
        <v>1311</v>
      </c>
      <c r="D399" t="s">
        <v>1599</v>
      </c>
      <c r="E399" t="s">
        <v>2674</v>
      </c>
      <c r="F399" t="s">
        <v>1612</v>
      </c>
      <c r="M399" t="s">
        <v>228</v>
      </c>
      <c r="N399" t="s">
        <v>222</v>
      </c>
      <c r="O399" t="s">
        <v>2675</v>
      </c>
      <c r="P399" t="s">
        <v>2676</v>
      </c>
      <c r="Q399" t="str">
        <f>IF($C399="","",IFERROR(VLOOKUP($C399,sources!$A$2:$N$200,2,FALSE()),"?"))</f>
        <v>Web compilation</v>
      </c>
      <c r="R399" t="str">
        <f t="shared" si="6"/>
        <v>Textual</v>
      </c>
      <c r="S399" t="str">
        <f>IF($C399="","",IFERROR(VLOOKUP($C399,sources!$A$2:$N$200,9,FALSE()),"?"))</f>
        <v>US press</v>
      </c>
    </row>
    <row r="400" spans="1:19" x14ac:dyDescent="0.2">
      <c r="A400" t="s">
        <v>2677</v>
      </c>
      <c r="B400" t="s">
        <v>388</v>
      </c>
      <c r="C400" t="s">
        <v>1311</v>
      </c>
      <c r="D400" t="s">
        <v>1599</v>
      </c>
      <c r="E400" t="s">
        <v>389</v>
      </c>
      <c r="F400" t="s">
        <v>1612</v>
      </c>
      <c r="K400" t="s">
        <v>2678</v>
      </c>
      <c r="M400" t="s">
        <v>222</v>
      </c>
      <c r="N400" t="s">
        <v>222</v>
      </c>
      <c r="O400" t="s">
        <v>2679</v>
      </c>
      <c r="P400" t="s">
        <v>2680</v>
      </c>
      <c r="Q400" t="str">
        <f>IF($C400="","",IFERROR(VLOOKUP($C400,sources!$A$2:$N$200,2,FALSE()),"?"))</f>
        <v>Web compilation</v>
      </c>
      <c r="R400" t="str">
        <f t="shared" si="6"/>
        <v>Textual</v>
      </c>
      <c r="S400" t="str">
        <f>IF($C400="","",IFERROR(VLOOKUP($C400,sources!$A$2:$N$200,9,FALSE()),"?"))</f>
        <v>US press</v>
      </c>
    </row>
    <row r="401" spans="1:19" x14ac:dyDescent="0.2">
      <c r="A401" t="s">
        <v>2681</v>
      </c>
      <c r="B401" t="s">
        <v>499</v>
      </c>
      <c r="C401" t="s">
        <v>1315</v>
      </c>
      <c r="D401" t="s">
        <v>1599</v>
      </c>
      <c r="E401" t="s">
        <v>500</v>
      </c>
      <c r="F401" t="s">
        <v>1612</v>
      </c>
      <c r="K401" t="s">
        <v>1430</v>
      </c>
      <c r="M401" t="s">
        <v>228</v>
      </c>
      <c r="N401" t="s">
        <v>222</v>
      </c>
      <c r="O401" t="s">
        <v>2682</v>
      </c>
      <c r="P401" t="s">
        <v>2683</v>
      </c>
      <c r="Q401" t="str">
        <f>IF($C401="","",IFERROR(VLOOKUP($C401,sources!$A$2:$N$200,2,FALSE()),"?"))</f>
        <v>Web compilation</v>
      </c>
      <c r="R401" t="str">
        <f t="shared" si="6"/>
        <v>Textual</v>
      </c>
      <c r="S401" t="str">
        <f>IF($C401="","",IFERROR(VLOOKUP($C401,sources!$A$2:$N$200,9,FALSE()),"?"))</f>
        <v>Mixed</v>
      </c>
    </row>
    <row r="402" spans="1:19" x14ac:dyDescent="0.2">
      <c r="A402" t="s">
        <v>2684</v>
      </c>
      <c r="B402" t="s">
        <v>224</v>
      </c>
      <c r="C402" t="s">
        <v>1315</v>
      </c>
      <c r="D402" t="s">
        <v>1599</v>
      </c>
      <c r="E402" t="s">
        <v>225</v>
      </c>
      <c r="F402" t="s">
        <v>1612</v>
      </c>
      <c r="K402" t="s">
        <v>1628</v>
      </c>
      <c r="M402" t="s">
        <v>228</v>
      </c>
      <c r="N402" t="s">
        <v>222</v>
      </c>
      <c r="O402" t="s">
        <v>2685</v>
      </c>
      <c r="P402" t="s">
        <v>2686</v>
      </c>
      <c r="Q402" t="str">
        <f>IF($C402="","",IFERROR(VLOOKUP($C402,sources!$A$2:$N$200,2,FALSE()),"?"))</f>
        <v>Web compilation</v>
      </c>
      <c r="R402" t="str">
        <f t="shared" si="6"/>
        <v>Textual</v>
      </c>
      <c r="S402" t="str">
        <f>IF($C402="","",IFERROR(VLOOKUP($C402,sources!$A$2:$N$200,9,FALSE()),"?"))</f>
        <v>Mixed</v>
      </c>
    </row>
    <row r="403" spans="1:19" x14ac:dyDescent="0.2">
      <c r="A403" t="s">
        <v>2687</v>
      </c>
      <c r="B403" t="s">
        <v>448</v>
      </c>
      <c r="C403" t="s">
        <v>1315</v>
      </c>
      <c r="D403" t="s">
        <v>1599</v>
      </c>
      <c r="E403" t="s">
        <v>449</v>
      </c>
      <c r="F403" t="s">
        <v>1612</v>
      </c>
      <c r="K403" t="s">
        <v>302</v>
      </c>
      <c r="M403" t="s">
        <v>228</v>
      </c>
      <c r="N403" t="s">
        <v>222</v>
      </c>
      <c r="O403" t="s">
        <v>2688</v>
      </c>
      <c r="P403" t="s">
        <v>2689</v>
      </c>
      <c r="Q403" t="str">
        <f>IF($C403="","",IFERROR(VLOOKUP($C403,sources!$A$2:$N$200,2,FALSE()),"?"))</f>
        <v>Web compilation</v>
      </c>
      <c r="R403" t="str">
        <f t="shared" si="6"/>
        <v>Textual</v>
      </c>
      <c r="S403" t="str">
        <f>IF($C403="","",IFERROR(VLOOKUP($C403,sources!$A$2:$N$200,9,FALSE()),"?"))</f>
        <v>Mixed</v>
      </c>
    </row>
    <row r="404" spans="1:19" x14ac:dyDescent="0.2">
      <c r="A404" t="s">
        <v>2690</v>
      </c>
      <c r="B404" t="s">
        <v>354</v>
      </c>
      <c r="C404" t="s">
        <v>1315</v>
      </c>
      <c r="D404" t="s">
        <v>1599</v>
      </c>
      <c r="E404" t="s">
        <v>355</v>
      </c>
      <c r="F404" t="s">
        <v>1612</v>
      </c>
      <c r="K404" t="s">
        <v>1628</v>
      </c>
      <c r="M404" t="s">
        <v>228</v>
      </c>
      <c r="N404" t="s">
        <v>222</v>
      </c>
      <c r="O404" t="s">
        <v>2691</v>
      </c>
      <c r="P404" t="s">
        <v>2692</v>
      </c>
      <c r="Q404" t="str">
        <f>IF($C404="","",IFERROR(VLOOKUP($C404,sources!$A$2:$N$200,2,FALSE()),"?"))</f>
        <v>Web compilation</v>
      </c>
      <c r="R404" t="str">
        <f t="shared" si="6"/>
        <v>Textual</v>
      </c>
      <c r="S404" t="str">
        <f>IF($C404="","",IFERROR(VLOOKUP($C404,sources!$A$2:$N$200,9,FALSE()),"?"))</f>
        <v>Mixed</v>
      </c>
    </row>
    <row r="405" spans="1:19" x14ac:dyDescent="0.2">
      <c r="A405" t="s">
        <v>2693</v>
      </c>
      <c r="B405" t="s">
        <v>234</v>
      </c>
      <c r="C405" t="s">
        <v>1315</v>
      </c>
      <c r="D405" t="s">
        <v>1599</v>
      </c>
      <c r="E405" t="s">
        <v>2694</v>
      </c>
      <c r="F405" t="s">
        <v>1612</v>
      </c>
      <c r="K405" t="s">
        <v>291</v>
      </c>
      <c r="M405" t="s">
        <v>228</v>
      </c>
      <c r="N405" t="s">
        <v>222</v>
      </c>
      <c r="O405" t="s">
        <v>2695</v>
      </c>
      <c r="P405" t="s">
        <v>2696</v>
      </c>
      <c r="Q405" t="str">
        <f>IF($C405="","",IFERROR(VLOOKUP($C405,sources!$A$2:$N$200,2,FALSE()),"?"))</f>
        <v>Web compilation</v>
      </c>
      <c r="R405" t="str">
        <f t="shared" si="6"/>
        <v>Textual</v>
      </c>
      <c r="S405" t="str">
        <f>IF($C405="","",IFERROR(VLOOKUP($C405,sources!$A$2:$N$200,9,FALSE()),"?"))</f>
        <v>Mixed</v>
      </c>
    </row>
    <row r="406" spans="1:19" x14ac:dyDescent="0.2">
      <c r="A406" t="s">
        <v>2697</v>
      </c>
      <c r="B406" t="s">
        <v>234</v>
      </c>
      <c r="C406" t="s">
        <v>1315</v>
      </c>
      <c r="D406" t="s">
        <v>1599</v>
      </c>
      <c r="E406" t="s">
        <v>235</v>
      </c>
      <c r="F406" t="s">
        <v>1612</v>
      </c>
      <c r="K406" t="s">
        <v>250</v>
      </c>
      <c r="M406" t="s">
        <v>228</v>
      </c>
      <c r="N406" t="s">
        <v>222</v>
      </c>
      <c r="O406" t="s">
        <v>2698</v>
      </c>
      <c r="P406" t="s">
        <v>2699</v>
      </c>
      <c r="Q406" t="str">
        <f>IF($C406="","",IFERROR(VLOOKUP($C406,sources!$A$2:$N$200,2,FALSE()),"?"))</f>
        <v>Web compilation</v>
      </c>
      <c r="R406" t="str">
        <f t="shared" si="6"/>
        <v>Textual</v>
      </c>
      <c r="S406" t="str">
        <f>IF($C406="","",IFERROR(VLOOKUP($C406,sources!$A$2:$N$200,9,FALSE()),"?"))</f>
        <v>Mixed</v>
      </c>
    </row>
    <row r="407" spans="1:19" x14ac:dyDescent="0.2">
      <c r="A407" t="s">
        <v>2700</v>
      </c>
      <c r="B407" t="s">
        <v>458</v>
      </c>
      <c r="C407" t="s">
        <v>1315</v>
      </c>
      <c r="D407" t="s">
        <v>1599</v>
      </c>
      <c r="E407" t="s">
        <v>459</v>
      </c>
      <c r="F407" t="s">
        <v>1612</v>
      </c>
      <c r="K407" t="s">
        <v>1628</v>
      </c>
      <c r="M407" t="s">
        <v>228</v>
      </c>
      <c r="N407" t="s">
        <v>222</v>
      </c>
      <c r="O407" t="s">
        <v>2691</v>
      </c>
      <c r="P407" t="s">
        <v>2701</v>
      </c>
      <c r="Q407" t="str">
        <f>IF($C407="","",IFERROR(VLOOKUP($C407,sources!$A$2:$N$200,2,FALSE()),"?"))</f>
        <v>Web compilation</v>
      </c>
      <c r="R407" t="str">
        <f t="shared" si="6"/>
        <v>Textual</v>
      </c>
      <c r="S407" t="str">
        <f>IF($C407="","",IFERROR(VLOOKUP($C407,sources!$A$2:$N$200,9,FALSE()),"?"))</f>
        <v>Mixed</v>
      </c>
    </row>
    <row r="408" spans="1:19" x14ac:dyDescent="0.2">
      <c r="A408" t="s">
        <v>2702</v>
      </c>
      <c r="B408" t="s">
        <v>213</v>
      </c>
      <c r="C408" t="s">
        <v>1315</v>
      </c>
      <c r="D408" t="s">
        <v>1599</v>
      </c>
      <c r="E408" t="s">
        <v>214</v>
      </c>
      <c r="F408" t="s">
        <v>1612</v>
      </c>
      <c r="K408" t="s">
        <v>291</v>
      </c>
      <c r="M408" t="s">
        <v>228</v>
      </c>
      <c r="N408" t="s">
        <v>222</v>
      </c>
      <c r="O408" t="s">
        <v>2703</v>
      </c>
      <c r="P408" t="s">
        <v>2704</v>
      </c>
      <c r="Q408" t="str">
        <f>IF($C408="","",IFERROR(VLOOKUP($C408,sources!$A$2:$N$200,2,FALSE()),"?"))</f>
        <v>Web compilation</v>
      </c>
      <c r="R408" t="str">
        <f t="shared" si="6"/>
        <v>Textual</v>
      </c>
      <c r="S408" t="str">
        <f>IF($C408="","",IFERROR(VLOOKUP($C408,sources!$A$2:$N$200,9,FALSE()),"?"))</f>
        <v>Mixed</v>
      </c>
    </row>
    <row r="409" spans="1:19" x14ac:dyDescent="0.2">
      <c r="A409" t="s">
        <v>2705</v>
      </c>
      <c r="B409" t="s">
        <v>272</v>
      </c>
      <c r="C409" t="s">
        <v>1315</v>
      </c>
      <c r="D409" t="s">
        <v>1599</v>
      </c>
      <c r="E409" t="s">
        <v>273</v>
      </c>
      <c r="F409" t="s">
        <v>1612</v>
      </c>
      <c r="K409" t="s">
        <v>302</v>
      </c>
      <c r="M409" t="s">
        <v>228</v>
      </c>
      <c r="N409" t="s">
        <v>222</v>
      </c>
      <c r="O409" t="s">
        <v>2706</v>
      </c>
      <c r="P409" t="s">
        <v>2707</v>
      </c>
      <c r="Q409" t="str">
        <f>IF($C409="","",IFERROR(VLOOKUP($C409,sources!$A$2:$N$200,2,FALSE()),"?"))</f>
        <v>Web compilation</v>
      </c>
      <c r="R409" t="str">
        <f t="shared" si="6"/>
        <v>Textual</v>
      </c>
      <c r="S409" t="str">
        <f>IF($C409="","",IFERROR(VLOOKUP($C409,sources!$A$2:$N$200,9,FALSE()),"?"))</f>
        <v>Mixed</v>
      </c>
    </row>
    <row r="410" spans="1:19" x14ac:dyDescent="0.2">
      <c r="A410" t="s">
        <v>2708</v>
      </c>
      <c r="B410" t="s">
        <v>284</v>
      </c>
      <c r="C410" t="s">
        <v>1315</v>
      </c>
      <c r="D410" t="s">
        <v>1599</v>
      </c>
      <c r="E410" t="s">
        <v>285</v>
      </c>
      <c r="F410" t="s">
        <v>1612</v>
      </c>
      <c r="K410" t="s">
        <v>291</v>
      </c>
      <c r="M410" t="s">
        <v>228</v>
      </c>
      <c r="N410" t="s">
        <v>222</v>
      </c>
      <c r="O410" t="s">
        <v>2709</v>
      </c>
      <c r="P410" t="s">
        <v>2710</v>
      </c>
      <c r="Q410" t="str">
        <f>IF($C410="","",IFERROR(VLOOKUP($C410,sources!$A$2:$N$200,2,FALSE()),"?"))</f>
        <v>Web compilation</v>
      </c>
      <c r="R410" t="str">
        <f t="shared" si="6"/>
        <v>Textual</v>
      </c>
      <c r="S410" t="str">
        <f>IF($C410="","",IFERROR(VLOOKUP($C410,sources!$A$2:$N$200,9,FALSE()),"?"))</f>
        <v>Mixed</v>
      </c>
    </row>
    <row r="411" spans="1:19" x14ac:dyDescent="0.2">
      <c r="A411" t="s">
        <v>2711</v>
      </c>
      <c r="B411" t="s">
        <v>230</v>
      </c>
      <c r="C411" t="s">
        <v>1315</v>
      </c>
      <c r="D411" t="s">
        <v>1599</v>
      </c>
      <c r="E411" t="s">
        <v>231</v>
      </c>
      <c r="F411" t="s">
        <v>1612</v>
      </c>
      <c r="M411" t="s">
        <v>209</v>
      </c>
      <c r="N411" t="s">
        <v>222</v>
      </c>
      <c r="O411" t="s">
        <v>2712</v>
      </c>
      <c r="P411" t="s">
        <v>2713</v>
      </c>
      <c r="Q411" t="str">
        <f>IF($C411="","",IFERROR(VLOOKUP($C411,sources!$A$2:$N$200,2,FALSE()),"?"))</f>
        <v>Web compilation</v>
      </c>
      <c r="R411" t="str">
        <f t="shared" si="6"/>
        <v>Textual</v>
      </c>
      <c r="S411" t="str">
        <f>IF($C411="","",IFERROR(VLOOKUP($C411,sources!$A$2:$N$200,9,FALSE()),"?"))</f>
        <v>Mixed</v>
      </c>
    </row>
    <row r="412" spans="1:19" x14ac:dyDescent="0.2">
      <c r="A412" t="s">
        <v>2714</v>
      </c>
      <c r="B412" t="s">
        <v>484</v>
      </c>
      <c r="C412" t="s">
        <v>1315</v>
      </c>
      <c r="D412" t="s">
        <v>1599</v>
      </c>
      <c r="E412" t="s">
        <v>485</v>
      </c>
      <c r="F412" t="s">
        <v>1612</v>
      </c>
      <c r="K412" t="s">
        <v>1059</v>
      </c>
      <c r="M412" t="s">
        <v>228</v>
      </c>
      <c r="N412" t="s">
        <v>222</v>
      </c>
      <c r="O412" t="s">
        <v>2715</v>
      </c>
      <c r="P412" t="s">
        <v>2716</v>
      </c>
      <c r="Q412" t="str">
        <f>IF($C412="","",IFERROR(VLOOKUP($C412,sources!$A$2:$N$200,2,FALSE()),"?"))</f>
        <v>Web compilation</v>
      </c>
      <c r="R412" t="str">
        <f t="shared" si="6"/>
        <v>Textual</v>
      </c>
      <c r="S412" t="str">
        <f>IF($C412="","",IFERROR(VLOOKUP($C412,sources!$A$2:$N$200,9,FALSE()),"?"))</f>
        <v>Mixed</v>
      </c>
    </row>
    <row r="413" spans="1:19" x14ac:dyDescent="0.2">
      <c r="A413" t="s">
        <v>2717</v>
      </c>
      <c r="B413" t="s">
        <v>417</v>
      </c>
      <c r="C413" t="s">
        <v>1315</v>
      </c>
      <c r="D413" t="s">
        <v>1599</v>
      </c>
      <c r="E413" t="s">
        <v>418</v>
      </c>
      <c r="F413" t="s">
        <v>1612</v>
      </c>
      <c r="K413" t="s">
        <v>1191</v>
      </c>
      <c r="M413" t="s">
        <v>228</v>
      </c>
      <c r="N413" t="s">
        <v>222</v>
      </c>
      <c r="O413" t="s">
        <v>2718</v>
      </c>
      <c r="P413" t="s">
        <v>2719</v>
      </c>
      <c r="Q413" t="str">
        <f>IF($C413="","",IFERROR(VLOOKUP($C413,sources!$A$2:$N$200,2,FALSE()),"?"))</f>
        <v>Web compilation</v>
      </c>
      <c r="R413" t="str">
        <f t="shared" si="6"/>
        <v>Textual</v>
      </c>
      <c r="S413" t="str">
        <f>IF($C413="","",IFERROR(VLOOKUP($C413,sources!$A$2:$N$200,9,FALSE()),"?"))</f>
        <v>Mixed</v>
      </c>
    </row>
    <row r="414" spans="1:19" x14ac:dyDescent="0.2">
      <c r="A414" t="s">
        <v>2720</v>
      </c>
      <c r="B414" t="s">
        <v>522</v>
      </c>
      <c r="C414" t="s">
        <v>1315</v>
      </c>
      <c r="D414" t="s">
        <v>1599</v>
      </c>
      <c r="E414" t="s">
        <v>523</v>
      </c>
      <c r="F414" t="s">
        <v>1612</v>
      </c>
      <c r="K414" t="s">
        <v>250</v>
      </c>
      <c r="M414" t="s">
        <v>228</v>
      </c>
      <c r="N414" t="s">
        <v>222</v>
      </c>
      <c r="O414" t="s">
        <v>2721</v>
      </c>
      <c r="P414" t="s">
        <v>2722</v>
      </c>
      <c r="Q414" t="str">
        <f>IF($C414="","",IFERROR(VLOOKUP($C414,sources!$A$2:$N$200,2,FALSE()),"?"))</f>
        <v>Web compilation</v>
      </c>
      <c r="R414" t="str">
        <f t="shared" si="6"/>
        <v>Textual</v>
      </c>
      <c r="S414" t="str">
        <f>IF($C414="","",IFERROR(VLOOKUP($C414,sources!$A$2:$N$200,9,FALSE()),"?"))</f>
        <v>Mixed</v>
      </c>
    </row>
    <row r="415" spans="1:19" x14ac:dyDescent="0.2">
      <c r="A415" t="s">
        <v>2723</v>
      </c>
      <c r="B415" t="s">
        <v>462</v>
      </c>
      <c r="C415" t="s">
        <v>1315</v>
      </c>
      <c r="D415" t="s">
        <v>1599</v>
      </c>
      <c r="E415" t="s">
        <v>463</v>
      </c>
      <c r="F415" t="s">
        <v>1612</v>
      </c>
      <c r="K415" t="s">
        <v>291</v>
      </c>
      <c r="M415" t="s">
        <v>228</v>
      </c>
      <c r="N415" t="s">
        <v>222</v>
      </c>
      <c r="O415" t="s">
        <v>2709</v>
      </c>
      <c r="P415" t="s">
        <v>2724</v>
      </c>
      <c r="Q415" t="str">
        <f>IF($C415="","",IFERROR(VLOOKUP($C415,sources!$A$2:$N$200,2,FALSE()),"?"))</f>
        <v>Web compilation</v>
      </c>
      <c r="R415" t="str">
        <f t="shared" si="6"/>
        <v>Textual</v>
      </c>
      <c r="S415" t="str">
        <f>IF($C415="","",IFERROR(VLOOKUP($C415,sources!$A$2:$N$200,9,FALSE()),"?"))</f>
        <v>Mixed</v>
      </c>
    </row>
    <row r="416" spans="1:19" x14ac:dyDescent="0.2">
      <c r="A416" t="s">
        <v>2725</v>
      </c>
      <c r="B416" t="s">
        <v>539</v>
      </c>
      <c r="C416" t="s">
        <v>1315</v>
      </c>
      <c r="D416" t="s">
        <v>1599</v>
      </c>
      <c r="E416" t="s">
        <v>540</v>
      </c>
      <c r="F416" t="s">
        <v>1612</v>
      </c>
      <c r="M416" t="s">
        <v>209</v>
      </c>
      <c r="N416" t="s">
        <v>222</v>
      </c>
      <c r="O416" t="s">
        <v>2691</v>
      </c>
      <c r="P416" t="s">
        <v>2726</v>
      </c>
      <c r="Q416" t="str">
        <f>IF($C416="","",IFERROR(VLOOKUP($C416,sources!$A$2:$N$200,2,FALSE()),"?"))</f>
        <v>Web compilation</v>
      </c>
      <c r="R416" t="str">
        <f t="shared" si="6"/>
        <v>Textual</v>
      </c>
      <c r="S416" t="str">
        <f>IF($C416="","",IFERROR(VLOOKUP($C416,sources!$A$2:$N$200,9,FALSE()),"?"))</f>
        <v>Mixed</v>
      </c>
    </row>
    <row r="417" spans="1:19" x14ac:dyDescent="0.2">
      <c r="A417" t="s">
        <v>2727</v>
      </c>
      <c r="B417" t="s">
        <v>529</v>
      </c>
      <c r="C417" t="s">
        <v>1315</v>
      </c>
      <c r="D417" t="s">
        <v>1599</v>
      </c>
      <c r="E417" t="s">
        <v>530</v>
      </c>
      <c r="F417" t="s">
        <v>1612</v>
      </c>
      <c r="K417" t="s">
        <v>1628</v>
      </c>
      <c r="M417" t="s">
        <v>228</v>
      </c>
      <c r="N417" t="s">
        <v>222</v>
      </c>
      <c r="O417" t="s">
        <v>2728</v>
      </c>
      <c r="P417" t="s">
        <v>2729</v>
      </c>
      <c r="Q417" t="str">
        <f>IF($C417="","",IFERROR(VLOOKUP($C417,sources!$A$2:$N$200,2,FALSE()),"?"))</f>
        <v>Web compilation</v>
      </c>
      <c r="R417" t="str">
        <f t="shared" si="6"/>
        <v>Textual</v>
      </c>
      <c r="S417" t="str">
        <f>IF($C417="","",IFERROR(VLOOKUP($C417,sources!$A$2:$N$200,9,FALSE()),"?"))</f>
        <v>Mixed</v>
      </c>
    </row>
    <row r="418" spans="1:19" x14ac:dyDescent="0.2">
      <c r="A418" t="s">
        <v>2730</v>
      </c>
      <c r="B418" t="s">
        <v>370</v>
      </c>
      <c r="C418" t="s">
        <v>1315</v>
      </c>
      <c r="D418" t="s">
        <v>1599</v>
      </c>
      <c r="E418" t="s">
        <v>371</v>
      </c>
      <c r="F418" t="s">
        <v>1612</v>
      </c>
      <c r="K418" t="s">
        <v>2027</v>
      </c>
      <c r="M418" t="s">
        <v>228</v>
      </c>
      <c r="N418" t="s">
        <v>222</v>
      </c>
      <c r="O418" t="s">
        <v>2731</v>
      </c>
      <c r="P418" t="s">
        <v>2732</v>
      </c>
      <c r="Q418" t="str">
        <f>IF($C418="","",IFERROR(VLOOKUP($C418,sources!$A$2:$N$200,2,FALSE()),"?"))</f>
        <v>Web compilation</v>
      </c>
      <c r="R418" t="str">
        <f t="shared" si="6"/>
        <v>Textual</v>
      </c>
      <c r="S418" t="str">
        <f>IF($C418="","",IFERROR(VLOOKUP($C418,sources!$A$2:$N$200,9,FALSE()),"?"))</f>
        <v>Mixed</v>
      </c>
    </row>
    <row r="419" spans="1:19" x14ac:dyDescent="0.2">
      <c r="A419" t="s">
        <v>2733</v>
      </c>
      <c r="B419" t="s">
        <v>349</v>
      </c>
      <c r="C419" t="s">
        <v>1315</v>
      </c>
      <c r="D419" t="s">
        <v>1599</v>
      </c>
      <c r="E419" t="s">
        <v>350</v>
      </c>
      <c r="F419" t="s">
        <v>1612</v>
      </c>
      <c r="K419" t="s">
        <v>1628</v>
      </c>
      <c r="M419" t="s">
        <v>228</v>
      </c>
      <c r="N419" t="s">
        <v>222</v>
      </c>
      <c r="O419" t="s">
        <v>2734</v>
      </c>
      <c r="P419" t="s">
        <v>2735</v>
      </c>
      <c r="Q419" t="str">
        <f>IF($C419="","",IFERROR(VLOOKUP($C419,sources!$A$2:$N$200,2,FALSE()),"?"))</f>
        <v>Web compilation</v>
      </c>
      <c r="R419" t="str">
        <f t="shared" si="6"/>
        <v>Textual</v>
      </c>
      <c r="S419" t="str">
        <f>IF($C419="","",IFERROR(VLOOKUP($C419,sources!$A$2:$N$200,9,FALSE()),"?"))</f>
        <v>Mixed</v>
      </c>
    </row>
    <row r="420" spans="1:19" x14ac:dyDescent="0.2">
      <c r="A420" t="s">
        <v>2736</v>
      </c>
      <c r="B420" t="s">
        <v>218</v>
      </c>
      <c r="C420" t="s">
        <v>1315</v>
      </c>
      <c r="D420" t="s">
        <v>1599</v>
      </c>
      <c r="E420" t="s">
        <v>219</v>
      </c>
      <c r="F420" t="s">
        <v>1612</v>
      </c>
      <c r="K420" t="s">
        <v>1191</v>
      </c>
      <c r="M420" t="s">
        <v>228</v>
      </c>
      <c r="N420" t="s">
        <v>222</v>
      </c>
      <c r="O420" t="s">
        <v>2737</v>
      </c>
      <c r="P420" t="s">
        <v>2738</v>
      </c>
      <c r="Q420" t="str">
        <f>IF($C420="","",IFERROR(VLOOKUP($C420,sources!$A$2:$N$200,2,FALSE()),"?"))</f>
        <v>Web compilation</v>
      </c>
      <c r="R420" t="str">
        <f t="shared" si="6"/>
        <v>Textual</v>
      </c>
      <c r="S420" t="str">
        <f>IF($C420="","",IFERROR(VLOOKUP($C420,sources!$A$2:$N$200,9,FALSE()),"?"))</f>
        <v>Mixed</v>
      </c>
    </row>
    <row r="421" spans="1:19" x14ac:dyDescent="0.2">
      <c r="A421" t="s">
        <v>2739</v>
      </c>
      <c r="B421" t="s">
        <v>397</v>
      </c>
      <c r="C421" t="s">
        <v>1315</v>
      </c>
      <c r="D421" t="s">
        <v>1599</v>
      </c>
      <c r="E421" t="s">
        <v>398</v>
      </c>
      <c r="F421" t="s">
        <v>1612</v>
      </c>
      <c r="K421" t="s">
        <v>1059</v>
      </c>
      <c r="M421" t="s">
        <v>228</v>
      </c>
      <c r="N421" t="s">
        <v>222</v>
      </c>
      <c r="O421" t="s">
        <v>2715</v>
      </c>
      <c r="P421" t="s">
        <v>2740</v>
      </c>
      <c r="Q421" t="str">
        <f>IF($C421="","",IFERROR(VLOOKUP($C421,sources!$A$2:$N$200,2,FALSE()),"?"))</f>
        <v>Web compilation</v>
      </c>
      <c r="R421" t="str">
        <f t="shared" si="6"/>
        <v>Textual</v>
      </c>
      <c r="S421" t="str">
        <f>IF($C421="","",IFERROR(VLOOKUP($C421,sources!$A$2:$N$200,9,FALSE()),"?"))</f>
        <v>Mixed</v>
      </c>
    </row>
    <row r="422" spans="1:19" x14ac:dyDescent="0.2">
      <c r="A422" t="s">
        <v>2741</v>
      </c>
      <c r="B422" t="s">
        <v>266</v>
      </c>
      <c r="C422" t="s">
        <v>1315</v>
      </c>
      <c r="D422" t="s">
        <v>1599</v>
      </c>
      <c r="E422" t="s">
        <v>267</v>
      </c>
      <c r="F422" t="s">
        <v>1612</v>
      </c>
      <c r="K422" t="s">
        <v>291</v>
      </c>
      <c r="M422" t="s">
        <v>228</v>
      </c>
      <c r="N422" t="s">
        <v>222</v>
      </c>
      <c r="O422" t="s">
        <v>2709</v>
      </c>
      <c r="P422" t="s">
        <v>2742</v>
      </c>
      <c r="Q422" t="str">
        <f>IF($C422="","",IFERROR(VLOOKUP($C422,sources!$A$2:$N$200,2,FALSE()),"?"))</f>
        <v>Web compilation</v>
      </c>
      <c r="R422" t="str">
        <f t="shared" si="6"/>
        <v>Textual</v>
      </c>
      <c r="S422" t="str">
        <f>IF($C422="","",IFERROR(VLOOKUP($C422,sources!$A$2:$N$200,9,FALSE()),"?"))</f>
        <v>Mixed</v>
      </c>
    </row>
    <row r="423" spans="1:19" x14ac:dyDescent="0.2">
      <c r="A423" t="s">
        <v>2743</v>
      </c>
      <c r="B423" t="s">
        <v>491</v>
      </c>
      <c r="C423" t="s">
        <v>1315</v>
      </c>
      <c r="D423" t="s">
        <v>1599</v>
      </c>
      <c r="E423" t="s">
        <v>492</v>
      </c>
      <c r="F423" t="s">
        <v>1612</v>
      </c>
      <c r="K423" t="s">
        <v>1059</v>
      </c>
      <c r="M423" t="s">
        <v>228</v>
      </c>
      <c r="N423" t="s">
        <v>222</v>
      </c>
      <c r="O423" t="s">
        <v>2744</v>
      </c>
      <c r="P423" t="s">
        <v>2745</v>
      </c>
      <c r="Q423" t="str">
        <f>IF($C423="","",IFERROR(VLOOKUP($C423,sources!$A$2:$N$200,2,FALSE()),"?"))</f>
        <v>Web compilation</v>
      </c>
      <c r="R423" t="str">
        <f t="shared" si="6"/>
        <v>Textual</v>
      </c>
      <c r="S423" t="str">
        <f>IF($C423="","",IFERROR(VLOOKUP($C423,sources!$A$2:$N$200,9,FALSE()),"?"))</f>
        <v>Mixed</v>
      </c>
    </row>
    <row r="424" spans="1:19" x14ac:dyDescent="0.2">
      <c r="A424" t="s">
        <v>2746</v>
      </c>
      <c r="B424" t="s">
        <v>252</v>
      </c>
      <c r="C424" t="s">
        <v>1315</v>
      </c>
      <c r="D424" t="s">
        <v>1599</v>
      </c>
      <c r="E424" t="s">
        <v>324</v>
      </c>
      <c r="F424" t="s">
        <v>1612</v>
      </c>
      <c r="M424" t="s">
        <v>209</v>
      </c>
      <c r="N424" t="s">
        <v>222</v>
      </c>
      <c r="O424" t="s">
        <v>2712</v>
      </c>
      <c r="P424" t="s">
        <v>2747</v>
      </c>
      <c r="Q424" t="str">
        <f>IF($C424="","",IFERROR(VLOOKUP($C424,sources!$A$2:$N$200,2,FALSE()),"?"))</f>
        <v>Web compilation</v>
      </c>
      <c r="R424" t="str">
        <f t="shared" si="6"/>
        <v>Textual</v>
      </c>
      <c r="S424" t="str">
        <f>IF($C424="","",IFERROR(VLOOKUP($C424,sources!$A$2:$N$200,9,FALSE()),"?"))</f>
        <v>Mixed</v>
      </c>
    </row>
    <row r="425" spans="1:19" x14ac:dyDescent="0.2">
      <c r="A425" t="s">
        <v>2748</v>
      </c>
      <c r="B425" t="s">
        <v>252</v>
      </c>
      <c r="C425" t="s">
        <v>1315</v>
      </c>
      <c r="D425" t="s">
        <v>1599</v>
      </c>
      <c r="E425" t="s">
        <v>253</v>
      </c>
      <c r="F425" t="s">
        <v>1612</v>
      </c>
      <c r="M425" t="s">
        <v>209</v>
      </c>
      <c r="N425" t="s">
        <v>222</v>
      </c>
      <c r="O425" t="s">
        <v>2749</v>
      </c>
      <c r="P425" t="s">
        <v>2750</v>
      </c>
      <c r="Q425" t="str">
        <f>IF($C425="","",IFERROR(VLOOKUP($C425,sources!$A$2:$N$200,2,FALSE()),"?"))</f>
        <v>Web compilation</v>
      </c>
      <c r="R425" t="str">
        <f t="shared" si="6"/>
        <v>Textual</v>
      </c>
      <c r="S425" t="str">
        <f>IF($C425="","",IFERROR(VLOOKUP($C425,sources!$A$2:$N$200,9,FALSE()),"?"))</f>
        <v>Mixed</v>
      </c>
    </row>
    <row r="426" spans="1:19" x14ac:dyDescent="0.2">
      <c r="A426" t="s">
        <v>2751</v>
      </c>
      <c r="B426" t="s">
        <v>866</v>
      </c>
      <c r="C426" t="s">
        <v>1315</v>
      </c>
      <c r="D426" t="s">
        <v>1599</v>
      </c>
      <c r="E426" t="s">
        <v>374</v>
      </c>
      <c r="F426" t="s">
        <v>1612</v>
      </c>
      <c r="M426" t="s">
        <v>209</v>
      </c>
      <c r="N426" t="s">
        <v>222</v>
      </c>
      <c r="O426" t="s">
        <v>2752</v>
      </c>
      <c r="P426" t="s">
        <v>2753</v>
      </c>
      <c r="Q426" t="str">
        <f>IF($C426="","",IFERROR(VLOOKUP($C426,sources!$A$2:$N$200,2,FALSE()),"?"))</f>
        <v>Web compilation</v>
      </c>
      <c r="R426" t="str">
        <f t="shared" si="6"/>
        <v>Textual</v>
      </c>
      <c r="S426" t="str">
        <f>IF($C426="","",IFERROR(VLOOKUP($C426,sources!$A$2:$N$200,9,FALSE()),"?"))</f>
        <v>Mixed</v>
      </c>
    </row>
    <row r="427" spans="1:19" x14ac:dyDescent="0.2">
      <c r="A427" t="s">
        <v>2754</v>
      </c>
      <c r="B427" t="s">
        <v>388</v>
      </c>
      <c r="C427" t="s">
        <v>1315</v>
      </c>
      <c r="D427" t="s">
        <v>1599</v>
      </c>
      <c r="E427" t="s">
        <v>389</v>
      </c>
      <c r="F427" t="s">
        <v>1612</v>
      </c>
      <c r="K427" t="s">
        <v>291</v>
      </c>
      <c r="M427" t="s">
        <v>228</v>
      </c>
      <c r="N427" t="s">
        <v>222</v>
      </c>
      <c r="O427" t="s">
        <v>2709</v>
      </c>
      <c r="P427" t="s">
        <v>2755</v>
      </c>
      <c r="Q427" t="str">
        <f>IF($C427="","",IFERROR(VLOOKUP($C427,sources!$A$2:$N$200,2,FALSE()),"?"))</f>
        <v>Web compilation</v>
      </c>
      <c r="R427" t="str">
        <f t="shared" si="6"/>
        <v>Textual</v>
      </c>
      <c r="S427" t="str">
        <f>IF($C427="","",IFERROR(VLOOKUP($C427,sources!$A$2:$N$200,9,FALSE()),"?"))</f>
        <v>Mixed</v>
      </c>
    </row>
    <row r="428" spans="1:19" x14ac:dyDescent="0.2">
      <c r="A428" t="s">
        <v>2756</v>
      </c>
      <c r="B428" t="s">
        <v>238</v>
      </c>
      <c r="C428" t="s">
        <v>1315</v>
      </c>
      <c r="D428" t="s">
        <v>1599</v>
      </c>
      <c r="E428" t="s">
        <v>1607</v>
      </c>
      <c r="F428" t="s">
        <v>1612</v>
      </c>
      <c r="K428" t="s">
        <v>291</v>
      </c>
      <c r="M428" t="s">
        <v>228</v>
      </c>
      <c r="N428" t="s">
        <v>222</v>
      </c>
      <c r="O428" t="s">
        <v>2709</v>
      </c>
      <c r="P428" t="s">
        <v>2757</v>
      </c>
      <c r="Q428" t="str">
        <f>IF($C428="","",IFERROR(VLOOKUP($C428,sources!$A$2:$N$200,2,FALSE()),"?"))</f>
        <v>Web compilation</v>
      </c>
      <c r="R428" t="str">
        <f t="shared" si="6"/>
        <v>Textual</v>
      </c>
      <c r="S428" t="str">
        <f>IF($C428="","",IFERROR(VLOOKUP($C428,sources!$A$2:$N$200,9,FALSE()),"?"))</f>
        <v>Mixed</v>
      </c>
    </row>
    <row r="429" spans="1:19" x14ac:dyDescent="0.2">
      <c r="A429" t="s">
        <v>2758</v>
      </c>
      <c r="B429" t="s">
        <v>455</v>
      </c>
      <c r="C429" t="s">
        <v>1315</v>
      </c>
      <c r="D429" t="s">
        <v>1599</v>
      </c>
      <c r="E429" t="s">
        <v>456</v>
      </c>
      <c r="F429" t="s">
        <v>1612</v>
      </c>
      <c r="K429" t="s">
        <v>291</v>
      </c>
      <c r="M429" t="s">
        <v>228</v>
      </c>
      <c r="N429" t="s">
        <v>222</v>
      </c>
      <c r="O429" t="s">
        <v>2695</v>
      </c>
      <c r="P429" t="s">
        <v>2759</v>
      </c>
      <c r="Q429" t="str">
        <f>IF($C429="","",IFERROR(VLOOKUP($C429,sources!$A$2:$N$200,2,FALSE()),"?"))</f>
        <v>Web compilation</v>
      </c>
      <c r="R429" t="str">
        <f t="shared" si="6"/>
        <v>Textual</v>
      </c>
      <c r="S429" t="str">
        <f>IF($C429="","",IFERROR(VLOOKUP($C429,sources!$A$2:$N$200,9,FALSE()),"?"))</f>
        <v>Mixed</v>
      </c>
    </row>
    <row r="430" spans="1:19" x14ac:dyDescent="0.2">
      <c r="A430" t="s">
        <v>2760</v>
      </c>
      <c r="B430" t="s">
        <v>261</v>
      </c>
      <c r="C430" t="s">
        <v>1315</v>
      </c>
      <c r="D430" t="s">
        <v>1599</v>
      </c>
      <c r="E430" t="s">
        <v>262</v>
      </c>
      <c r="F430" t="s">
        <v>1612</v>
      </c>
      <c r="K430" t="s">
        <v>250</v>
      </c>
      <c r="M430" t="s">
        <v>228</v>
      </c>
      <c r="N430" t="s">
        <v>222</v>
      </c>
      <c r="O430" t="s">
        <v>2698</v>
      </c>
      <c r="P430" t="s">
        <v>2761</v>
      </c>
      <c r="Q430" t="str">
        <f>IF($C430="","",IFERROR(VLOOKUP($C430,sources!$A$2:$N$200,2,FALSE()),"?"))</f>
        <v>Web compilation</v>
      </c>
      <c r="R430" t="str">
        <f t="shared" si="6"/>
        <v>Textual</v>
      </c>
      <c r="S430" t="str">
        <f>IF($C430="","",IFERROR(VLOOKUP($C430,sources!$A$2:$N$200,9,FALSE()),"?"))</f>
        <v>Mixed</v>
      </c>
    </row>
    <row r="431" spans="1:19" x14ac:dyDescent="0.2">
      <c r="A431" t="s">
        <v>2762</v>
      </c>
      <c r="B431" t="s">
        <v>452</v>
      </c>
      <c r="C431" t="s">
        <v>1315</v>
      </c>
      <c r="D431" t="s">
        <v>1599</v>
      </c>
      <c r="E431" t="s">
        <v>453</v>
      </c>
      <c r="F431" t="s">
        <v>1612</v>
      </c>
      <c r="K431" t="s">
        <v>291</v>
      </c>
      <c r="M431" t="s">
        <v>228</v>
      </c>
      <c r="N431" t="s">
        <v>222</v>
      </c>
      <c r="O431" t="s">
        <v>2695</v>
      </c>
      <c r="P431" t="s">
        <v>2763</v>
      </c>
      <c r="Q431" t="str">
        <f>IF($C431="","",IFERROR(VLOOKUP($C431,sources!$A$2:$N$200,2,FALSE()),"?"))</f>
        <v>Web compilation</v>
      </c>
      <c r="R431" t="str">
        <f t="shared" si="6"/>
        <v>Textual</v>
      </c>
      <c r="S431" t="str">
        <f>IF($C431="","",IFERROR(VLOOKUP($C431,sources!$A$2:$N$200,9,FALSE()),"?"))</f>
        <v>Mixed</v>
      </c>
    </row>
    <row r="432" spans="1:19" x14ac:dyDescent="0.2">
      <c r="A432" t="s">
        <v>2764</v>
      </c>
      <c r="B432" t="s">
        <v>503</v>
      </c>
      <c r="C432" t="s">
        <v>1315</v>
      </c>
      <c r="D432" t="s">
        <v>1599</v>
      </c>
      <c r="E432" t="s">
        <v>504</v>
      </c>
      <c r="F432" t="s">
        <v>1612</v>
      </c>
      <c r="K432" t="s">
        <v>1628</v>
      </c>
      <c r="M432" t="s">
        <v>228</v>
      </c>
      <c r="N432" t="s">
        <v>222</v>
      </c>
      <c r="O432" t="s">
        <v>2734</v>
      </c>
      <c r="P432" t="s">
        <v>2765</v>
      </c>
      <c r="Q432" t="str">
        <f>IF($C432="","",IFERROR(VLOOKUP($C432,sources!$A$2:$N$200,2,FALSE()),"?"))</f>
        <v>Web compilation</v>
      </c>
      <c r="R432" t="str">
        <f t="shared" si="6"/>
        <v>Textual</v>
      </c>
      <c r="S432" t="str">
        <f>IF($C432="","",IFERROR(VLOOKUP($C432,sources!$A$2:$N$200,9,FALSE()),"?"))</f>
        <v>Mixed</v>
      </c>
    </row>
    <row r="433" spans="1:19" x14ac:dyDescent="0.2">
      <c r="A433" t="s">
        <v>2766</v>
      </c>
      <c r="B433" t="s">
        <v>367</v>
      </c>
      <c r="C433" t="s">
        <v>1315</v>
      </c>
      <c r="D433" t="s">
        <v>1599</v>
      </c>
      <c r="E433" t="s">
        <v>368</v>
      </c>
      <c r="F433" t="s">
        <v>1612</v>
      </c>
      <c r="K433" t="s">
        <v>302</v>
      </c>
      <c r="M433" t="s">
        <v>228</v>
      </c>
      <c r="N433" t="s">
        <v>222</v>
      </c>
      <c r="O433" t="s">
        <v>2767</v>
      </c>
      <c r="P433" t="s">
        <v>2768</v>
      </c>
      <c r="Q433" t="str">
        <f>IF($C433="","",IFERROR(VLOOKUP($C433,sources!$A$2:$N$200,2,FALSE()),"?"))</f>
        <v>Web compilation</v>
      </c>
      <c r="R433" t="str">
        <f t="shared" si="6"/>
        <v>Textual</v>
      </c>
      <c r="S433" t="str">
        <f>IF($C433="","",IFERROR(VLOOKUP($C433,sources!$A$2:$N$200,9,FALSE()),"?"))</f>
        <v>Mixed</v>
      </c>
    </row>
    <row r="434" spans="1:19" x14ac:dyDescent="0.2">
      <c r="A434" t="s">
        <v>2769</v>
      </c>
      <c r="B434" t="s">
        <v>280</v>
      </c>
      <c r="C434" t="s">
        <v>1315</v>
      </c>
      <c r="D434" t="s">
        <v>1599</v>
      </c>
      <c r="E434" t="s">
        <v>281</v>
      </c>
      <c r="F434" t="s">
        <v>1612</v>
      </c>
      <c r="K434" t="s">
        <v>1877</v>
      </c>
      <c r="M434" t="s">
        <v>228</v>
      </c>
      <c r="N434" t="s">
        <v>222</v>
      </c>
      <c r="O434" t="s">
        <v>2712</v>
      </c>
      <c r="P434" t="s">
        <v>2770</v>
      </c>
      <c r="Q434" t="str">
        <f>IF($C434="","",IFERROR(VLOOKUP($C434,sources!$A$2:$N$200,2,FALSE()),"?"))</f>
        <v>Web compilation</v>
      </c>
      <c r="R434" t="str">
        <f t="shared" si="6"/>
        <v>Textual</v>
      </c>
      <c r="S434" t="str">
        <f>IF($C434="","",IFERROR(VLOOKUP($C434,sources!$A$2:$N$200,9,FALSE()),"?"))</f>
        <v>Mixed</v>
      </c>
    </row>
    <row r="435" spans="1:19" x14ac:dyDescent="0.2">
      <c r="A435" t="s">
        <v>2771</v>
      </c>
      <c r="B435" t="s">
        <v>408</v>
      </c>
      <c r="C435" t="s">
        <v>1315</v>
      </c>
      <c r="D435" t="s">
        <v>1599</v>
      </c>
      <c r="E435" t="s">
        <v>409</v>
      </c>
      <c r="F435" t="s">
        <v>1612</v>
      </c>
      <c r="K435" t="s">
        <v>2772</v>
      </c>
      <c r="M435" t="s">
        <v>228</v>
      </c>
      <c r="N435" t="s">
        <v>222</v>
      </c>
      <c r="O435" t="s">
        <v>2773</v>
      </c>
      <c r="P435" t="s">
        <v>2774</v>
      </c>
      <c r="Q435" t="str">
        <f>IF($C435="","",IFERROR(VLOOKUP($C435,sources!$A$2:$N$200,2,FALSE()),"?"))</f>
        <v>Web compilation</v>
      </c>
      <c r="R435" t="str">
        <f t="shared" si="6"/>
        <v>Textual</v>
      </c>
      <c r="S435" t="str">
        <f>IF($C435="","",IFERROR(VLOOKUP($C435,sources!$A$2:$N$200,9,FALSE()),"?"))</f>
        <v>Mixed</v>
      </c>
    </row>
    <row r="436" spans="1:19" x14ac:dyDescent="0.2">
      <c r="A436" t="s">
        <v>2775</v>
      </c>
      <c r="B436" t="s">
        <v>414</v>
      </c>
      <c r="C436" t="s">
        <v>1315</v>
      </c>
      <c r="D436" t="s">
        <v>1599</v>
      </c>
      <c r="E436" t="s">
        <v>415</v>
      </c>
      <c r="F436" t="s">
        <v>1612</v>
      </c>
      <c r="K436" t="s">
        <v>2776</v>
      </c>
      <c r="M436" t="s">
        <v>228</v>
      </c>
      <c r="N436" t="s">
        <v>222</v>
      </c>
      <c r="O436" t="s">
        <v>2777</v>
      </c>
      <c r="P436" t="s">
        <v>2778</v>
      </c>
      <c r="Q436" t="str">
        <f>IF($C436="","",IFERROR(VLOOKUP($C436,sources!$A$2:$N$200,2,FALSE()),"?"))</f>
        <v>Web compilation</v>
      </c>
      <c r="R436" t="str">
        <f t="shared" si="6"/>
        <v>Textual</v>
      </c>
      <c r="S436" t="str">
        <f>IF($C436="","",IFERROR(VLOOKUP($C436,sources!$A$2:$N$200,9,FALSE()),"?"))</f>
        <v>Mixed</v>
      </c>
    </row>
    <row r="437" spans="1:19" x14ac:dyDescent="0.2">
      <c r="A437" t="s">
        <v>2779</v>
      </c>
      <c r="B437" t="s">
        <v>198</v>
      </c>
      <c r="C437" t="s">
        <v>1315</v>
      </c>
      <c r="D437" t="s">
        <v>1599</v>
      </c>
      <c r="E437" t="s">
        <v>199</v>
      </c>
      <c r="F437" t="s">
        <v>1612</v>
      </c>
      <c r="K437" t="s">
        <v>291</v>
      </c>
      <c r="M437" t="s">
        <v>228</v>
      </c>
      <c r="N437" t="s">
        <v>222</v>
      </c>
      <c r="O437" t="s">
        <v>2703</v>
      </c>
      <c r="P437" t="s">
        <v>2780</v>
      </c>
      <c r="Q437" t="str">
        <f>IF($C437="","",IFERROR(VLOOKUP($C437,sources!$A$2:$N$200,2,FALSE()),"?"))</f>
        <v>Web compilation</v>
      </c>
      <c r="R437" t="str">
        <f t="shared" si="6"/>
        <v>Textual</v>
      </c>
      <c r="S437" t="str">
        <f>IF($C437="","",IFERROR(VLOOKUP($C437,sources!$A$2:$N$200,9,FALSE()),"?"))</f>
        <v>Mixed</v>
      </c>
    </row>
    <row r="438" spans="1:19" x14ac:dyDescent="0.2">
      <c r="A438" t="s">
        <v>2781</v>
      </c>
      <c r="B438" t="s">
        <v>402</v>
      </c>
      <c r="C438" t="s">
        <v>1315</v>
      </c>
      <c r="D438" t="s">
        <v>1599</v>
      </c>
      <c r="E438" t="s">
        <v>403</v>
      </c>
      <c r="F438" t="s">
        <v>1612</v>
      </c>
      <c r="K438" t="s">
        <v>291</v>
      </c>
      <c r="M438" t="s">
        <v>228</v>
      </c>
      <c r="N438" t="s">
        <v>222</v>
      </c>
      <c r="O438" t="s">
        <v>2709</v>
      </c>
      <c r="P438" t="s">
        <v>2782</v>
      </c>
      <c r="Q438" t="str">
        <f>IF($C438="","",IFERROR(VLOOKUP($C438,sources!$A$2:$N$200,2,FALSE()),"?"))</f>
        <v>Web compilation</v>
      </c>
      <c r="R438" t="str">
        <f t="shared" si="6"/>
        <v>Textual</v>
      </c>
      <c r="S438" t="str">
        <f>IF($C438="","",IFERROR(VLOOKUP($C438,sources!$A$2:$N$200,9,FALSE()),"?"))</f>
        <v>Mixed</v>
      </c>
    </row>
    <row r="439" spans="1:19" x14ac:dyDescent="0.2">
      <c r="A439" t="s">
        <v>2783</v>
      </c>
      <c r="B439" t="s">
        <v>393</v>
      </c>
      <c r="C439" t="s">
        <v>1315</v>
      </c>
      <c r="D439" t="s">
        <v>1599</v>
      </c>
      <c r="E439" t="s">
        <v>394</v>
      </c>
      <c r="F439" t="s">
        <v>1612</v>
      </c>
      <c r="M439" t="s">
        <v>209</v>
      </c>
      <c r="N439" t="s">
        <v>222</v>
      </c>
      <c r="O439" t="s">
        <v>2784</v>
      </c>
      <c r="P439" t="s">
        <v>2785</v>
      </c>
      <c r="Q439" t="str">
        <f>IF($C439="","",IFERROR(VLOOKUP($C439,sources!$A$2:$N$200,2,FALSE()),"?"))</f>
        <v>Web compilation</v>
      </c>
      <c r="R439" t="str">
        <f t="shared" si="6"/>
        <v>Textual</v>
      </c>
      <c r="S439" t="str">
        <f>IF($C439="","",IFERROR(VLOOKUP($C439,sources!$A$2:$N$200,9,FALSE()),"?"))</f>
        <v>Mixed</v>
      </c>
    </row>
    <row r="440" spans="1:19" x14ac:dyDescent="0.2">
      <c r="A440" t="s">
        <v>2786</v>
      </c>
      <c r="B440" t="s">
        <v>422</v>
      </c>
      <c r="C440" t="s">
        <v>1315</v>
      </c>
      <c r="D440" t="s">
        <v>1599</v>
      </c>
      <c r="E440" t="s">
        <v>423</v>
      </c>
      <c r="F440" t="s">
        <v>1612</v>
      </c>
      <c r="K440" t="s">
        <v>1877</v>
      </c>
      <c r="M440" t="s">
        <v>228</v>
      </c>
      <c r="N440" t="s">
        <v>222</v>
      </c>
      <c r="O440" t="s">
        <v>2712</v>
      </c>
      <c r="P440" t="s">
        <v>2787</v>
      </c>
      <c r="Q440" t="str">
        <f>IF($C440="","",IFERROR(VLOOKUP($C440,sources!$A$2:$N$200,2,FALSE()),"?"))</f>
        <v>Web compilation</v>
      </c>
      <c r="R440" t="str">
        <f t="shared" si="6"/>
        <v>Textual</v>
      </c>
      <c r="S440" t="str">
        <f>IF($C440="","",IFERROR(VLOOKUP($C440,sources!$A$2:$N$200,9,FALSE()),"?"))</f>
        <v>Mixed</v>
      </c>
    </row>
    <row r="441" spans="1:19" x14ac:dyDescent="0.2">
      <c r="A441" t="s">
        <v>2788</v>
      </c>
      <c r="B441" t="s">
        <v>434</v>
      </c>
      <c r="C441" t="s">
        <v>1315</v>
      </c>
      <c r="D441" t="s">
        <v>1599</v>
      </c>
      <c r="E441" t="s">
        <v>435</v>
      </c>
      <c r="F441" t="s">
        <v>1612</v>
      </c>
      <c r="K441" t="s">
        <v>1877</v>
      </c>
      <c r="M441" t="s">
        <v>228</v>
      </c>
      <c r="N441" t="s">
        <v>222</v>
      </c>
      <c r="O441" t="s">
        <v>2712</v>
      </c>
      <c r="P441" t="s">
        <v>2789</v>
      </c>
      <c r="Q441" t="str">
        <f>IF($C441="","",IFERROR(VLOOKUP($C441,sources!$A$2:$N$200,2,FALSE()),"?"))</f>
        <v>Web compilation</v>
      </c>
      <c r="R441" t="str">
        <f t="shared" si="6"/>
        <v>Textual</v>
      </c>
      <c r="S441" t="str">
        <f>IF($C441="","",IFERROR(VLOOKUP($C441,sources!$A$2:$N$200,9,FALSE()),"?"))</f>
        <v>Mixed</v>
      </c>
    </row>
    <row r="442" spans="1:19" x14ac:dyDescent="0.2">
      <c r="A442" t="s">
        <v>2790</v>
      </c>
      <c r="B442" t="s">
        <v>487</v>
      </c>
      <c r="C442" t="s">
        <v>1315</v>
      </c>
      <c r="D442" t="s">
        <v>1599</v>
      </c>
      <c r="E442" t="s">
        <v>488</v>
      </c>
      <c r="F442" t="s">
        <v>1612</v>
      </c>
      <c r="K442" t="s">
        <v>292</v>
      </c>
      <c r="M442" t="s">
        <v>228</v>
      </c>
      <c r="N442" t="s">
        <v>222</v>
      </c>
      <c r="O442" t="s">
        <v>2791</v>
      </c>
      <c r="P442" t="s">
        <v>2792</v>
      </c>
      <c r="Q442" t="str">
        <f>IF($C442="","",IFERROR(VLOOKUP($C442,sources!$A$2:$N$200,2,FALSE()),"?"))</f>
        <v>Web compilation</v>
      </c>
      <c r="R442" t="str">
        <f t="shared" si="6"/>
        <v>Textual</v>
      </c>
      <c r="S442" t="str">
        <f>IF($C442="","",IFERROR(VLOOKUP($C442,sources!$A$2:$N$200,9,FALSE()),"?"))</f>
        <v>Mixed</v>
      </c>
    </row>
    <row r="443" spans="1:19" x14ac:dyDescent="0.2">
      <c r="A443" t="s">
        <v>2793</v>
      </c>
      <c r="B443" t="s">
        <v>245</v>
      </c>
      <c r="C443" t="s">
        <v>1315</v>
      </c>
      <c r="D443" t="s">
        <v>1599</v>
      </c>
      <c r="E443" t="s">
        <v>246</v>
      </c>
      <c r="F443" t="s">
        <v>1612</v>
      </c>
      <c r="K443" t="s">
        <v>1059</v>
      </c>
      <c r="M443" t="s">
        <v>228</v>
      </c>
      <c r="N443" t="s">
        <v>222</v>
      </c>
      <c r="O443" t="s">
        <v>2794</v>
      </c>
      <c r="P443" t="s">
        <v>2795</v>
      </c>
      <c r="Q443" t="str">
        <f>IF($C443="","",IFERROR(VLOOKUP($C443,sources!$A$2:$N$200,2,FALSE()),"?"))</f>
        <v>Web compilation</v>
      </c>
      <c r="R443" t="str">
        <f t="shared" si="6"/>
        <v>Textual</v>
      </c>
      <c r="S443" t="str">
        <f>IF($C443="","",IFERROR(VLOOKUP($C443,sources!$A$2:$N$200,9,FALSE()),"?"))</f>
        <v>Mixed</v>
      </c>
    </row>
    <row r="444" spans="1:19" x14ac:dyDescent="0.2">
      <c r="A444" t="s">
        <v>2796</v>
      </c>
      <c r="B444" t="s">
        <v>238</v>
      </c>
      <c r="C444" t="s">
        <v>1315</v>
      </c>
      <c r="D444" t="s">
        <v>1599</v>
      </c>
      <c r="E444" t="s">
        <v>239</v>
      </c>
      <c r="F444" t="s">
        <v>1612</v>
      </c>
      <c r="K444" t="s">
        <v>250</v>
      </c>
      <c r="M444" t="s">
        <v>228</v>
      </c>
      <c r="N444" t="s">
        <v>222</v>
      </c>
      <c r="O444" t="s">
        <v>2797</v>
      </c>
      <c r="P444" t="s">
        <v>2798</v>
      </c>
      <c r="Q444" t="str">
        <f>IF($C444="","",IFERROR(VLOOKUP($C444,sources!$A$2:$N$200,2,FALSE()),"?"))</f>
        <v>Web compilation</v>
      </c>
      <c r="R444" t="str">
        <f t="shared" si="6"/>
        <v>Textual</v>
      </c>
      <c r="S444" t="str">
        <f>IF($C444="","",IFERROR(VLOOKUP($C444,sources!$A$2:$N$200,9,FALSE()),"?"))</f>
        <v>Mixed</v>
      </c>
    </row>
    <row r="445" spans="1:19" x14ac:dyDescent="0.2">
      <c r="A445" t="s">
        <v>2799</v>
      </c>
      <c r="B445" t="s">
        <v>526</v>
      </c>
      <c r="C445" t="s">
        <v>1315</v>
      </c>
      <c r="D445" t="s">
        <v>1599</v>
      </c>
      <c r="E445" t="s">
        <v>527</v>
      </c>
      <c r="F445" t="s">
        <v>1612</v>
      </c>
      <c r="K445" t="s">
        <v>1873</v>
      </c>
      <c r="M445" t="s">
        <v>228</v>
      </c>
      <c r="N445" t="s">
        <v>222</v>
      </c>
      <c r="O445" t="s">
        <v>2800</v>
      </c>
      <c r="P445" t="s">
        <v>2801</v>
      </c>
      <c r="Q445" t="str">
        <f>IF($C445="","",IFERROR(VLOOKUP($C445,sources!$A$2:$N$200,2,FALSE()),"?"))</f>
        <v>Web compilation</v>
      </c>
      <c r="R445" t="str">
        <f t="shared" si="6"/>
        <v>Textual</v>
      </c>
      <c r="S445" t="str">
        <f>IF($C445="","",IFERROR(VLOOKUP($C445,sources!$A$2:$N$200,9,FALSE()),"?"))</f>
        <v>Mixed</v>
      </c>
    </row>
    <row r="446" spans="1:19" x14ac:dyDescent="0.2">
      <c r="A446" t="s">
        <v>2802</v>
      </c>
      <c r="B446" t="s">
        <v>466</v>
      </c>
      <c r="C446" t="s">
        <v>1315</v>
      </c>
      <c r="D446" t="s">
        <v>1599</v>
      </c>
      <c r="E446" t="s">
        <v>467</v>
      </c>
      <c r="F446" t="s">
        <v>1612</v>
      </c>
      <c r="K446" t="s">
        <v>1628</v>
      </c>
      <c r="M446" t="s">
        <v>228</v>
      </c>
      <c r="N446" t="s">
        <v>222</v>
      </c>
      <c r="O446" t="s">
        <v>2691</v>
      </c>
      <c r="P446" t="s">
        <v>2803</v>
      </c>
      <c r="Q446" t="str">
        <f>IF($C446="","",IFERROR(VLOOKUP($C446,sources!$A$2:$N$200,2,FALSE()),"?"))</f>
        <v>Web compilation</v>
      </c>
      <c r="R446" t="str">
        <f t="shared" si="6"/>
        <v>Textual</v>
      </c>
      <c r="S446" t="str">
        <f>IF($C446="","",IFERROR(VLOOKUP($C446,sources!$A$2:$N$200,9,FALSE()),"?"))</f>
        <v>Mixed</v>
      </c>
    </row>
    <row r="447" spans="1:19" x14ac:dyDescent="0.2">
      <c r="A447" t="s">
        <v>2804</v>
      </c>
      <c r="B447" t="s">
        <v>376</v>
      </c>
      <c r="C447" t="s">
        <v>1315</v>
      </c>
      <c r="D447" t="s">
        <v>1599</v>
      </c>
      <c r="E447" t="s">
        <v>377</v>
      </c>
      <c r="F447" t="s">
        <v>1612</v>
      </c>
      <c r="K447" t="s">
        <v>2027</v>
      </c>
      <c r="M447" t="s">
        <v>228</v>
      </c>
      <c r="N447" t="s">
        <v>222</v>
      </c>
      <c r="O447" t="s">
        <v>2731</v>
      </c>
      <c r="P447" t="s">
        <v>2805</v>
      </c>
      <c r="Q447" t="str">
        <f>IF($C447="","",IFERROR(VLOOKUP($C447,sources!$A$2:$N$200,2,FALSE()),"?"))</f>
        <v>Web compilation</v>
      </c>
      <c r="R447" t="str">
        <f t="shared" si="6"/>
        <v>Textual</v>
      </c>
      <c r="S447" t="str">
        <f>IF($C447="","",IFERROR(VLOOKUP($C447,sources!$A$2:$N$200,9,FALSE()),"?"))</f>
        <v>Mixed</v>
      </c>
    </row>
    <row r="448" spans="1:19" x14ac:dyDescent="0.2">
      <c r="A448" t="s">
        <v>2806</v>
      </c>
      <c r="B448" t="s">
        <v>363</v>
      </c>
      <c r="C448" t="s">
        <v>1315</v>
      </c>
      <c r="D448" t="s">
        <v>1599</v>
      </c>
      <c r="E448" t="s">
        <v>364</v>
      </c>
      <c r="F448" t="s">
        <v>1612</v>
      </c>
      <c r="K448" t="s">
        <v>292</v>
      </c>
      <c r="M448" t="s">
        <v>228</v>
      </c>
      <c r="N448" t="s">
        <v>222</v>
      </c>
      <c r="O448" t="s">
        <v>2784</v>
      </c>
      <c r="P448" t="s">
        <v>2807</v>
      </c>
      <c r="Q448" t="str">
        <f>IF($C448="","",IFERROR(VLOOKUP($C448,sources!$A$2:$N$200,2,FALSE()),"?"))</f>
        <v>Web compilation</v>
      </c>
      <c r="R448" t="str">
        <f t="shared" si="6"/>
        <v>Textual</v>
      </c>
      <c r="S448" t="str">
        <f>IF($C448="","",IFERROR(VLOOKUP($C448,sources!$A$2:$N$200,9,FALSE()),"?"))</f>
        <v>Mixed</v>
      </c>
    </row>
    <row r="449" spans="1:19" x14ac:dyDescent="0.2">
      <c r="A449" t="s">
        <v>2808</v>
      </c>
      <c r="B449" t="s">
        <v>517</v>
      </c>
      <c r="C449" t="s">
        <v>1315</v>
      </c>
      <c r="D449" t="s">
        <v>1599</v>
      </c>
      <c r="E449" t="s">
        <v>518</v>
      </c>
      <c r="F449" t="s">
        <v>1612</v>
      </c>
      <c r="K449" t="s">
        <v>291</v>
      </c>
      <c r="M449" t="s">
        <v>228</v>
      </c>
      <c r="N449" t="s">
        <v>222</v>
      </c>
      <c r="O449" t="s">
        <v>2695</v>
      </c>
      <c r="P449" t="s">
        <v>2809</v>
      </c>
      <c r="Q449" t="str">
        <f>IF($C449="","",IFERROR(VLOOKUP($C449,sources!$A$2:$N$200,2,FALSE()),"?"))</f>
        <v>Web compilation</v>
      </c>
      <c r="R449" t="str">
        <f t="shared" si="6"/>
        <v>Textual</v>
      </c>
      <c r="S449" t="str">
        <f>IF($C449="","",IFERROR(VLOOKUP($C449,sources!$A$2:$N$200,9,FALSE()),"?"))</f>
        <v>Mixed</v>
      </c>
    </row>
    <row r="450" spans="1:19" x14ac:dyDescent="0.2">
      <c r="A450" t="s">
        <v>2810</v>
      </c>
      <c r="B450" t="s">
        <v>443</v>
      </c>
      <c r="C450" t="s">
        <v>1315</v>
      </c>
      <c r="D450" t="s">
        <v>1599</v>
      </c>
      <c r="E450" t="s">
        <v>444</v>
      </c>
      <c r="F450" t="s">
        <v>1612</v>
      </c>
      <c r="K450" t="s">
        <v>2027</v>
      </c>
      <c r="M450" t="s">
        <v>228</v>
      </c>
      <c r="N450" t="s">
        <v>222</v>
      </c>
      <c r="O450" t="s">
        <v>2731</v>
      </c>
      <c r="P450" t="s">
        <v>2811</v>
      </c>
      <c r="Q450" t="str">
        <f>IF($C450="","",IFERROR(VLOOKUP($C450,sources!$A$2:$N$200,2,FALSE()),"?"))</f>
        <v>Web compilation</v>
      </c>
      <c r="R450" t="str">
        <f t="shared" ref="R450:R475" si="7">IF($Q450="","",IF($Q450="Map","Map",IF(OR($Q450="Photograph",$Q450="Postcard"),"Image",IF(OR($Q450="Census or roll",$Q450="Report",$Q450="Newspaper",$Q450="Letter",$Q450="Memoir",$Q450="Administrative",$Q450="Web compilation"),"Textual",IF($Q450="Legal claim","Legal/admin",IF($Q450="Secondary","Secondary","Other"))))))</f>
        <v>Textual</v>
      </c>
      <c r="S450" t="str">
        <f>IF($C450="","",IFERROR(VLOOKUP($C450,sources!$A$2:$N$200,9,FALSE()),"?"))</f>
        <v>Mixed</v>
      </c>
    </row>
    <row r="451" spans="1:19" x14ac:dyDescent="0.2">
      <c r="A451" t="s">
        <v>2812</v>
      </c>
      <c r="B451" t="s">
        <v>480</v>
      </c>
      <c r="C451" t="s">
        <v>1315</v>
      </c>
      <c r="D451" t="s">
        <v>1599</v>
      </c>
      <c r="E451" t="s">
        <v>481</v>
      </c>
      <c r="F451" t="s">
        <v>1612</v>
      </c>
      <c r="K451" t="s">
        <v>2298</v>
      </c>
      <c r="M451" t="s">
        <v>228</v>
      </c>
      <c r="N451" t="s">
        <v>222</v>
      </c>
      <c r="O451" t="s">
        <v>2813</v>
      </c>
      <c r="P451" t="s">
        <v>2814</v>
      </c>
      <c r="Q451" t="str">
        <f>IF($C451="","",IFERROR(VLOOKUP($C451,sources!$A$2:$N$200,2,FALSE()),"?"))</f>
        <v>Web compilation</v>
      </c>
      <c r="R451" t="str">
        <f t="shared" si="7"/>
        <v>Textual</v>
      </c>
      <c r="S451" t="str">
        <f>IF($C451="","",IFERROR(VLOOKUP($C451,sources!$A$2:$N$200,9,FALSE()),"?"))</f>
        <v>Mixed</v>
      </c>
    </row>
    <row r="452" spans="1:19" x14ac:dyDescent="0.2">
      <c r="A452" t="s">
        <v>2815</v>
      </c>
      <c r="B452" t="s">
        <v>379</v>
      </c>
      <c r="C452" t="s">
        <v>1315</v>
      </c>
      <c r="D452" t="s">
        <v>1599</v>
      </c>
      <c r="E452" t="s">
        <v>380</v>
      </c>
      <c r="F452" t="s">
        <v>1612</v>
      </c>
      <c r="K452" t="s">
        <v>291</v>
      </c>
      <c r="M452" t="s">
        <v>228</v>
      </c>
      <c r="N452" t="s">
        <v>222</v>
      </c>
      <c r="O452" t="s">
        <v>2709</v>
      </c>
      <c r="P452" t="s">
        <v>2816</v>
      </c>
      <c r="Q452" t="str">
        <f>IF($C452="","",IFERROR(VLOOKUP($C452,sources!$A$2:$N$200,2,FALSE()),"?"))</f>
        <v>Web compilation</v>
      </c>
      <c r="R452" t="str">
        <f t="shared" si="7"/>
        <v>Textual</v>
      </c>
      <c r="S452" t="str">
        <f>IF($C452="","",IFERROR(VLOOKUP($C452,sources!$A$2:$N$200,9,FALSE()),"?"))</f>
        <v>Mixed</v>
      </c>
    </row>
    <row r="453" spans="1:19" x14ac:dyDescent="0.2">
      <c r="A453" t="s">
        <v>2817</v>
      </c>
      <c r="B453" t="s">
        <v>382</v>
      </c>
      <c r="C453" t="s">
        <v>1315</v>
      </c>
      <c r="D453" t="s">
        <v>1599</v>
      </c>
      <c r="E453" t="s">
        <v>383</v>
      </c>
      <c r="F453" t="s">
        <v>1612</v>
      </c>
      <c r="M453" t="s">
        <v>209</v>
      </c>
      <c r="N453" t="s">
        <v>222</v>
      </c>
      <c r="O453" t="s">
        <v>2731</v>
      </c>
      <c r="P453" t="s">
        <v>2818</v>
      </c>
      <c r="Q453" t="str">
        <f>IF($C453="","",IFERROR(VLOOKUP($C453,sources!$A$2:$N$200,2,FALSE()),"?"))</f>
        <v>Web compilation</v>
      </c>
      <c r="R453" t="str">
        <f t="shared" si="7"/>
        <v>Textual</v>
      </c>
      <c r="S453" t="str">
        <f>IF($C453="","",IFERROR(VLOOKUP($C453,sources!$A$2:$N$200,9,FALSE()),"?"))</f>
        <v>Mixed</v>
      </c>
    </row>
    <row r="454" spans="1:19" x14ac:dyDescent="0.2">
      <c r="A454" t="s">
        <v>2819</v>
      </c>
      <c r="B454" t="s">
        <v>439</v>
      </c>
      <c r="C454" t="s">
        <v>1315</v>
      </c>
      <c r="D454" t="s">
        <v>1599</v>
      </c>
      <c r="E454" t="s">
        <v>440</v>
      </c>
      <c r="F454" t="s">
        <v>1612</v>
      </c>
      <c r="K454" t="s">
        <v>2027</v>
      </c>
      <c r="M454" t="s">
        <v>228</v>
      </c>
      <c r="N454" t="s">
        <v>222</v>
      </c>
      <c r="O454" t="s">
        <v>2731</v>
      </c>
      <c r="P454" t="s">
        <v>2820</v>
      </c>
      <c r="Q454" t="str">
        <f>IF($C454="","",IFERROR(VLOOKUP($C454,sources!$A$2:$N$200,2,FALSE()),"?"))</f>
        <v>Web compilation</v>
      </c>
      <c r="R454" t="str">
        <f t="shared" si="7"/>
        <v>Textual</v>
      </c>
      <c r="S454" t="str">
        <f>IF($C454="","",IFERROR(VLOOKUP($C454,sources!$A$2:$N$200,9,FALSE()),"?"))</f>
        <v>Mixed</v>
      </c>
    </row>
    <row r="455" spans="1:19" x14ac:dyDescent="0.2">
      <c r="A455" t="s">
        <v>2821</v>
      </c>
      <c r="B455" t="s">
        <v>411</v>
      </c>
      <c r="C455" t="s">
        <v>1315</v>
      </c>
      <c r="D455" t="s">
        <v>1599</v>
      </c>
      <c r="E455" t="s">
        <v>412</v>
      </c>
      <c r="F455" t="s">
        <v>1612</v>
      </c>
      <c r="M455" t="s">
        <v>209</v>
      </c>
      <c r="N455" t="s">
        <v>222</v>
      </c>
      <c r="O455" t="s">
        <v>2791</v>
      </c>
      <c r="P455" t="s">
        <v>2822</v>
      </c>
      <c r="Q455" t="str">
        <f>IF($C455="","",IFERROR(VLOOKUP($C455,sources!$A$2:$N$200,2,FALSE()),"?"))</f>
        <v>Web compilation</v>
      </c>
      <c r="R455" t="str">
        <f t="shared" si="7"/>
        <v>Textual</v>
      </c>
      <c r="S455" t="str">
        <f>IF($C455="","",IFERROR(VLOOKUP($C455,sources!$A$2:$N$200,9,FALSE()),"?"))</f>
        <v>Mixed</v>
      </c>
    </row>
    <row r="456" spans="1:19" x14ac:dyDescent="0.2">
      <c r="A456" t="s">
        <v>2823</v>
      </c>
      <c r="B456" t="s">
        <v>426</v>
      </c>
      <c r="C456" t="s">
        <v>1315</v>
      </c>
      <c r="D456" t="s">
        <v>1599</v>
      </c>
      <c r="E456" t="s">
        <v>427</v>
      </c>
      <c r="F456" t="s">
        <v>1612</v>
      </c>
      <c r="K456" t="s">
        <v>1628</v>
      </c>
      <c r="M456" t="s">
        <v>228</v>
      </c>
      <c r="N456" t="s">
        <v>222</v>
      </c>
      <c r="O456" t="s">
        <v>2824</v>
      </c>
      <c r="P456" t="s">
        <v>2825</v>
      </c>
      <c r="Q456" t="str">
        <f>IF($C456="","",IFERROR(VLOOKUP($C456,sources!$A$2:$N$200,2,FALSE()),"?"))</f>
        <v>Web compilation</v>
      </c>
      <c r="R456" t="str">
        <f t="shared" si="7"/>
        <v>Textual</v>
      </c>
      <c r="S456" t="str">
        <f>IF($C456="","",IFERROR(VLOOKUP($C456,sources!$A$2:$N$200,9,FALSE()),"?"))</f>
        <v>Mixed</v>
      </c>
    </row>
    <row r="457" spans="1:19" x14ac:dyDescent="0.2">
      <c r="A457" t="s">
        <v>2826</v>
      </c>
      <c r="B457" t="s">
        <v>514</v>
      </c>
      <c r="C457" t="s">
        <v>1315</v>
      </c>
      <c r="D457" t="s">
        <v>1599</v>
      </c>
      <c r="E457" t="s">
        <v>515</v>
      </c>
      <c r="F457" t="s">
        <v>1612</v>
      </c>
      <c r="K457" t="s">
        <v>302</v>
      </c>
      <c r="M457" t="s">
        <v>228</v>
      </c>
      <c r="N457" t="s">
        <v>222</v>
      </c>
      <c r="O457" t="s">
        <v>2827</v>
      </c>
      <c r="P457" t="s">
        <v>2828</v>
      </c>
      <c r="Q457" t="str">
        <f>IF($C457="","",IFERROR(VLOOKUP($C457,sources!$A$2:$N$200,2,FALSE()),"?"))</f>
        <v>Web compilation</v>
      </c>
      <c r="R457" t="str">
        <f t="shared" si="7"/>
        <v>Textual</v>
      </c>
      <c r="S457" t="str">
        <f>IF($C457="","",IFERROR(VLOOKUP($C457,sources!$A$2:$N$200,9,FALSE()),"?"))</f>
        <v>Mixed</v>
      </c>
    </row>
    <row r="458" spans="1:19" x14ac:dyDescent="0.2">
      <c r="A458" t="s">
        <v>2829</v>
      </c>
      <c r="B458" t="s">
        <v>509</v>
      </c>
      <c r="C458" t="s">
        <v>1315</v>
      </c>
      <c r="D458" t="s">
        <v>1599</v>
      </c>
      <c r="E458" t="s">
        <v>510</v>
      </c>
      <c r="F458" t="s">
        <v>1612</v>
      </c>
      <c r="K458" t="s">
        <v>1873</v>
      </c>
      <c r="M458" t="s">
        <v>228</v>
      </c>
      <c r="N458" t="s">
        <v>222</v>
      </c>
      <c r="O458" t="s">
        <v>2830</v>
      </c>
      <c r="P458" t="s">
        <v>2831</v>
      </c>
      <c r="Q458" t="str">
        <f>IF($C458="","",IFERROR(VLOOKUP($C458,sources!$A$2:$N$200,2,FALSE()),"?"))</f>
        <v>Web compilation</v>
      </c>
      <c r="R458" t="str">
        <f t="shared" si="7"/>
        <v>Textual</v>
      </c>
      <c r="S458" t="str">
        <f>IF($C458="","",IFERROR(VLOOKUP($C458,sources!$A$2:$N$200,9,FALSE()),"?"))</f>
        <v>Mixed</v>
      </c>
    </row>
    <row r="459" spans="1:19" x14ac:dyDescent="0.2">
      <c r="A459" t="s">
        <v>2832</v>
      </c>
      <c r="B459" t="s">
        <v>534</v>
      </c>
      <c r="C459" t="s">
        <v>1315</v>
      </c>
      <c r="D459" t="s">
        <v>1599</v>
      </c>
      <c r="E459" t="s">
        <v>535</v>
      </c>
      <c r="F459" t="s">
        <v>1612</v>
      </c>
      <c r="K459" t="s">
        <v>1921</v>
      </c>
      <c r="M459" t="s">
        <v>228</v>
      </c>
      <c r="N459" t="s">
        <v>222</v>
      </c>
      <c r="O459" t="s">
        <v>2833</v>
      </c>
      <c r="P459" t="s">
        <v>2834</v>
      </c>
      <c r="Q459" t="str">
        <f>IF($C459="","",IFERROR(VLOOKUP($C459,sources!$A$2:$N$200,2,FALSE()),"?"))</f>
        <v>Web compilation</v>
      </c>
      <c r="R459" t="str">
        <f t="shared" si="7"/>
        <v>Textual</v>
      </c>
      <c r="S459" t="str">
        <f>IF($C459="","",IFERROR(VLOOKUP($C459,sources!$A$2:$N$200,9,FALSE()),"?"))</f>
        <v>Mixed</v>
      </c>
    </row>
    <row r="460" spans="1:19" x14ac:dyDescent="0.2">
      <c r="A460" t="s">
        <v>2835</v>
      </c>
      <c r="B460" t="s">
        <v>534</v>
      </c>
      <c r="C460" t="s">
        <v>1315</v>
      </c>
      <c r="D460" t="s">
        <v>1599</v>
      </c>
      <c r="E460" t="s">
        <v>535</v>
      </c>
      <c r="F460" t="s">
        <v>1612</v>
      </c>
      <c r="K460" t="s">
        <v>2836</v>
      </c>
      <c r="M460" t="s">
        <v>228</v>
      </c>
      <c r="N460" t="s">
        <v>222</v>
      </c>
      <c r="O460" t="s">
        <v>2837</v>
      </c>
      <c r="P460" t="s">
        <v>2838</v>
      </c>
      <c r="Q460" t="str">
        <f>IF($C460="","",IFERROR(VLOOKUP($C460,sources!$A$2:$N$200,2,FALSE()),"?"))</f>
        <v>Web compilation</v>
      </c>
      <c r="R460" t="str">
        <f t="shared" si="7"/>
        <v>Textual</v>
      </c>
      <c r="S460" t="str">
        <f>IF($C460="","",IFERROR(VLOOKUP($C460,sources!$A$2:$N$200,9,FALSE()),"?"))</f>
        <v>Mixed</v>
      </c>
    </row>
    <row r="461" spans="1:19" x14ac:dyDescent="0.2">
      <c r="A461" t="s">
        <v>2839</v>
      </c>
      <c r="B461" t="s">
        <v>544</v>
      </c>
      <c r="C461" t="s">
        <v>1315</v>
      </c>
      <c r="D461" t="s">
        <v>1599</v>
      </c>
      <c r="E461" t="s">
        <v>545</v>
      </c>
      <c r="F461" t="s">
        <v>1612</v>
      </c>
      <c r="K461" t="s">
        <v>2840</v>
      </c>
      <c r="M461" t="s">
        <v>228</v>
      </c>
      <c r="N461" t="s">
        <v>222</v>
      </c>
      <c r="O461" t="s">
        <v>2841</v>
      </c>
      <c r="P461" t="s">
        <v>2842</v>
      </c>
      <c r="Q461" t="str">
        <f>IF($C461="","",IFERROR(VLOOKUP($C461,sources!$A$2:$N$200,2,FALSE()),"?"))</f>
        <v>Web compilation</v>
      </c>
      <c r="R461" t="str">
        <f t="shared" si="7"/>
        <v>Textual</v>
      </c>
      <c r="S461" t="str">
        <f>IF($C461="","",IFERROR(VLOOKUP($C461,sources!$A$2:$N$200,9,FALSE()),"?"))</f>
        <v>Mixed</v>
      </c>
    </row>
    <row r="462" spans="1:19" x14ac:dyDescent="0.2">
      <c r="A462" t="s">
        <v>2843</v>
      </c>
      <c r="B462" t="s">
        <v>549</v>
      </c>
      <c r="C462" t="s">
        <v>1315</v>
      </c>
      <c r="D462" t="s">
        <v>1599</v>
      </c>
      <c r="E462" t="s">
        <v>550</v>
      </c>
      <c r="F462" t="s">
        <v>1612</v>
      </c>
      <c r="K462" t="s">
        <v>1877</v>
      </c>
      <c r="M462" t="s">
        <v>228</v>
      </c>
      <c r="N462" t="s">
        <v>222</v>
      </c>
      <c r="O462" t="s">
        <v>2844</v>
      </c>
      <c r="P462" t="s">
        <v>2845</v>
      </c>
      <c r="Q462" t="str">
        <f>IF($C462="","",IFERROR(VLOOKUP($C462,sources!$A$2:$N$200,2,FALSE()),"?"))</f>
        <v>Web compilation</v>
      </c>
      <c r="R462" t="str">
        <f t="shared" si="7"/>
        <v>Textual</v>
      </c>
      <c r="S462" t="str">
        <f>IF($C462="","",IFERROR(VLOOKUP($C462,sources!$A$2:$N$200,9,FALSE()),"?"))</f>
        <v>Mixed</v>
      </c>
    </row>
    <row r="463" spans="1:19" x14ac:dyDescent="0.2">
      <c r="A463" t="s">
        <v>2846</v>
      </c>
      <c r="B463" t="s">
        <v>549</v>
      </c>
      <c r="C463" t="s">
        <v>1315</v>
      </c>
      <c r="D463" t="s">
        <v>1599</v>
      </c>
      <c r="E463" t="s">
        <v>550</v>
      </c>
      <c r="F463" t="s">
        <v>1612</v>
      </c>
      <c r="K463" t="s">
        <v>1877</v>
      </c>
      <c r="M463" t="s">
        <v>228</v>
      </c>
      <c r="N463" t="s">
        <v>222</v>
      </c>
      <c r="O463" t="s">
        <v>2844</v>
      </c>
      <c r="P463" t="s">
        <v>2847</v>
      </c>
      <c r="Q463" t="str">
        <f>IF($C463="","",IFERROR(VLOOKUP($C463,sources!$A$2:$N$200,2,FALSE()),"?"))</f>
        <v>Web compilation</v>
      </c>
      <c r="R463" t="str">
        <f t="shared" si="7"/>
        <v>Textual</v>
      </c>
      <c r="S463" t="str">
        <f>IF($C463="","",IFERROR(VLOOKUP($C463,sources!$A$2:$N$200,9,FALSE()),"?"))</f>
        <v>Mixed</v>
      </c>
    </row>
    <row r="464" spans="1:19" x14ac:dyDescent="0.2">
      <c r="A464" t="s">
        <v>2848</v>
      </c>
      <c r="B464" t="s">
        <v>553</v>
      </c>
      <c r="C464" t="s">
        <v>1315</v>
      </c>
      <c r="D464" t="s">
        <v>1599</v>
      </c>
      <c r="E464" t="s">
        <v>554</v>
      </c>
      <c r="F464" t="s">
        <v>1612</v>
      </c>
      <c r="K464" t="s">
        <v>2056</v>
      </c>
      <c r="M464" t="s">
        <v>228</v>
      </c>
      <c r="N464" t="s">
        <v>222</v>
      </c>
      <c r="O464" t="s">
        <v>2849</v>
      </c>
      <c r="P464" t="s">
        <v>2850</v>
      </c>
      <c r="Q464" t="str">
        <f>IF($C464="","",IFERROR(VLOOKUP($C464,sources!$A$2:$N$200,2,FALSE()),"?"))</f>
        <v>Web compilation</v>
      </c>
      <c r="R464" t="str">
        <f t="shared" si="7"/>
        <v>Textual</v>
      </c>
      <c r="S464" t="str">
        <f>IF($C464="","",IFERROR(VLOOKUP($C464,sources!$A$2:$N$200,9,FALSE()),"?"))</f>
        <v>Mixed</v>
      </c>
    </row>
    <row r="465" spans="1:19" x14ac:dyDescent="0.2">
      <c r="A465" t="s">
        <v>2851</v>
      </c>
      <c r="B465" t="s">
        <v>557</v>
      </c>
      <c r="C465" t="s">
        <v>1315</v>
      </c>
      <c r="D465" t="s">
        <v>1599</v>
      </c>
      <c r="E465" t="s">
        <v>558</v>
      </c>
      <c r="F465" t="s">
        <v>1612</v>
      </c>
      <c r="K465" t="s">
        <v>2852</v>
      </c>
      <c r="M465" t="s">
        <v>228</v>
      </c>
      <c r="N465" t="s">
        <v>222</v>
      </c>
      <c r="O465" t="s">
        <v>2853</v>
      </c>
      <c r="P465" t="s">
        <v>2854</v>
      </c>
      <c r="Q465" t="str">
        <f>IF($C465="","",IFERROR(VLOOKUP($C465,sources!$A$2:$N$200,2,FALSE()),"?"))</f>
        <v>Web compilation</v>
      </c>
      <c r="R465" t="str">
        <f t="shared" si="7"/>
        <v>Textual</v>
      </c>
      <c r="S465" t="str">
        <f>IF($C465="","",IFERROR(VLOOKUP($C465,sources!$A$2:$N$200,9,FALSE()),"?"))</f>
        <v>Mixed</v>
      </c>
    </row>
    <row r="466" spans="1:19" x14ac:dyDescent="0.2">
      <c r="A466" t="s">
        <v>2855</v>
      </c>
      <c r="B466" t="s">
        <v>561</v>
      </c>
      <c r="C466" t="s">
        <v>1315</v>
      </c>
      <c r="D466" t="s">
        <v>1599</v>
      </c>
      <c r="E466" t="s">
        <v>562</v>
      </c>
      <c r="F466" t="s">
        <v>1612</v>
      </c>
      <c r="K466" t="s">
        <v>2856</v>
      </c>
      <c r="M466" t="s">
        <v>228</v>
      </c>
      <c r="N466" t="s">
        <v>222</v>
      </c>
      <c r="O466" t="s">
        <v>2857</v>
      </c>
      <c r="P466" t="s">
        <v>2858</v>
      </c>
      <c r="Q466" t="str">
        <f>IF($C466="","",IFERROR(VLOOKUP($C466,sources!$A$2:$N$200,2,FALSE()),"?"))</f>
        <v>Web compilation</v>
      </c>
      <c r="R466" t="str">
        <f t="shared" si="7"/>
        <v>Textual</v>
      </c>
      <c r="S466" t="str">
        <f>IF($C466="","",IFERROR(VLOOKUP($C466,sources!$A$2:$N$200,9,FALSE()),"?"))</f>
        <v>Mixed</v>
      </c>
    </row>
    <row r="467" spans="1:19" x14ac:dyDescent="0.2">
      <c r="A467" t="s">
        <v>2859</v>
      </c>
      <c r="B467" t="s">
        <v>561</v>
      </c>
      <c r="C467" t="s">
        <v>1315</v>
      </c>
      <c r="D467" t="s">
        <v>1599</v>
      </c>
      <c r="E467" t="s">
        <v>562</v>
      </c>
      <c r="F467" t="s">
        <v>1612</v>
      </c>
      <c r="K467" t="s">
        <v>2860</v>
      </c>
      <c r="M467" t="s">
        <v>228</v>
      </c>
      <c r="N467" t="s">
        <v>222</v>
      </c>
      <c r="O467" t="s">
        <v>2861</v>
      </c>
      <c r="P467" t="s">
        <v>2862</v>
      </c>
      <c r="Q467" t="str">
        <f>IF($C467="","",IFERROR(VLOOKUP($C467,sources!$A$2:$N$200,2,FALSE()),"?"))</f>
        <v>Web compilation</v>
      </c>
      <c r="R467" t="str">
        <f t="shared" si="7"/>
        <v>Textual</v>
      </c>
      <c r="S467" t="str">
        <f>IF($C467="","",IFERROR(VLOOKUP($C467,sources!$A$2:$N$200,9,FALSE()),"?"))</f>
        <v>Mixed</v>
      </c>
    </row>
    <row r="468" spans="1:19" x14ac:dyDescent="0.2">
      <c r="A468" t="s">
        <v>2863</v>
      </c>
      <c r="B468" t="s">
        <v>566</v>
      </c>
      <c r="C468" t="s">
        <v>1315</v>
      </c>
      <c r="D468" t="s">
        <v>1599</v>
      </c>
      <c r="E468" t="s">
        <v>567</v>
      </c>
      <c r="F468" t="s">
        <v>1612</v>
      </c>
      <c r="K468" t="s">
        <v>2864</v>
      </c>
      <c r="M468" t="s">
        <v>228</v>
      </c>
      <c r="N468" t="s">
        <v>222</v>
      </c>
      <c r="O468" t="s">
        <v>2865</v>
      </c>
      <c r="P468" t="s">
        <v>2866</v>
      </c>
      <c r="Q468" t="str">
        <f>IF($C468="","",IFERROR(VLOOKUP($C468,sources!$A$2:$N$200,2,FALSE()),"?"))</f>
        <v>Web compilation</v>
      </c>
      <c r="R468" t="str">
        <f t="shared" si="7"/>
        <v>Textual</v>
      </c>
      <c r="S468" t="str">
        <f>IF($C468="","",IFERROR(VLOOKUP($C468,sources!$A$2:$N$200,9,FALSE()),"?"))</f>
        <v>Mixed</v>
      </c>
    </row>
    <row r="469" spans="1:19" x14ac:dyDescent="0.2">
      <c r="A469" t="s">
        <v>2867</v>
      </c>
      <c r="B469" t="s">
        <v>571</v>
      </c>
      <c r="C469" t="s">
        <v>1315</v>
      </c>
      <c r="D469" t="s">
        <v>1599</v>
      </c>
      <c r="E469" t="s">
        <v>573</v>
      </c>
      <c r="F469" t="s">
        <v>1612</v>
      </c>
      <c r="M469" t="s">
        <v>209</v>
      </c>
      <c r="N469" t="s">
        <v>222</v>
      </c>
      <c r="O469" t="s">
        <v>2868</v>
      </c>
      <c r="P469" t="s">
        <v>2869</v>
      </c>
      <c r="Q469" t="str">
        <f>IF($C469="","",IFERROR(VLOOKUP($C469,sources!$A$2:$N$200,2,FALSE()),"?"))</f>
        <v>Web compilation</v>
      </c>
      <c r="R469" t="str">
        <f t="shared" si="7"/>
        <v>Textual</v>
      </c>
      <c r="S469" t="str">
        <f>IF($C469="","",IFERROR(VLOOKUP($C469,sources!$A$2:$N$200,9,FALSE()),"?"))</f>
        <v>Mixed</v>
      </c>
    </row>
    <row r="470" spans="1:19" x14ac:dyDescent="0.2">
      <c r="A470" t="s">
        <v>2870</v>
      </c>
      <c r="B470" t="s">
        <v>571</v>
      </c>
      <c r="C470" t="s">
        <v>1315</v>
      </c>
      <c r="D470" t="s">
        <v>1599</v>
      </c>
      <c r="E470" t="s">
        <v>2871</v>
      </c>
      <c r="F470" t="s">
        <v>1612</v>
      </c>
      <c r="K470" t="s">
        <v>1909</v>
      </c>
      <c r="M470" t="s">
        <v>228</v>
      </c>
      <c r="N470" t="s">
        <v>222</v>
      </c>
      <c r="O470" t="s">
        <v>2872</v>
      </c>
      <c r="P470" t="s">
        <v>2873</v>
      </c>
      <c r="Q470" t="str">
        <f>IF($C470="","",IFERROR(VLOOKUP($C470,sources!$A$2:$N$200,2,FALSE()),"?"))</f>
        <v>Web compilation</v>
      </c>
      <c r="R470" t="str">
        <f t="shared" si="7"/>
        <v>Textual</v>
      </c>
      <c r="S470" t="str">
        <f>IF($C470="","",IFERROR(VLOOKUP($C470,sources!$A$2:$N$200,9,FALSE()),"?"))</f>
        <v>Mixed</v>
      </c>
    </row>
    <row r="471" spans="1:19" x14ac:dyDescent="0.2">
      <c r="A471" t="s">
        <v>2874</v>
      </c>
      <c r="B471" t="s">
        <v>539</v>
      </c>
      <c r="C471" t="s">
        <v>1315</v>
      </c>
      <c r="D471" t="s">
        <v>1599</v>
      </c>
      <c r="E471" t="s">
        <v>540</v>
      </c>
      <c r="F471" t="s">
        <v>1612</v>
      </c>
      <c r="K471" t="s">
        <v>2875</v>
      </c>
      <c r="M471" t="s">
        <v>228</v>
      </c>
      <c r="N471" t="s">
        <v>222</v>
      </c>
      <c r="O471" t="s">
        <v>2876</v>
      </c>
      <c r="P471" t="s">
        <v>2877</v>
      </c>
      <c r="Q471" t="str">
        <f>IF($C471="","",IFERROR(VLOOKUP($C471,sources!$A$2:$N$200,2,FALSE()),"?"))</f>
        <v>Web compilation</v>
      </c>
      <c r="R471" t="str">
        <f t="shared" si="7"/>
        <v>Textual</v>
      </c>
      <c r="S471" t="str">
        <f>IF($C471="","",IFERROR(VLOOKUP($C471,sources!$A$2:$N$200,9,FALSE()),"?"))</f>
        <v>Mixed</v>
      </c>
    </row>
    <row r="472" spans="1:19" x14ac:dyDescent="0.2">
      <c r="A472" t="s">
        <v>2878</v>
      </c>
      <c r="B472" t="s">
        <v>544</v>
      </c>
      <c r="C472" t="s">
        <v>1311</v>
      </c>
      <c r="D472" t="s">
        <v>1599</v>
      </c>
      <c r="E472" t="s">
        <v>545</v>
      </c>
      <c r="F472" t="s">
        <v>1612</v>
      </c>
      <c r="K472" t="s">
        <v>2879</v>
      </c>
      <c r="M472" t="s">
        <v>228</v>
      </c>
      <c r="N472" t="s">
        <v>222</v>
      </c>
      <c r="O472" t="s">
        <v>2880</v>
      </c>
      <c r="P472" t="s">
        <v>2881</v>
      </c>
      <c r="Q472" t="str">
        <f>IF($C472="","",IFERROR(VLOOKUP($C472,sources!$A$2:$N$200,2,FALSE()),"?"))</f>
        <v>Web compilation</v>
      </c>
      <c r="R472" t="str">
        <f t="shared" si="7"/>
        <v>Textual</v>
      </c>
      <c r="S472" t="str">
        <f>IF($C472="","",IFERROR(VLOOKUP($C472,sources!$A$2:$N$200,9,FALSE()),"?"))</f>
        <v>US press</v>
      </c>
    </row>
    <row r="473" spans="1:19" x14ac:dyDescent="0.2">
      <c r="A473" t="s">
        <v>2882</v>
      </c>
      <c r="B473" t="s">
        <v>557</v>
      </c>
      <c r="C473" t="s">
        <v>1311</v>
      </c>
      <c r="D473" t="s">
        <v>1599</v>
      </c>
      <c r="E473" t="s">
        <v>558</v>
      </c>
      <c r="F473" t="s">
        <v>1612</v>
      </c>
      <c r="K473" t="s">
        <v>2883</v>
      </c>
      <c r="M473" t="s">
        <v>228</v>
      </c>
      <c r="N473" t="s">
        <v>222</v>
      </c>
      <c r="O473" t="s">
        <v>2884</v>
      </c>
      <c r="P473" t="s">
        <v>2885</v>
      </c>
      <c r="Q473" t="str">
        <f>IF($C473="","",IFERROR(VLOOKUP($C473,sources!$A$2:$N$200,2,FALSE()),"?"))</f>
        <v>Web compilation</v>
      </c>
      <c r="R473" t="str">
        <f t="shared" si="7"/>
        <v>Textual</v>
      </c>
      <c r="S473" t="str">
        <f>IF($C473="","",IFERROR(VLOOKUP($C473,sources!$A$2:$N$200,9,FALSE()),"?"))</f>
        <v>US press</v>
      </c>
    </row>
    <row r="474" spans="1:19" x14ac:dyDescent="0.2">
      <c r="A474" t="s">
        <v>2886</v>
      </c>
      <c r="B474" t="s">
        <v>557</v>
      </c>
      <c r="C474" t="s">
        <v>1311</v>
      </c>
      <c r="D474" t="s">
        <v>1599</v>
      </c>
      <c r="E474" t="s">
        <v>558</v>
      </c>
      <c r="F474" t="s">
        <v>1612</v>
      </c>
      <c r="K474" t="s">
        <v>2883</v>
      </c>
      <c r="M474" t="s">
        <v>228</v>
      </c>
      <c r="N474" t="s">
        <v>222</v>
      </c>
      <c r="O474" t="s">
        <v>2884</v>
      </c>
      <c r="P474" t="s">
        <v>2887</v>
      </c>
      <c r="Q474" t="str">
        <f>IF($C474="","",IFERROR(VLOOKUP($C474,sources!$A$2:$N$200,2,FALSE()),"?"))</f>
        <v>Web compilation</v>
      </c>
      <c r="R474" t="str">
        <f t="shared" si="7"/>
        <v>Textual</v>
      </c>
      <c r="S474" t="str">
        <f>IF($C474="","",IFERROR(VLOOKUP($C474,sources!$A$2:$N$200,9,FALSE()),"?"))</f>
        <v>US press</v>
      </c>
    </row>
    <row r="475" spans="1:19" x14ac:dyDescent="0.2">
      <c r="A475" t="s">
        <v>2888</v>
      </c>
      <c r="B475" t="s">
        <v>539</v>
      </c>
      <c r="C475" t="s">
        <v>1311</v>
      </c>
      <c r="D475" t="s">
        <v>1599</v>
      </c>
      <c r="E475" t="s">
        <v>540</v>
      </c>
      <c r="F475" t="s">
        <v>1612</v>
      </c>
      <c r="K475" t="s">
        <v>2889</v>
      </c>
      <c r="M475" t="s">
        <v>228</v>
      </c>
      <c r="N475" t="s">
        <v>222</v>
      </c>
      <c r="O475" t="s">
        <v>2890</v>
      </c>
      <c r="P475" t="s">
        <v>2891</v>
      </c>
      <c r="Q475" t="str">
        <f>IF($C475="","",IFERROR(VLOOKUP($C475,sources!$A$2:$N$200,2,FALSE()),"?"))</f>
        <v>Web compilation</v>
      </c>
      <c r="R475" t="str">
        <f t="shared" si="7"/>
        <v>Textual</v>
      </c>
      <c r="S475" t="str">
        <f>IF($C475="","",IFERROR(VLOOKUP($C475,sources!$A$2:$N$200,9,FALSE()),"?"))</f>
        <v>US press</v>
      </c>
    </row>
    <row r="476" spans="1:19" x14ac:dyDescent="0.2">
      <c r="A476" t="s">
        <v>2892</v>
      </c>
      <c r="B476" t="s">
        <v>198</v>
      </c>
      <c r="C476" t="s">
        <v>1187</v>
      </c>
      <c r="D476" t="s">
        <v>1594</v>
      </c>
      <c r="E476" t="s">
        <v>199</v>
      </c>
      <c r="G476">
        <v>9.10975</v>
      </c>
      <c r="H476">
        <v>-79.706990000000005</v>
      </c>
      <c r="I476" t="s">
        <v>1595</v>
      </c>
      <c r="J476">
        <v>325</v>
      </c>
      <c r="K476">
        <v>1911</v>
      </c>
      <c r="L476">
        <v>1911</v>
      </c>
      <c r="M476" t="s">
        <v>222</v>
      </c>
      <c r="N476" t="s">
        <v>228</v>
      </c>
      <c r="O476" t="s">
        <v>2893</v>
      </c>
      <c r="P476" t="s">
        <v>2894</v>
      </c>
      <c r="Q476" t="str">
        <f>IF($C476="","",IFERROR(VLOOKUP($C476,sources!$A$2:$N$200,2,FALSE()),"?"))</f>
        <v>Map</v>
      </c>
      <c r="S476" t="str">
        <f>IF($C476="","",IFERROR(VLOOKUP($C476,sources!$A$2:$N$200,9,FALSE()),"?"))</f>
        <v>US official</v>
      </c>
    </row>
    <row r="477" spans="1:19" x14ac:dyDescent="0.2">
      <c r="A477" t="s">
        <v>2895</v>
      </c>
      <c r="B477" t="s">
        <v>213</v>
      </c>
      <c r="C477" t="s">
        <v>1187</v>
      </c>
      <c r="D477" t="s">
        <v>1594</v>
      </c>
      <c r="E477" t="s">
        <v>214</v>
      </c>
      <c r="G477">
        <v>9.1245499999999993</v>
      </c>
      <c r="H477">
        <v>-79.796869999999998</v>
      </c>
      <c r="I477" t="s">
        <v>1595</v>
      </c>
      <c r="J477">
        <v>500</v>
      </c>
      <c r="K477">
        <v>1911</v>
      </c>
      <c r="L477">
        <v>1911</v>
      </c>
      <c r="M477" t="s">
        <v>222</v>
      </c>
      <c r="N477" t="s">
        <v>209</v>
      </c>
      <c r="O477" t="s">
        <v>2893</v>
      </c>
      <c r="P477" t="s">
        <v>2896</v>
      </c>
      <c r="Q477" t="str">
        <f>IF($C477="","",IFERROR(VLOOKUP($C477,sources!$A$2:$N$200,2,FALSE()),"?"))</f>
        <v>Map</v>
      </c>
      <c r="S477" t="str">
        <f>IF($C477="","",IFERROR(VLOOKUP($C477,sources!$A$2:$N$200,9,FALSE()),"?"))</f>
        <v>US official</v>
      </c>
    </row>
    <row r="478" spans="1:19" x14ac:dyDescent="0.2">
      <c r="A478" t="s">
        <v>2897</v>
      </c>
      <c r="B478" t="s">
        <v>218</v>
      </c>
      <c r="C478" t="s">
        <v>1187</v>
      </c>
      <c r="D478" t="s">
        <v>1594</v>
      </c>
      <c r="E478" t="s">
        <v>219</v>
      </c>
      <c r="G478">
        <v>9.1286799999999992</v>
      </c>
      <c r="H478">
        <v>-79.682779999999994</v>
      </c>
      <c r="I478" t="s">
        <v>1595</v>
      </c>
      <c r="J478">
        <v>325</v>
      </c>
      <c r="K478">
        <v>1911</v>
      </c>
      <c r="L478">
        <v>1911</v>
      </c>
      <c r="M478" t="s">
        <v>222</v>
      </c>
      <c r="N478" t="s">
        <v>228</v>
      </c>
      <c r="O478" t="s">
        <v>2893</v>
      </c>
      <c r="P478" t="s">
        <v>2898</v>
      </c>
      <c r="Q478" t="str">
        <f>IF($C478="","",IFERROR(VLOOKUP($C478,sources!$A$2:$N$200,2,FALSE()),"?"))</f>
        <v>Map</v>
      </c>
      <c r="S478" t="str">
        <f>IF($C478="","",IFERROR(VLOOKUP($C478,sources!$A$2:$N$200,9,FALSE()),"?"))</f>
        <v>US official</v>
      </c>
    </row>
    <row r="479" spans="1:19" x14ac:dyDescent="0.2">
      <c r="A479" t="s">
        <v>2899</v>
      </c>
      <c r="B479" t="s">
        <v>230</v>
      </c>
      <c r="C479" t="s">
        <v>1187</v>
      </c>
      <c r="D479" t="s">
        <v>1594</v>
      </c>
      <c r="E479" t="s">
        <v>231</v>
      </c>
      <c r="G479">
        <v>9.1306700000000003</v>
      </c>
      <c r="H479">
        <v>-79.779839999999993</v>
      </c>
      <c r="I479" t="s">
        <v>1595</v>
      </c>
      <c r="J479">
        <v>500</v>
      </c>
      <c r="K479">
        <v>1911</v>
      </c>
      <c r="L479">
        <v>1911</v>
      </c>
      <c r="M479" t="s">
        <v>222</v>
      </c>
      <c r="N479" t="s">
        <v>209</v>
      </c>
      <c r="O479" t="s">
        <v>2893</v>
      </c>
      <c r="P479" t="s">
        <v>2900</v>
      </c>
      <c r="Q479" t="str">
        <f>IF($C479="","",IFERROR(VLOOKUP($C479,sources!$A$2:$N$200,2,FALSE()),"?"))</f>
        <v>Map</v>
      </c>
      <c r="S479" t="str">
        <f>IF($C479="","",IFERROR(VLOOKUP($C479,sources!$A$2:$N$200,9,FALSE()),"?"))</f>
        <v>US official</v>
      </c>
    </row>
    <row r="480" spans="1:19" x14ac:dyDescent="0.2">
      <c r="A480" t="s">
        <v>2901</v>
      </c>
      <c r="B480" t="s">
        <v>232</v>
      </c>
      <c r="C480" t="s">
        <v>1187</v>
      </c>
      <c r="D480" t="s">
        <v>1594</v>
      </c>
      <c r="E480" t="s">
        <v>233</v>
      </c>
      <c r="G480">
        <v>9.1168700000000005</v>
      </c>
      <c r="H480">
        <v>-79.697699999999998</v>
      </c>
      <c r="I480" t="s">
        <v>1595</v>
      </c>
      <c r="J480">
        <v>325</v>
      </c>
      <c r="K480">
        <v>1911</v>
      </c>
      <c r="L480">
        <v>1911</v>
      </c>
      <c r="M480" t="s">
        <v>222</v>
      </c>
      <c r="N480" t="s">
        <v>228</v>
      </c>
      <c r="O480" t="s">
        <v>2893</v>
      </c>
      <c r="P480" t="s">
        <v>2902</v>
      </c>
      <c r="Q480" t="str">
        <f>IF($C480="","",IFERROR(VLOOKUP($C480,sources!$A$2:$N$200,2,FALSE()),"?"))</f>
        <v>Map</v>
      </c>
      <c r="S480" t="str">
        <f>IF($C480="","",IFERROR(VLOOKUP($C480,sources!$A$2:$N$200,9,FALSE()),"?"))</f>
        <v>US official</v>
      </c>
    </row>
    <row r="481" spans="1:19" x14ac:dyDescent="0.2">
      <c r="A481" t="s">
        <v>2903</v>
      </c>
      <c r="B481" t="s">
        <v>234</v>
      </c>
      <c r="C481" t="s">
        <v>1187</v>
      </c>
      <c r="D481" t="s">
        <v>1594</v>
      </c>
      <c r="E481" t="s">
        <v>235</v>
      </c>
      <c r="G481">
        <v>9.1103799999999993</v>
      </c>
      <c r="H481">
        <v>-79.778760000000005</v>
      </c>
      <c r="I481" t="s">
        <v>1595</v>
      </c>
      <c r="J481">
        <v>500</v>
      </c>
      <c r="K481">
        <v>1911</v>
      </c>
      <c r="L481">
        <v>1911</v>
      </c>
      <c r="M481" t="s">
        <v>222</v>
      </c>
      <c r="N481" t="s">
        <v>209</v>
      </c>
      <c r="O481" t="s">
        <v>2893</v>
      </c>
      <c r="P481" t="s">
        <v>2894</v>
      </c>
      <c r="Q481" t="str">
        <f>IF($C481="","",IFERROR(VLOOKUP($C481,sources!$A$2:$N$200,2,FALSE()),"?"))</f>
        <v>Map</v>
      </c>
      <c r="S481" t="str">
        <f>IF($C481="","",IFERROR(VLOOKUP($C481,sources!$A$2:$N$200,9,FALSE()),"?"))</f>
        <v>US official</v>
      </c>
    </row>
    <row r="482" spans="1:19" x14ac:dyDescent="0.2">
      <c r="A482" t="s">
        <v>2904</v>
      </c>
      <c r="B482" t="s">
        <v>245</v>
      </c>
      <c r="C482" t="s">
        <v>1187</v>
      </c>
      <c r="D482" t="s">
        <v>1594</v>
      </c>
      <c r="E482" t="s">
        <v>246</v>
      </c>
      <c r="G482">
        <v>9.2747100000000007</v>
      </c>
      <c r="H482">
        <v>-79.916210000000007</v>
      </c>
      <c r="I482" t="s">
        <v>1595</v>
      </c>
      <c r="J482">
        <v>250</v>
      </c>
      <c r="K482">
        <v>1911</v>
      </c>
      <c r="L482">
        <v>1911</v>
      </c>
      <c r="M482" t="s">
        <v>222</v>
      </c>
      <c r="N482" t="s">
        <v>222</v>
      </c>
      <c r="O482" t="s">
        <v>2893</v>
      </c>
      <c r="P482" t="s">
        <v>2905</v>
      </c>
      <c r="Q482" t="str">
        <f>IF($C482="","",IFERROR(VLOOKUP($C482,sources!$A$2:$N$200,2,FALSE()),"?"))</f>
        <v>Map</v>
      </c>
      <c r="S482" t="str">
        <f>IF($C482="","",IFERROR(VLOOKUP($C482,sources!$A$2:$N$200,9,FALSE()),"?"))</f>
        <v>US official</v>
      </c>
    </row>
    <row r="483" spans="1:19" x14ac:dyDescent="0.2">
      <c r="A483" t="s">
        <v>2906</v>
      </c>
      <c r="B483" t="s">
        <v>272</v>
      </c>
      <c r="C483" t="s">
        <v>1187</v>
      </c>
      <c r="D483" t="s">
        <v>1594</v>
      </c>
      <c r="E483" t="s">
        <v>273</v>
      </c>
      <c r="G483">
        <v>9.1052099999999996</v>
      </c>
      <c r="H483">
        <v>-79.688490000000002</v>
      </c>
      <c r="I483" t="s">
        <v>1595</v>
      </c>
      <c r="J483">
        <v>500</v>
      </c>
      <c r="K483">
        <v>1911</v>
      </c>
      <c r="L483">
        <v>1911</v>
      </c>
      <c r="M483" t="s">
        <v>222</v>
      </c>
      <c r="N483" t="s">
        <v>209</v>
      </c>
      <c r="O483" t="s">
        <v>2893</v>
      </c>
      <c r="P483" t="s">
        <v>2907</v>
      </c>
      <c r="Q483" t="str">
        <f>IF($C483="","",IFERROR(VLOOKUP($C483,sources!$A$2:$N$200,2,FALSE()),"?"))</f>
        <v>Map</v>
      </c>
      <c r="S483" t="str">
        <f>IF($C483="","",IFERROR(VLOOKUP($C483,sources!$A$2:$N$200,9,FALSE()),"?"))</f>
        <v>US official</v>
      </c>
    </row>
    <row r="484" spans="1:19" x14ac:dyDescent="0.2">
      <c r="A484" t="s">
        <v>2908</v>
      </c>
      <c r="B484" t="s">
        <v>280</v>
      </c>
      <c r="C484" t="s">
        <v>1187</v>
      </c>
      <c r="D484" t="s">
        <v>1594</v>
      </c>
      <c r="E484" t="s">
        <v>281</v>
      </c>
      <c r="G484">
        <v>9.0868699999999993</v>
      </c>
      <c r="H484">
        <v>-79.684650000000005</v>
      </c>
      <c r="I484" t="s">
        <v>1595</v>
      </c>
      <c r="J484">
        <v>325</v>
      </c>
      <c r="K484">
        <v>1911</v>
      </c>
      <c r="L484">
        <v>1911</v>
      </c>
      <c r="M484" t="s">
        <v>222</v>
      </c>
      <c r="N484" t="s">
        <v>228</v>
      </c>
      <c r="O484" t="s">
        <v>2893</v>
      </c>
      <c r="P484" t="s">
        <v>2894</v>
      </c>
      <c r="Q484" t="str">
        <f>IF($C484="","",IFERROR(VLOOKUP($C484,sources!$A$2:$N$200,2,FALSE()),"?"))</f>
        <v>Map</v>
      </c>
      <c r="S484" t="str">
        <f>IF($C484="","",IFERROR(VLOOKUP($C484,sources!$A$2:$N$200,9,FALSE()),"?"))</f>
        <v>US official</v>
      </c>
    </row>
    <row r="485" spans="1:19" x14ac:dyDescent="0.2">
      <c r="A485" t="s">
        <v>2909</v>
      </c>
      <c r="B485" t="s">
        <v>349</v>
      </c>
      <c r="C485" t="s">
        <v>1187</v>
      </c>
      <c r="D485" t="s">
        <v>1594</v>
      </c>
      <c r="E485" t="s">
        <v>350</v>
      </c>
      <c r="G485">
        <v>9.3558900000000005</v>
      </c>
      <c r="H485">
        <v>-79.900599999999997</v>
      </c>
      <c r="I485" t="s">
        <v>1595</v>
      </c>
      <c r="J485">
        <v>325</v>
      </c>
      <c r="K485">
        <v>1911</v>
      </c>
      <c r="L485">
        <v>1911</v>
      </c>
      <c r="M485" t="s">
        <v>222</v>
      </c>
      <c r="N485" t="s">
        <v>228</v>
      </c>
      <c r="O485" t="s">
        <v>2893</v>
      </c>
      <c r="P485" t="s">
        <v>2910</v>
      </c>
      <c r="Q485" t="str">
        <f>IF($C485="","",IFERROR(VLOOKUP($C485,sources!$A$2:$N$200,2,FALSE()),"?"))</f>
        <v>Map</v>
      </c>
      <c r="S485" t="str">
        <f>IF($C485="","",IFERROR(VLOOKUP($C485,sources!$A$2:$N$200,9,FALSE()),"?"))</f>
        <v>US official</v>
      </c>
    </row>
    <row r="486" spans="1:19" x14ac:dyDescent="0.2">
      <c r="A486" t="s">
        <v>2911</v>
      </c>
      <c r="B486" t="s">
        <v>354</v>
      </c>
      <c r="C486" t="s">
        <v>1187</v>
      </c>
      <c r="D486" t="s">
        <v>1594</v>
      </c>
      <c r="E486" t="s">
        <v>2912</v>
      </c>
      <c r="G486">
        <v>8.9569299999999998</v>
      </c>
      <c r="H486">
        <v>-79.549250000000001</v>
      </c>
      <c r="I486" t="s">
        <v>1595</v>
      </c>
      <c r="J486">
        <v>500</v>
      </c>
      <c r="K486">
        <v>1911</v>
      </c>
      <c r="L486">
        <v>1911</v>
      </c>
      <c r="M486" t="s">
        <v>222</v>
      </c>
      <c r="N486" t="s">
        <v>209</v>
      </c>
      <c r="O486" t="s">
        <v>2893</v>
      </c>
      <c r="P486" t="s">
        <v>2913</v>
      </c>
      <c r="Q486" t="str">
        <f>IF($C486="","",IFERROR(VLOOKUP($C486,sources!$A$2:$N$200,2,FALSE()),"?"))</f>
        <v>Map</v>
      </c>
      <c r="S486" t="str">
        <f>IF($C486="","",IFERROR(VLOOKUP($C486,sources!$A$2:$N$200,9,FALSE()),"?"))</f>
        <v>US official</v>
      </c>
    </row>
    <row r="487" spans="1:19" x14ac:dyDescent="0.2">
      <c r="A487" t="s">
        <v>2914</v>
      </c>
      <c r="B487" t="s">
        <v>367</v>
      </c>
      <c r="C487" t="s">
        <v>1187</v>
      </c>
      <c r="D487" t="s">
        <v>1594</v>
      </c>
      <c r="E487" t="s">
        <v>2915</v>
      </c>
      <c r="G487">
        <v>8.9477600000000006</v>
      </c>
      <c r="H487">
        <v>-79.56447</v>
      </c>
      <c r="I487" t="s">
        <v>1595</v>
      </c>
      <c r="J487">
        <v>325</v>
      </c>
      <c r="K487">
        <v>1911</v>
      </c>
      <c r="L487">
        <v>1911</v>
      </c>
      <c r="M487" t="s">
        <v>222</v>
      </c>
      <c r="N487" t="s">
        <v>228</v>
      </c>
      <c r="O487" t="s">
        <v>2893</v>
      </c>
      <c r="P487" t="s">
        <v>2916</v>
      </c>
      <c r="Q487" t="str">
        <f>IF($C487="","",IFERROR(VLOOKUP($C487,sources!$A$2:$N$200,2,FALSE()),"?"))</f>
        <v>Map</v>
      </c>
      <c r="S487" t="str">
        <f>IF($C487="","",IFERROR(VLOOKUP($C487,sources!$A$2:$N$200,9,FALSE()),"?"))</f>
        <v>US official</v>
      </c>
    </row>
    <row r="488" spans="1:19" x14ac:dyDescent="0.2">
      <c r="A488" t="s">
        <v>2917</v>
      </c>
      <c r="B488" t="s">
        <v>370</v>
      </c>
      <c r="C488" t="s">
        <v>1187</v>
      </c>
      <c r="D488" t="s">
        <v>1594</v>
      </c>
      <c r="E488" t="s">
        <v>371</v>
      </c>
      <c r="G488">
        <v>8.9795700000000007</v>
      </c>
      <c r="H488">
        <v>-79.568240000000003</v>
      </c>
      <c r="I488" t="s">
        <v>1595</v>
      </c>
      <c r="J488">
        <v>325</v>
      </c>
      <c r="K488">
        <v>1911</v>
      </c>
      <c r="L488">
        <v>1911</v>
      </c>
      <c r="M488" t="s">
        <v>222</v>
      </c>
      <c r="N488" t="s">
        <v>228</v>
      </c>
      <c r="O488" t="s">
        <v>2893</v>
      </c>
      <c r="P488" t="s">
        <v>2894</v>
      </c>
      <c r="Q488" t="str">
        <f>IF($C488="","",IFERROR(VLOOKUP($C488,sources!$A$2:$N$200,2,FALSE()),"?"))</f>
        <v>Map</v>
      </c>
      <c r="S488" t="str">
        <f>IF($C488="","",IFERROR(VLOOKUP($C488,sources!$A$2:$N$200,9,FALSE()),"?"))</f>
        <v>US official</v>
      </c>
    </row>
    <row r="489" spans="1:19" x14ac:dyDescent="0.2">
      <c r="A489" t="s">
        <v>2918</v>
      </c>
      <c r="B489" t="s">
        <v>866</v>
      </c>
      <c r="C489" t="s">
        <v>1187</v>
      </c>
      <c r="D489" t="s">
        <v>1594</v>
      </c>
      <c r="E489" t="s">
        <v>2919</v>
      </c>
      <c r="G489">
        <v>9.1755999999999993</v>
      </c>
      <c r="H489">
        <v>-79.801329999999993</v>
      </c>
      <c r="I489" t="s">
        <v>1595</v>
      </c>
      <c r="J489">
        <v>250</v>
      </c>
      <c r="K489">
        <v>1911</v>
      </c>
      <c r="L489">
        <v>1911</v>
      </c>
      <c r="M489" t="s">
        <v>222</v>
      </c>
      <c r="N489" t="s">
        <v>222</v>
      </c>
      <c r="O489" t="s">
        <v>2893</v>
      </c>
      <c r="P489" t="s">
        <v>2920</v>
      </c>
      <c r="Q489" t="str">
        <f>IF($C489="","",IFERROR(VLOOKUP($C489,sources!$A$2:$N$200,2,FALSE()),"?"))</f>
        <v>Map</v>
      </c>
      <c r="S489" t="str">
        <f>IF($C489="","",IFERROR(VLOOKUP($C489,sources!$A$2:$N$200,9,FALSE()),"?"))</f>
        <v>US official</v>
      </c>
    </row>
    <row r="490" spans="1:19" x14ac:dyDescent="0.2">
      <c r="A490" t="s">
        <v>2921</v>
      </c>
      <c r="B490" t="s">
        <v>373</v>
      </c>
      <c r="C490" t="s">
        <v>1187</v>
      </c>
      <c r="D490" t="s">
        <v>1594</v>
      </c>
      <c r="E490" t="s">
        <v>2922</v>
      </c>
      <c r="G490">
        <v>9.16812</v>
      </c>
      <c r="H490">
        <v>-79.813630000000003</v>
      </c>
      <c r="I490" t="s">
        <v>1595</v>
      </c>
      <c r="J490">
        <v>325</v>
      </c>
      <c r="K490">
        <v>1911</v>
      </c>
      <c r="L490">
        <v>1911</v>
      </c>
      <c r="M490" t="s">
        <v>222</v>
      </c>
      <c r="N490" t="s">
        <v>228</v>
      </c>
      <c r="O490" t="s">
        <v>2893</v>
      </c>
      <c r="P490" t="s">
        <v>2923</v>
      </c>
      <c r="Q490" t="str">
        <f>IF($C490="","",IFERROR(VLOOKUP($C490,sources!$A$2:$N$200,2,FALSE()),"?"))</f>
        <v>Map</v>
      </c>
      <c r="S490" t="str">
        <f>IF($C490="","",IFERROR(VLOOKUP($C490,sources!$A$2:$N$200,9,FALSE()),"?"))</f>
        <v>US official</v>
      </c>
    </row>
    <row r="491" spans="1:19" x14ac:dyDescent="0.2">
      <c r="A491" t="s">
        <v>2924</v>
      </c>
      <c r="B491" t="s">
        <v>379</v>
      </c>
      <c r="C491" t="s">
        <v>1187</v>
      </c>
      <c r="D491" t="s">
        <v>1594</v>
      </c>
      <c r="E491" t="s">
        <v>380</v>
      </c>
      <c r="G491">
        <v>9.1143800000000006</v>
      </c>
      <c r="H491">
        <v>-79.787130000000005</v>
      </c>
      <c r="I491" t="s">
        <v>1595</v>
      </c>
      <c r="J491">
        <v>325</v>
      </c>
      <c r="K491">
        <v>1911</v>
      </c>
      <c r="L491">
        <v>1911</v>
      </c>
      <c r="M491" t="s">
        <v>222</v>
      </c>
      <c r="N491" t="s">
        <v>228</v>
      </c>
      <c r="O491" t="s">
        <v>2893</v>
      </c>
      <c r="P491" t="s">
        <v>2925</v>
      </c>
      <c r="Q491" t="str">
        <f>IF($C491="","",IFERROR(VLOOKUP($C491,sources!$A$2:$N$200,2,FALSE()),"?"))</f>
        <v>Map</v>
      </c>
      <c r="S491" t="str">
        <f>IF($C491="","",IFERROR(VLOOKUP($C491,sources!$A$2:$N$200,9,FALSE()),"?"))</f>
        <v>US official</v>
      </c>
    </row>
    <row r="492" spans="1:19" x14ac:dyDescent="0.2">
      <c r="A492" t="s">
        <v>2926</v>
      </c>
      <c r="B492" t="s">
        <v>382</v>
      </c>
      <c r="C492" t="s">
        <v>1187</v>
      </c>
      <c r="D492" t="s">
        <v>1594</v>
      </c>
      <c r="E492" t="s">
        <v>383</v>
      </c>
      <c r="G492">
        <v>9.1335099999999994</v>
      </c>
      <c r="H492">
        <v>-79.818389999999994</v>
      </c>
      <c r="I492" t="s">
        <v>1595</v>
      </c>
      <c r="J492">
        <v>325</v>
      </c>
      <c r="K492">
        <v>1911</v>
      </c>
      <c r="L492">
        <v>1911</v>
      </c>
      <c r="M492" t="s">
        <v>222</v>
      </c>
      <c r="N492" t="s">
        <v>228</v>
      </c>
      <c r="O492" t="s">
        <v>2893</v>
      </c>
      <c r="P492" t="s">
        <v>2927</v>
      </c>
      <c r="Q492" t="str">
        <f>IF($C492="","",IFERROR(VLOOKUP($C492,sources!$A$2:$N$200,2,FALSE()),"?"))</f>
        <v>Map</v>
      </c>
      <c r="S492" t="str">
        <f>IF($C492="","",IFERROR(VLOOKUP($C492,sources!$A$2:$N$200,9,FALSE()),"?"))</f>
        <v>US official</v>
      </c>
    </row>
    <row r="493" spans="1:19" x14ac:dyDescent="0.2">
      <c r="A493" t="s">
        <v>2928</v>
      </c>
      <c r="B493" t="s">
        <v>388</v>
      </c>
      <c r="C493" t="s">
        <v>1187</v>
      </c>
      <c r="D493" t="s">
        <v>1594</v>
      </c>
      <c r="E493" t="s">
        <v>389</v>
      </c>
      <c r="G493">
        <v>9.1173999999999999</v>
      </c>
      <c r="H493">
        <v>-79.68674</v>
      </c>
      <c r="I493" t="s">
        <v>1595</v>
      </c>
      <c r="J493">
        <v>325</v>
      </c>
      <c r="K493">
        <v>1911</v>
      </c>
      <c r="L493">
        <v>1911</v>
      </c>
      <c r="M493" t="s">
        <v>222</v>
      </c>
      <c r="N493" t="s">
        <v>228</v>
      </c>
      <c r="O493" t="s">
        <v>2893</v>
      </c>
      <c r="P493" t="s">
        <v>2929</v>
      </c>
      <c r="Q493" t="str">
        <f>IF($C493="","",IFERROR(VLOOKUP($C493,sources!$A$2:$N$200,2,FALSE()),"?"))</f>
        <v>Map</v>
      </c>
      <c r="S493" t="str">
        <f>IF($C493="","",IFERROR(VLOOKUP($C493,sources!$A$2:$N$200,9,FALSE()),"?"))</f>
        <v>US official</v>
      </c>
    </row>
    <row r="494" spans="1:19" x14ac:dyDescent="0.2">
      <c r="A494" t="s">
        <v>2930</v>
      </c>
      <c r="B494" t="s">
        <v>393</v>
      </c>
      <c r="C494" t="s">
        <v>1187</v>
      </c>
      <c r="D494" t="s">
        <v>1594</v>
      </c>
      <c r="E494" t="s">
        <v>2931</v>
      </c>
      <c r="G494">
        <v>8.9993200000000009</v>
      </c>
      <c r="H494">
        <v>-79.582160000000002</v>
      </c>
      <c r="I494" t="s">
        <v>1595</v>
      </c>
      <c r="J494">
        <v>325</v>
      </c>
      <c r="K494">
        <v>1911</v>
      </c>
      <c r="L494">
        <v>1911</v>
      </c>
      <c r="M494" t="s">
        <v>222</v>
      </c>
      <c r="N494" t="s">
        <v>228</v>
      </c>
      <c r="O494" t="s">
        <v>2893</v>
      </c>
      <c r="P494" t="s">
        <v>2932</v>
      </c>
      <c r="Q494" t="str">
        <f>IF($C494="","",IFERROR(VLOOKUP($C494,sources!$A$2:$N$200,2,FALSE()),"?"))</f>
        <v>Map</v>
      </c>
      <c r="S494" t="str">
        <f>IF($C494="","",IFERROR(VLOOKUP($C494,sources!$A$2:$N$200,9,FALSE()),"?"))</f>
        <v>US official</v>
      </c>
    </row>
    <row r="495" spans="1:19" x14ac:dyDescent="0.2">
      <c r="A495" t="s">
        <v>2933</v>
      </c>
      <c r="B495" t="s">
        <v>402</v>
      </c>
      <c r="C495" t="s">
        <v>1187</v>
      </c>
      <c r="D495" t="s">
        <v>1594</v>
      </c>
      <c r="E495" t="s">
        <v>403</v>
      </c>
      <c r="G495">
        <v>9.3140800000000006</v>
      </c>
      <c r="H495">
        <v>-79.917500000000004</v>
      </c>
      <c r="I495" t="s">
        <v>1595</v>
      </c>
      <c r="J495">
        <v>500</v>
      </c>
      <c r="K495">
        <v>1911</v>
      </c>
      <c r="L495">
        <v>1911</v>
      </c>
      <c r="M495" t="s">
        <v>222</v>
      </c>
      <c r="N495" t="s">
        <v>209</v>
      </c>
      <c r="O495" t="s">
        <v>2893</v>
      </c>
      <c r="P495" t="s">
        <v>2934</v>
      </c>
      <c r="Q495" t="str">
        <f>IF($C495="","",IFERROR(VLOOKUP($C495,sources!$A$2:$N$200,2,FALSE()),"?"))</f>
        <v>Map</v>
      </c>
      <c r="S495" t="str">
        <f>IF($C495="","",IFERROR(VLOOKUP($C495,sources!$A$2:$N$200,9,FALSE()),"?"))</f>
        <v>US official</v>
      </c>
    </row>
    <row r="496" spans="1:19" x14ac:dyDescent="0.2">
      <c r="A496" t="s">
        <v>2935</v>
      </c>
      <c r="B496" t="s">
        <v>405</v>
      </c>
      <c r="C496" t="s">
        <v>1187</v>
      </c>
      <c r="D496" t="s">
        <v>1594</v>
      </c>
      <c r="E496" t="s">
        <v>2936</v>
      </c>
      <c r="G496">
        <v>9.1819600000000001</v>
      </c>
      <c r="H496">
        <v>-79.839460000000003</v>
      </c>
      <c r="I496" t="s">
        <v>1595</v>
      </c>
      <c r="J496">
        <v>500</v>
      </c>
      <c r="K496">
        <v>1911</v>
      </c>
      <c r="L496">
        <v>1911</v>
      </c>
      <c r="M496" t="s">
        <v>222</v>
      </c>
      <c r="N496" t="s">
        <v>209</v>
      </c>
      <c r="O496" t="s">
        <v>2893</v>
      </c>
      <c r="P496" t="s">
        <v>2937</v>
      </c>
      <c r="Q496" t="str">
        <f>IF($C496="","",IFERROR(VLOOKUP($C496,sources!$A$2:$N$200,2,FALSE()),"?"))</f>
        <v>Map</v>
      </c>
      <c r="S496" t="str">
        <f>IF($C496="","",IFERROR(VLOOKUP($C496,sources!$A$2:$N$200,9,FALSE()),"?"))</f>
        <v>US official</v>
      </c>
    </row>
    <row r="497" spans="1:19" x14ac:dyDescent="0.2">
      <c r="A497" t="s">
        <v>2938</v>
      </c>
      <c r="B497" t="s">
        <v>792</v>
      </c>
      <c r="C497" t="s">
        <v>1187</v>
      </c>
      <c r="D497" t="s">
        <v>1594</v>
      </c>
      <c r="E497" t="s">
        <v>2939</v>
      </c>
      <c r="G497">
        <v>9.0938300000000005</v>
      </c>
      <c r="H497">
        <v>-79.684619999999995</v>
      </c>
      <c r="I497" t="s">
        <v>1595</v>
      </c>
      <c r="J497">
        <v>500</v>
      </c>
      <c r="K497">
        <v>1911</v>
      </c>
      <c r="L497">
        <v>1911</v>
      </c>
      <c r="M497" t="s">
        <v>222</v>
      </c>
      <c r="N497" t="s">
        <v>209</v>
      </c>
      <c r="O497" t="s">
        <v>2893</v>
      </c>
      <c r="P497" t="s">
        <v>2940</v>
      </c>
      <c r="Q497" t="str">
        <f>IF($C497="","",IFERROR(VLOOKUP($C497,sources!$A$2:$N$200,2,FALSE()),"?"))</f>
        <v>Map</v>
      </c>
      <c r="S497" t="str">
        <f>IF($C497="","",IFERROR(VLOOKUP($C497,sources!$A$2:$N$200,9,FALSE()),"?"))</f>
        <v>US official</v>
      </c>
    </row>
    <row r="498" spans="1:19" x14ac:dyDescent="0.2">
      <c r="A498" t="s">
        <v>2941</v>
      </c>
      <c r="B498" t="s">
        <v>408</v>
      </c>
      <c r="C498" t="s">
        <v>1187</v>
      </c>
      <c r="D498" t="s">
        <v>1594</v>
      </c>
      <c r="E498" t="s">
        <v>409</v>
      </c>
      <c r="G498">
        <v>9.2304099999999991</v>
      </c>
      <c r="H498">
        <v>-79.912710000000004</v>
      </c>
      <c r="I498" t="s">
        <v>1595</v>
      </c>
      <c r="J498">
        <v>500</v>
      </c>
      <c r="K498">
        <v>1911</v>
      </c>
      <c r="L498">
        <v>1911</v>
      </c>
      <c r="M498" t="s">
        <v>222</v>
      </c>
      <c r="N498" t="s">
        <v>209</v>
      </c>
      <c r="O498" t="s">
        <v>2893</v>
      </c>
      <c r="P498" t="s">
        <v>2927</v>
      </c>
      <c r="Q498" t="str">
        <f>IF($C498="","",IFERROR(VLOOKUP($C498,sources!$A$2:$N$200,2,FALSE()),"?"))</f>
        <v>Map</v>
      </c>
      <c r="S498" t="str">
        <f>IF($C498="","",IFERROR(VLOOKUP($C498,sources!$A$2:$N$200,9,FALSE()),"?"))</f>
        <v>US official</v>
      </c>
    </row>
    <row r="499" spans="1:19" x14ac:dyDescent="0.2">
      <c r="A499" t="s">
        <v>2942</v>
      </c>
      <c r="B499" t="s">
        <v>414</v>
      </c>
      <c r="C499" t="s">
        <v>1187</v>
      </c>
      <c r="D499" t="s">
        <v>1594</v>
      </c>
      <c r="E499" t="s">
        <v>415</v>
      </c>
      <c r="G499">
        <v>9.1177499999999991</v>
      </c>
      <c r="H499">
        <v>-79.757750000000001</v>
      </c>
      <c r="I499" t="s">
        <v>1595</v>
      </c>
      <c r="J499">
        <v>500</v>
      </c>
      <c r="K499">
        <v>1911</v>
      </c>
      <c r="L499">
        <v>1911</v>
      </c>
      <c r="M499" t="s">
        <v>222</v>
      </c>
      <c r="N499" t="s">
        <v>209</v>
      </c>
      <c r="O499" t="s">
        <v>2893</v>
      </c>
      <c r="P499" t="s">
        <v>2943</v>
      </c>
      <c r="Q499" t="str">
        <f>IF($C499="","",IFERROR(VLOOKUP($C499,sources!$A$2:$N$200,2,FALSE()),"?"))</f>
        <v>Map</v>
      </c>
      <c r="S499" t="str">
        <f>IF($C499="","",IFERROR(VLOOKUP($C499,sources!$A$2:$N$200,9,FALSE()),"?"))</f>
        <v>US official</v>
      </c>
    </row>
    <row r="500" spans="1:19" x14ac:dyDescent="0.2">
      <c r="A500" t="s">
        <v>2944</v>
      </c>
      <c r="B500" t="s">
        <v>417</v>
      </c>
      <c r="C500" t="s">
        <v>1187</v>
      </c>
      <c r="D500" t="s">
        <v>1594</v>
      </c>
      <c r="E500" t="s">
        <v>418</v>
      </c>
      <c r="G500">
        <v>9.1017299999999999</v>
      </c>
      <c r="H500">
        <v>-79.690150000000003</v>
      </c>
      <c r="I500" t="s">
        <v>1595</v>
      </c>
      <c r="J500">
        <v>325</v>
      </c>
      <c r="K500">
        <v>1911</v>
      </c>
      <c r="L500">
        <v>1911</v>
      </c>
      <c r="M500" t="s">
        <v>222</v>
      </c>
      <c r="N500" t="s">
        <v>228</v>
      </c>
      <c r="O500" t="s">
        <v>2893</v>
      </c>
      <c r="P500" t="s">
        <v>2894</v>
      </c>
      <c r="Q500" t="str">
        <f>IF($C500="","",IFERROR(VLOOKUP($C500,sources!$A$2:$N$200,2,FALSE()),"?"))</f>
        <v>Map</v>
      </c>
      <c r="S500" t="str">
        <f>IF($C500="","",IFERROR(VLOOKUP($C500,sources!$A$2:$N$200,9,FALSE()),"?"))</f>
        <v>US official</v>
      </c>
    </row>
    <row r="501" spans="1:19" x14ac:dyDescent="0.2">
      <c r="A501" t="s">
        <v>2945</v>
      </c>
      <c r="B501" t="s">
        <v>422</v>
      </c>
      <c r="C501" t="s">
        <v>1187</v>
      </c>
      <c r="D501" t="s">
        <v>1594</v>
      </c>
      <c r="E501" t="s">
        <v>423</v>
      </c>
      <c r="G501">
        <v>9.2472999999999992</v>
      </c>
      <c r="H501">
        <v>-79.870459999999994</v>
      </c>
      <c r="I501" t="s">
        <v>1595</v>
      </c>
      <c r="J501">
        <v>500</v>
      </c>
      <c r="K501">
        <v>1911</v>
      </c>
      <c r="L501">
        <v>1911</v>
      </c>
      <c r="M501" t="s">
        <v>222</v>
      </c>
      <c r="N501" t="s">
        <v>209</v>
      </c>
      <c r="O501" t="s">
        <v>2893</v>
      </c>
      <c r="P501" t="s">
        <v>2946</v>
      </c>
      <c r="Q501" t="str">
        <f>IF($C501="","",IFERROR(VLOOKUP($C501,sources!$A$2:$N$200,2,FALSE()),"?"))</f>
        <v>Map</v>
      </c>
      <c r="S501" t="str">
        <f>IF($C501="","",IFERROR(VLOOKUP($C501,sources!$A$2:$N$200,9,FALSE()),"?"))</f>
        <v>US official</v>
      </c>
    </row>
    <row r="502" spans="1:19" x14ac:dyDescent="0.2">
      <c r="A502" t="s">
        <v>2947</v>
      </c>
      <c r="B502" t="s">
        <v>430</v>
      </c>
      <c r="C502" t="s">
        <v>1187</v>
      </c>
      <c r="D502" t="s">
        <v>1594</v>
      </c>
      <c r="E502" t="s">
        <v>431</v>
      </c>
      <c r="G502">
        <v>8.9477600000000006</v>
      </c>
      <c r="H502">
        <v>-79.56447</v>
      </c>
      <c r="I502" t="s">
        <v>1595</v>
      </c>
      <c r="J502">
        <v>325</v>
      </c>
      <c r="K502">
        <v>1911</v>
      </c>
      <c r="L502">
        <v>1911</v>
      </c>
      <c r="M502" t="s">
        <v>222</v>
      </c>
      <c r="N502" t="s">
        <v>228</v>
      </c>
      <c r="O502" t="s">
        <v>2893</v>
      </c>
      <c r="P502" t="s">
        <v>2894</v>
      </c>
      <c r="Q502" t="str">
        <f>IF($C502="","",IFERROR(VLOOKUP($C502,sources!$A$2:$N$200,2,FALSE()),"?"))</f>
        <v>Map</v>
      </c>
      <c r="S502" t="str">
        <f>IF($C502="","",IFERROR(VLOOKUP($C502,sources!$A$2:$N$200,9,FALSE()),"?"))</f>
        <v>US official</v>
      </c>
    </row>
    <row r="503" spans="1:19" x14ac:dyDescent="0.2">
      <c r="A503" t="s">
        <v>2948</v>
      </c>
      <c r="B503" t="s">
        <v>434</v>
      </c>
      <c r="C503" t="s">
        <v>1187</v>
      </c>
      <c r="D503" t="s">
        <v>1594</v>
      </c>
      <c r="E503" t="s">
        <v>435</v>
      </c>
      <c r="G503">
        <v>9.33582</v>
      </c>
      <c r="H503">
        <v>-79.892790000000005</v>
      </c>
      <c r="I503" t="s">
        <v>1595</v>
      </c>
      <c r="J503">
        <v>325</v>
      </c>
      <c r="K503">
        <v>1911</v>
      </c>
      <c r="L503">
        <v>1911</v>
      </c>
      <c r="M503" t="s">
        <v>222</v>
      </c>
      <c r="N503" t="s">
        <v>228</v>
      </c>
      <c r="O503" t="s">
        <v>2893</v>
      </c>
      <c r="P503" t="s">
        <v>2949</v>
      </c>
      <c r="Q503" t="str">
        <f>IF($C503="","",IFERROR(VLOOKUP($C503,sources!$A$2:$N$200,2,FALSE()),"?"))</f>
        <v>Map</v>
      </c>
      <c r="S503" t="str">
        <f>IF($C503="","",IFERROR(VLOOKUP($C503,sources!$A$2:$N$200,9,FALSE()),"?"))</f>
        <v>US official</v>
      </c>
    </row>
    <row r="504" spans="1:19" x14ac:dyDescent="0.2">
      <c r="A504" t="s">
        <v>2950</v>
      </c>
      <c r="B504" t="s">
        <v>452</v>
      </c>
      <c r="C504" t="s">
        <v>1187</v>
      </c>
      <c r="D504" t="s">
        <v>1594</v>
      </c>
      <c r="E504" t="s">
        <v>453</v>
      </c>
      <c r="G504">
        <v>9.1203299999999992</v>
      </c>
      <c r="H504">
        <v>-79.739050000000006</v>
      </c>
      <c r="I504" t="s">
        <v>1595</v>
      </c>
      <c r="J504">
        <v>325</v>
      </c>
      <c r="K504">
        <v>1911</v>
      </c>
      <c r="L504">
        <v>1911</v>
      </c>
      <c r="M504" t="s">
        <v>222</v>
      </c>
      <c r="N504" t="s">
        <v>228</v>
      </c>
      <c r="O504" t="s">
        <v>2893</v>
      </c>
      <c r="P504" t="s">
        <v>2951</v>
      </c>
      <c r="Q504" t="str">
        <f>IF($C504="","",IFERROR(VLOOKUP($C504,sources!$A$2:$N$200,2,FALSE()),"?"))</f>
        <v>Map</v>
      </c>
      <c r="S504" t="str">
        <f>IF($C504="","",IFERROR(VLOOKUP($C504,sources!$A$2:$N$200,9,FALSE()),"?"))</f>
        <v>US official</v>
      </c>
    </row>
    <row r="505" spans="1:19" x14ac:dyDescent="0.2">
      <c r="A505" t="s">
        <v>2952</v>
      </c>
      <c r="B505" t="s">
        <v>462</v>
      </c>
      <c r="C505" t="s">
        <v>1187</v>
      </c>
      <c r="D505" t="s">
        <v>1594</v>
      </c>
      <c r="E505" t="s">
        <v>2085</v>
      </c>
      <c r="G505">
        <v>9.3108299999999993</v>
      </c>
      <c r="H505">
        <v>-79.997870000000006</v>
      </c>
      <c r="I505" t="s">
        <v>1595</v>
      </c>
      <c r="J505">
        <v>325</v>
      </c>
      <c r="K505">
        <v>1911</v>
      </c>
      <c r="L505">
        <v>1911</v>
      </c>
      <c r="M505" t="s">
        <v>222</v>
      </c>
      <c r="N505" t="s">
        <v>228</v>
      </c>
      <c r="O505" t="s">
        <v>2893</v>
      </c>
      <c r="P505" t="s">
        <v>2953</v>
      </c>
      <c r="Q505" t="str">
        <f>IF($C505="","",IFERROR(VLOOKUP($C505,sources!$A$2:$N$200,2,FALSE()),"?"))</f>
        <v>Map</v>
      </c>
      <c r="S505" t="str">
        <f>IF($C505="","",IFERROR(VLOOKUP($C505,sources!$A$2:$N$200,9,FALSE()),"?"))</f>
        <v>US official</v>
      </c>
    </row>
    <row r="506" spans="1:19" x14ac:dyDescent="0.2">
      <c r="A506" t="s">
        <v>2954</v>
      </c>
      <c r="B506" t="s">
        <v>484</v>
      </c>
      <c r="C506" t="s">
        <v>1187</v>
      </c>
      <c r="D506" t="s">
        <v>1594</v>
      </c>
      <c r="E506" t="s">
        <v>485</v>
      </c>
      <c r="G506">
        <v>9.05199</v>
      </c>
      <c r="H506">
        <v>-79.663560000000004</v>
      </c>
      <c r="I506" t="s">
        <v>1595</v>
      </c>
      <c r="J506">
        <v>500</v>
      </c>
      <c r="K506">
        <v>1911</v>
      </c>
      <c r="L506">
        <v>1911</v>
      </c>
      <c r="M506" t="s">
        <v>222</v>
      </c>
      <c r="N506" t="s">
        <v>209</v>
      </c>
      <c r="O506" t="s">
        <v>2893</v>
      </c>
      <c r="P506" t="s">
        <v>2955</v>
      </c>
      <c r="Q506" t="str">
        <f>IF($C506="","",IFERROR(VLOOKUP($C506,sources!$A$2:$N$200,2,FALSE()),"?"))</f>
        <v>Map</v>
      </c>
      <c r="S506" t="str">
        <f>IF($C506="","",IFERROR(VLOOKUP($C506,sources!$A$2:$N$200,9,FALSE()),"?"))</f>
        <v>US official</v>
      </c>
    </row>
    <row r="507" spans="1:19" x14ac:dyDescent="0.2">
      <c r="A507" t="s">
        <v>2956</v>
      </c>
      <c r="B507" t="s">
        <v>487</v>
      </c>
      <c r="C507" t="s">
        <v>1187</v>
      </c>
      <c r="D507" t="s">
        <v>1594</v>
      </c>
      <c r="E507" t="s">
        <v>488</v>
      </c>
      <c r="G507">
        <v>8.9151000000000007</v>
      </c>
      <c r="H507">
        <v>-79.532480000000007</v>
      </c>
      <c r="I507" t="s">
        <v>1595</v>
      </c>
      <c r="J507">
        <v>250</v>
      </c>
      <c r="K507">
        <v>1911</v>
      </c>
      <c r="L507">
        <v>1911</v>
      </c>
      <c r="M507" t="s">
        <v>222</v>
      </c>
      <c r="N507" t="s">
        <v>222</v>
      </c>
      <c r="O507" t="s">
        <v>2893</v>
      </c>
      <c r="P507" t="s">
        <v>2957</v>
      </c>
      <c r="Q507" t="str">
        <f>IF($C507="","",IFERROR(VLOOKUP($C507,sources!$A$2:$N$200,2,FALSE()),"?"))</f>
        <v>Map</v>
      </c>
      <c r="S507" t="str">
        <f>IF($C507="","",IFERROR(VLOOKUP($C507,sources!$A$2:$N$200,9,FALSE()),"?"))</f>
        <v>US official</v>
      </c>
    </row>
    <row r="508" spans="1:19" x14ac:dyDescent="0.2">
      <c r="A508" t="s">
        <v>2958</v>
      </c>
      <c r="B508" t="s">
        <v>506</v>
      </c>
      <c r="C508" t="s">
        <v>1187</v>
      </c>
      <c r="D508" t="s">
        <v>1594</v>
      </c>
      <c r="E508" t="s">
        <v>507</v>
      </c>
      <c r="G508">
        <v>9.0376100000000008</v>
      </c>
      <c r="H508">
        <v>-79.648880000000005</v>
      </c>
      <c r="I508" t="s">
        <v>1595</v>
      </c>
      <c r="J508">
        <v>500</v>
      </c>
      <c r="K508">
        <v>1911</v>
      </c>
      <c r="L508">
        <v>1911</v>
      </c>
      <c r="M508" t="s">
        <v>222</v>
      </c>
      <c r="N508" t="s">
        <v>209</v>
      </c>
      <c r="O508" t="s">
        <v>2893</v>
      </c>
      <c r="P508" t="s">
        <v>2959</v>
      </c>
      <c r="Q508" t="str">
        <f>IF($C508="","",IFERROR(VLOOKUP($C508,sources!$A$2:$N$200,2,FALSE()),"?"))</f>
        <v>Map</v>
      </c>
      <c r="S508" t="str">
        <f>IF($C508="","",IFERROR(VLOOKUP($C508,sources!$A$2:$N$200,9,FALSE()),"?"))</f>
        <v>US official</v>
      </c>
    </row>
    <row r="509" spans="1:19" x14ac:dyDescent="0.2">
      <c r="A509" t="s">
        <v>2960</v>
      </c>
      <c r="B509" t="s">
        <v>509</v>
      </c>
      <c r="C509" t="s">
        <v>1187</v>
      </c>
      <c r="D509" t="s">
        <v>1594</v>
      </c>
      <c r="E509" t="s">
        <v>631</v>
      </c>
      <c r="G509">
        <v>9.0782500000000006</v>
      </c>
      <c r="H509">
        <v>-79.680279999999996</v>
      </c>
      <c r="I509" t="s">
        <v>1595</v>
      </c>
      <c r="J509">
        <v>325</v>
      </c>
      <c r="K509">
        <v>1911</v>
      </c>
      <c r="L509">
        <v>1911</v>
      </c>
      <c r="M509" t="s">
        <v>222</v>
      </c>
      <c r="N509" t="s">
        <v>228</v>
      </c>
      <c r="O509" t="s">
        <v>2893</v>
      </c>
      <c r="P509" t="s">
        <v>2894</v>
      </c>
      <c r="Q509" t="str">
        <f>IF($C509="","",IFERROR(VLOOKUP($C509,sources!$A$2:$N$200,2,FALSE()),"?"))</f>
        <v>Map</v>
      </c>
      <c r="S509" t="str">
        <f>IF($C509="","",IFERROR(VLOOKUP($C509,sources!$A$2:$N$200,9,FALSE()),"?"))</f>
        <v>US official</v>
      </c>
    </row>
    <row r="510" spans="1:19" x14ac:dyDescent="0.2">
      <c r="A510" t="s">
        <v>2961</v>
      </c>
      <c r="B510" t="s">
        <v>529</v>
      </c>
      <c r="C510" t="s">
        <v>1187</v>
      </c>
      <c r="D510" t="s">
        <v>1594</v>
      </c>
      <c r="E510" t="s">
        <v>2962</v>
      </c>
      <c r="G510">
        <v>8.9892500000000002</v>
      </c>
      <c r="H510">
        <v>-79.589100000000002</v>
      </c>
      <c r="I510" t="s">
        <v>1595</v>
      </c>
      <c r="J510">
        <v>500</v>
      </c>
      <c r="K510">
        <v>1911</v>
      </c>
      <c r="L510">
        <v>1911</v>
      </c>
      <c r="M510" t="s">
        <v>222</v>
      </c>
      <c r="N510" t="s">
        <v>209</v>
      </c>
      <c r="O510" t="s">
        <v>2893</v>
      </c>
      <c r="P510" t="s">
        <v>2963</v>
      </c>
      <c r="Q510" t="str">
        <f>IF($C510="","",IFERROR(VLOOKUP($C510,sources!$A$2:$N$200,2,FALSE()),"?"))</f>
        <v>Map</v>
      </c>
      <c r="S510" t="str">
        <f>IF($C510="","",IFERROR(VLOOKUP($C510,sources!$A$2:$N$200,9,FALSE()),"?"))</f>
        <v>US official</v>
      </c>
    </row>
    <row r="511" spans="1:19" x14ac:dyDescent="0.2">
      <c r="A511" t="s">
        <v>2964</v>
      </c>
      <c r="B511" t="s">
        <v>198</v>
      </c>
      <c r="C511" t="s">
        <v>1198</v>
      </c>
      <c r="D511" t="s">
        <v>1594</v>
      </c>
      <c r="E511" t="s">
        <v>199</v>
      </c>
      <c r="G511">
        <v>9.1044300000000007</v>
      </c>
      <c r="H511">
        <v>-79.712649999999996</v>
      </c>
      <c r="I511" t="s">
        <v>1595</v>
      </c>
      <c r="J511">
        <v>300</v>
      </c>
      <c r="K511">
        <v>1909</v>
      </c>
      <c r="L511">
        <v>1909</v>
      </c>
      <c r="M511" t="s">
        <v>222</v>
      </c>
      <c r="N511" t="s">
        <v>222</v>
      </c>
      <c r="O511" t="s">
        <v>2965</v>
      </c>
      <c r="P511" t="s">
        <v>2966</v>
      </c>
      <c r="Q511" t="str">
        <f>IF($C511="","",IFERROR(VLOOKUP($C511,sources!$A$2:$N$200,2,FALSE()),"?"))</f>
        <v>Map</v>
      </c>
      <c r="S511" t="str">
        <f>IF($C511="","",IFERROR(VLOOKUP($C511,sources!$A$2:$N$200,9,FALSE()),"?"))</f>
        <v>US official</v>
      </c>
    </row>
    <row r="512" spans="1:19" x14ac:dyDescent="0.2">
      <c r="A512" t="s">
        <v>2967</v>
      </c>
      <c r="B512" t="s">
        <v>218</v>
      </c>
      <c r="C512" t="s">
        <v>1198</v>
      </c>
      <c r="D512" t="s">
        <v>1594</v>
      </c>
      <c r="E512" t="s">
        <v>1590</v>
      </c>
      <c r="G512">
        <v>9.1279800000000009</v>
      </c>
      <c r="H512">
        <v>-79.68262</v>
      </c>
      <c r="I512" t="s">
        <v>1595</v>
      </c>
      <c r="J512">
        <v>300</v>
      </c>
      <c r="K512">
        <v>1909</v>
      </c>
      <c r="L512">
        <v>1909</v>
      </c>
      <c r="M512" t="s">
        <v>222</v>
      </c>
      <c r="N512" t="s">
        <v>222</v>
      </c>
      <c r="O512" t="s">
        <v>2965</v>
      </c>
      <c r="P512" t="s">
        <v>2968</v>
      </c>
      <c r="Q512" t="str">
        <f>IF($C512="","",IFERROR(VLOOKUP($C512,sources!$A$2:$N$200,2,FALSE()),"?"))</f>
        <v>Map</v>
      </c>
      <c r="S512" t="str">
        <f>IF($C512="","",IFERROR(VLOOKUP($C512,sources!$A$2:$N$200,9,FALSE()),"?"))</f>
        <v>US official</v>
      </c>
    </row>
    <row r="513" spans="1:19" x14ac:dyDescent="0.2">
      <c r="A513" t="s">
        <v>2969</v>
      </c>
      <c r="B513" t="s">
        <v>224</v>
      </c>
      <c r="C513" t="s">
        <v>1198</v>
      </c>
      <c r="D513" t="s">
        <v>1594</v>
      </c>
      <c r="E513" t="s">
        <v>225</v>
      </c>
      <c r="G513">
        <v>9.2122100000000007</v>
      </c>
      <c r="H513">
        <v>-79.896029999999996</v>
      </c>
      <c r="I513" t="s">
        <v>1595</v>
      </c>
      <c r="J513">
        <v>390</v>
      </c>
      <c r="K513">
        <v>1909</v>
      </c>
      <c r="L513">
        <v>1909</v>
      </c>
      <c r="M513" t="s">
        <v>222</v>
      </c>
      <c r="N513" t="s">
        <v>228</v>
      </c>
      <c r="O513" t="s">
        <v>2965</v>
      </c>
      <c r="P513" t="s">
        <v>2970</v>
      </c>
      <c r="Q513" t="str">
        <f>IF($C513="","",IFERROR(VLOOKUP($C513,sources!$A$2:$N$200,2,FALSE()),"?"))</f>
        <v>Map</v>
      </c>
      <c r="S513" t="str">
        <f>IF($C513="","",IFERROR(VLOOKUP($C513,sources!$A$2:$N$200,9,FALSE()),"?"))</f>
        <v>US official</v>
      </c>
    </row>
    <row r="514" spans="1:19" x14ac:dyDescent="0.2">
      <c r="A514" t="s">
        <v>2971</v>
      </c>
      <c r="B514" t="s">
        <v>234</v>
      </c>
      <c r="C514" t="s">
        <v>1198</v>
      </c>
      <c r="D514" t="s">
        <v>1594</v>
      </c>
      <c r="E514" t="s">
        <v>235</v>
      </c>
      <c r="G514">
        <v>9.1060400000000001</v>
      </c>
      <c r="H514">
        <v>-79.780090000000001</v>
      </c>
      <c r="I514" t="s">
        <v>1595</v>
      </c>
      <c r="J514">
        <v>600</v>
      </c>
      <c r="K514">
        <v>1909</v>
      </c>
      <c r="L514">
        <v>1909</v>
      </c>
      <c r="M514" t="s">
        <v>222</v>
      </c>
      <c r="N514" t="s">
        <v>209</v>
      </c>
      <c r="O514" t="s">
        <v>2965</v>
      </c>
      <c r="P514" t="s">
        <v>2972</v>
      </c>
      <c r="Q514" t="str">
        <f>IF($C514="","",IFERROR(VLOOKUP($C514,sources!$A$2:$N$200,2,FALSE()),"?"))</f>
        <v>Map</v>
      </c>
      <c r="S514" t="str">
        <f>IF($C514="","",IFERROR(VLOOKUP($C514,sources!$A$2:$N$200,9,FALSE()),"?"))</f>
        <v>US official</v>
      </c>
    </row>
    <row r="515" spans="1:19" x14ac:dyDescent="0.2">
      <c r="A515" t="s">
        <v>2973</v>
      </c>
      <c r="B515" t="s">
        <v>238</v>
      </c>
      <c r="C515" t="s">
        <v>1198</v>
      </c>
      <c r="D515" t="s">
        <v>1594</v>
      </c>
      <c r="E515" t="s">
        <v>2974</v>
      </c>
      <c r="G515">
        <v>9.2754899999999996</v>
      </c>
      <c r="H515">
        <v>-79.907600000000002</v>
      </c>
      <c r="I515" t="s">
        <v>1595</v>
      </c>
      <c r="J515">
        <v>300</v>
      </c>
      <c r="K515">
        <v>1909</v>
      </c>
      <c r="L515">
        <v>1909</v>
      </c>
      <c r="M515" t="s">
        <v>222</v>
      </c>
      <c r="N515" t="s">
        <v>222</v>
      </c>
      <c r="O515" t="s">
        <v>2965</v>
      </c>
      <c r="P515" t="s">
        <v>2975</v>
      </c>
      <c r="Q515" t="str">
        <f>IF($C515="","",IFERROR(VLOOKUP($C515,sources!$A$2:$N$200,2,FALSE()),"?"))</f>
        <v>Map</v>
      </c>
      <c r="S515" t="str">
        <f>IF($C515="","",IFERROR(VLOOKUP($C515,sources!$A$2:$N$200,9,FALSE()),"?"))</f>
        <v>US official</v>
      </c>
    </row>
    <row r="516" spans="1:19" x14ac:dyDescent="0.2">
      <c r="A516" t="s">
        <v>2976</v>
      </c>
      <c r="B516" t="s">
        <v>252</v>
      </c>
      <c r="C516" t="s">
        <v>1198</v>
      </c>
      <c r="D516" t="s">
        <v>1594</v>
      </c>
      <c r="E516" t="s">
        <v>253</v>
      </c>
      <c r="G516">
        <v>9.0558499999999995</v>
      </c>
      <c r="H516">
        <v>-79.674909999999997</v>
      </c>
      <c r="I516" t="s">
        <v>1595</v>
      </c>
      <c r="J516">
        <v>300</v>
      </c>
      <c r="K516">
        <v>1909</v>
      </c>
      <c r="L516">
        <v>1909</v>
      </c>
      <c r="M516" t="s">
        <v>222</v>
      </c>
      <c r="N516" t="s">
        <v>222</v>
      </c>
      <c r="O516" t="s">
        <v>2965</v>
      </c>
      <c r="P516" t="s">
        <v>2977</v>
      </c>
      <c r="Q516" t="str">
        <f>IF($C516="","",IFERROR(VLOOKUP($C516,sources!$A$2:$N$200,2,FALSE()),"?"))</f>
        <v>Map</v>
      </c>
      <c r="S516" t="str">
        <f>IF($C516="","",IFERROR(VLOOKUP($C516,sources!$A$2:$N$200,9,FALSE()),"?"))</f>
        <v>US official</v>
      </c>
    </row>
    <row r="517" spans="1:19" x14ac:dyDescent="0.2">
      <c r="A517" t="s">
        <v>2978</v>
      </c>
      <c r="B517" t="s">
        <v>261</v>
      </c>
      <c r="C517" t="s">
        <v>1198</v>
      </c>
      <c r="D517" t="s">
        <v>1594</v>
      </c>
      <c r="E517" t="s">
        <v>262</v>
      </c>
      <c r="G517">
        <v>9.1051199999999994</v>
      </c>
      <c r="H517">
        <v>-79.725570000000005</v>
      </c>
      <c r="I517" t="s">
        <v>1595</v>
      </c>
      <c r="J517">
        <v>300</v>
      </c>
      <c r="K517">
        <v>1909</v>
      </c>
      <c r="L517">
        <v>1909</v>
      </c>
      <c r="M517" t="s">
        <v>222</v>
      </c>
      <c r="N517" t="s">
        <v>222</v>
      </c>
      <c r="O517" t="s">
        <v>2965</v>
      </c>
      <c r="P517" t="s">
        <v>2979</v>
      </c>
      <c r="Q517" t="str">
        <f>IF($C517="","",IFERROR(VLOOKUP($C517,sources!$A$2:$N$200,2,FALSE()),"?"))</f>
        <v>Map</v>
      </c>
      <c r="S517" t="str">
        <f>IF($C517="","",IFERROR(VLOOKUP($C517,sources!$A$2:$N$200,9,FALSE()),"?"))</f>
        <v>US official</v>
      </c>
    </row>
    <row r="518" spans="1:19" x14ac:dyDescent="0.2">
      <c r="A518" t="s">
        <v>2980</v>
      </c>
      <c r="B518" t="s">
        <v>266</v>
      </c>
      <c r="C518" t="s">
        <v>1198</v>
      </c>
      <c r="D518" t="s">
        <v>1594</v>
      </c>
      <c r="E518" t="s">
        <v>267</v>
      </c>
      <c r="G518">
        <v>9.0395800000000008</v>
      </c>
      <c r="H518">
        <v>-79.664150000000006</v>
      </c>
      <c r="I518" t="s">
        <v>1595</v>
      </c>
      <c r="J518">
        <v>300</v>
      </c>
      <c r="K518">
        <v>1909</v>
      </c>
      <c r="L518">
        <v>1909</v>
      </c>
      <c r="M518" t="s">
        <v>222</v>
      </c>
      <c r="N518" t="s">
        <v>222</v>
      </c>
      <c r="O518" t="s">
        <v>2965</v>
      </c>
      <c r="P518" t="s">
        <v>2981</v>
      </c>
      <c r="Q518" t="str">
        <f>IF($C518="","",IFERROR(VLOOKUP($C518,sources!$A$2:$N$200,2,FALSE()),"?"))</f>
        <v>Map</v>
      </c>
      <c r="S518" t="str">
        <f>IF($C518="","",IFERROR(VLOOKUP($C518,sources!$A$2:$N$200,9,FALSE()),"?"))</f>
        <v>US official</v>
      </c>
    </row>
    <row r="519" spans="1:19" x14ac:dyDescent="0.2">
      <c r="A519" t="s">
        <v>2982</v>
      </c>
      <c r="B519" t="s">
        <v>272</v>
      </c>
      <c r="C519" t="s">
        <v>1198</v>
      </c>
      <c r="D519" t="s">
        <v>1594</v>
      </c>
      <c r="E519" t="s">
        <v>273</v>
      </c>
      <c r="G519">
        <v>9.1025600000000004</v>
      </c>
      <c r="H519">
        <v>-79.691779999999994</v>
      </c>
      <c r="I519" t="s">
        <v>1595</v>
      </c>
      <c r="J519">
        <v>390</v>
      </c>
      <c r="K519">
        <v>1909</v>
      </c>
      <c r="L519">
        <v>1909</v>
      </c>
      <c r="M519" t="s">
        <v>222</v>
      </c>
      <c r="N519" t="s">
        <v>228</v>
      </c>
      <c r="O519" t="s">
        <v>2965</v>
      </c>
      <c r="P519" t="s">
        <v>2983</v>
      </c>
      <c r="Q519" t="str">
        <f>IF($C519="","",IFERROR(VLOOKUP($C519,sources!$A$2:$N$200,2,FALSE()),"?"))</f>
        <v>Map</v>
      </c>
      <c r="S519" t="str">
        <f>IF($C519="","",IFERROR(VLOOKUP($C519,sources!$A$2:$N$200,9,FALSE()),"?"))</f>
        <v>US official</v>
      </c>
    </row>
    <row r="520" spans="1:19" x14ac:dyDescent="0.2">
      <c r="A520" t="s">
        <v>2984</v>
      </c>
      <c r="B520" t="s">
        <v>280</v>
      </c>
      <c r="C520" t="s">
        <v>1198</v>
      </c>
      <c r="D520" t="s">
        <v>1594</v>
      </c>
      <c r="E520" t="s">
        <v>281</v>
      </c>
      <c r="G520">
        <v>9.0856100000000009</v>
      </c>
      <c r="H520">
        <v>-79.682450000000003</v>
      </c>
      <c r="I520" t="s">
        <v>1595</v>
      </c>
      <c r="J520">
        <v>390</v>
      </c>
      <c r="K520">
        <v>1909</v>
      </c>
      <c r="L520">
        <v>1909</v>
      </c>
      <c r="M520" t="s">
        <v>222</v>
      </c>
      <c r="N520" t="s">
        <v>228</v>
      </c>
      <c r="O520" t="s">
        <v>2965</v>
      </c>
      <c r="P520" t="s">
        <v>2985</v>
      </c>
      <c r="Q520" t="str">
        <f>IF($C520="","",IFERROR(VLOOKUP($C520,sources!$A$2:$N$200,2,FALSE()),"?"))</f>
        <v>Map</v>
      </c>
      <c r="S520" t="str">
        <f>IF($C520="","",IFERROR(VLOOKUP($C520,sources!$A$2:$N$200,9,FALSE()),"?"))</f>
        <v>US official</v>
      </c>
    </row>
    <row r="521" spans="1:19" x14ac:dyDescent="0.2">
      <c r="A521" t="s">
        <v>2986</v>
      </c>
      <c r="B521" t="s">
        <v>284</v>
      </c>
      <c r="C521" t="s">
        <v>1198</v>
      </c>
      <c r="D521" t="s">
        <v>1594</v>
      </c>
      <c r="E521" t="s">
        <v>285</v>
      </c>
      <c r="G521">
        <v>9.1939799999999998</v>
      </c>
      <c r="H521">
        <v>-79.857010000000002</v>
      </c>
      <c r="I521" t="s">
        <v>1595</v>
      </c>
      <c r="J521">
        <v>300</v>
      </c>
      <c r="K521">
        <v>1909</v>
      </c>
      <c r="L521">
        <v>1909</v>
      </c>
      <c r="M521" t="s">
        <v>222</v>
      </c>
      <c r="N521" t="s">
        <v>222</v>
      </c>
      <c r="O521" t="s">
        <v>2965</v>
      </c>
      <c r="P521" t="s">
        <v>2966</v>
      </c>
      <c r="Q521" t="str">
        <f>IF($C521="","",IFERROR(VLOOKUP($C521,sources!$A$2:$N$200,2,FALSE()),"?"))</f>
        <v>Map</v>
      </c>
      <c r="S521" t="str">
        <f>IF($C521="","",IFERROR(VLOOKUP($C521,sources!$A$2:$N$200,9,FALSE()),"?"))</f>
        <v>US official</v>
      </c>
    </row>
    <row r="522" spans="1:19" x14ac:dyDescent="0.2">
      <c r="A522" t="s">
        <v>2987</v>
      </c>
      <c r="B522" t="s">
        <v>354</v>
      </c>
      <c r="C522" t="s">
        <v>1198</v>
      </c>
      <c r="D522" t="s">
        <v>1594</v>
      </c>
      <c r="E522" t="s">
        <v>355</v>
      </c>
      <c r="G522">
        <v>8.9594100000000001</v>
      </c>
      <c r="H522">
        <v>-79.561989999999994</v>
      </c>
      <c r="I522" t="s">
        <v>1595</v>
      </c>
      <c r="J522">
        <v>300</v>
      </c>
      <c r="K522">
        <v>1909</v>
      </c>
      <c r="L522">
        <v>1909</v>
      </c>
      <c r="M522" t="s">
        <v>222</v>
      </c>
      <c r="N522" t="s">
        <v>222</v>
      </c>
      <c r="O522" t="s">
        <v>2965</v>
      </c>
      <c r="P522" t="s">
        <v>2988</v>
      </c>
      <c r="Q522" t="str">
        <f>IF($C522="","",IFERROR(VLOOKUP($C522,sources!$A$2:$N$200,2,FALSE()),"?"))</f>
        <v>Map</v>
      </c>
      <c r="S522" t="str">
        <f>IF($C522="","",IFERROR(VLOOKUP($C522,sources!$A$2:$N$200,9,FALSE()),"?"))</f>
        <v>US official</v>
      </c>
    </row>
    <row r="523" spans="1:19" x14ac:dyDescent="0.2">
      <c r="A523" t="s">
        <v>2989</v>
      </c>
      <c r="B523" t="s">
        <v>359</v>
      </c>
      <c r="C523" t="s">
        <v>1198</v>
      </c>
      <c r="D523" t="s">
        <v>1594</v>
      </c>
      <c r="E523" t="s">
        <v>2990</v>
      </c>
      <c r="G523">
        <v>9.0322300000000002</v>
      </c>
      <c r="H523">
        <v>-79.662390000000002</v>
      </c>
      <c r="I523" t="s">
        <v>1595</v>
      </c>
      <c r="J523">
        <v>390</v>
      </c>
      <c r="K523">
        <v>1909</v>
      </c>
      <c r="L523">
        <v>1909</v>
      </c>
      <c r="M523" t="s">
        <v>222</v>
      </c>
      <c r="N523" t="s">
        <v>228</v>
      </c>
      <c r="O523" t="s">
        <v>2965</v>
      </c>
      <c r="P523" t="s">
        <v>2991</v>
      </c>
      <c r="Q523" t="str">
        <f>IF($C523="","",IFERROR(VLOOKUP($C523,sources!$A$2:$N$200,2,FALSE()),"?"))</f>
        <v>Map</v>
      </c>
      <c r="S523" t="str">
        <f>IF($C523="","",IFERROR(VLOOKUP($C523,sources!$A$2:$N$200,9,FALSE()),"?"))</f>
        <v>US official</v>
      </c>
    </row>
    <row r="524" spans="1:19" x14ac:dyDescent="0.2">
      <c r="A524" t="s">
        <v>2992</v>
      </c>
      <c r="B524" t="s">
        <v>363</v>
      </c>
      <c r="C524" t="s">
        <v>1198</v>
      </c>
      <c r="D524" t="s">
        <v>1594</v>
      </c>
      <c r="E524" t="s">
        <v>2993</v>
      </c>
      <c r="G524">
        <v>9.0237800000000004</v>
      </c>
      <c r="H524">
        <v>-79.601070000000007</v>
      </c>
      <c r="I524" t="s">
        <v>1595</v>
      </c>
      <c r="J524">
        <v>300</v>
      </c>
      <c r="K524">
        <v>1909</v>
      </c>
      <c r="L524">
        <v>1909</v>
      </c>
      <c r="M524" t="s">
        <v>222</v>
      </c>
      <c r="N524" t="s">
        <v>222</v>
      </c>
      <c r="O524" t="s">
        <v>2965</v>
      </c>
      <c r="P524" t="s">
        <v>2994</v>
      </c>
      <c r="Q524" t="str">
        <f>IF($C524="","",IFERROR(VLOOKUP($C524,sources!$A$2:$N$200,2,FALSE()),"?"))</f>
        <v>Map</v>
      </c>
      <c r="S524" t="str">
        <f>IF($C524="","",IFERROR(VLOOKUP($C524,sources!$A$2:$N$200,9,FALSE()),"?"))</f>
        <v>US official</v>
      </c>
    </row>
    <row r="525" spans="1:19" x14ac:dyDescent="0.2">
      <c r="A525" t="s">
        <v>2995</v>
      </c>
      <c r="B525" t="s">
        <v>370</v>
      </c>
      <c r="C525" t="s">
        <v>1198</v>
      </c>
      <c r="D525" t="s">
        <v>1594</v>
      </c>
      <c r="E525" t="s">
        <v>371</v>
      </c>
      <c r="G525">
        <v>8.9805100000000007</v>
      </c>
      <c r="H525">
        <v>-79.571579999999997</v>
      </c>
      <c r="I525" t="s">
        <v>1595</v>
      </c>
      <c r="J525">
        <v>390</v>
      </c>
      <c r="K525">
        <v>1909</v>
      </c>
      <c r="L525">
        <v>1909</v>
      </c>
      <c r="M525" t="s">
        <v>222</v>
      </c>
      <c r="N525" t="s">
        <v>228</v>
      </c>
      <c r="O525" t="s">
        <v>2965</v>
      </c>
      <c r="P525" t="s">
        <v>2996</v>
      </c>
      <c r="Q525" t="str">
        <f>IF($C525="","",IFERROR(VLOOKUP($C525,sources!$A$2:$N$200,2,FALSE()),"?"))</f>
        <v>Map</v>
      </c>
      <c r="S525" t="str">
        <f>IF($C525="","",IFERROR(VLOOKUP($C525,sources!$A$2:$N$200,9,FALSE()),"?"))</f>
        <v>US official</v>
      </c>
    </row>
    <row r="526" spans="1:19" x14ac:dyDescent="0.2">
      <c r="A526" t="s">
        <v>2997</v>
      </c>
      <c r="B526" t="s">
        <v>373</v>
      </c>
      <c r="C526" t="s">
        <v>1198</v>
      </c>
      <c r="D526" t="s">
        <v>1594</v>
      </c>
      <c r="E526" t="s">
        <v>374</v>
      </c>
      <c r="G526">
        <v>9.1638800000000007</v>
      </c>
      <c r="H526">
        <v>-79.807980000000001</v>
      </c>
      <c r="I526" t="s">
        <v>1595</v>
      </c>
      <c r="J526">
        <v>390</v>
      </c>
      <c r="K526">
        <v>1909</v>
      </c>
      <c r="L526">
        <v>1909</v>
      </c>
      <c r="M526" t="s">
        <v>222</v>
      </c>
      <c r="N526" t="s">
        <v>228</v>
      </c>
      <c r="O526" t="s">
        <v>2965</v>
      </c>
      <c r="P526" t="s">
        <v>2998</v>
      </c>
      <c r="Q526" t="str">
        <f>IF($C526="","",IFERROR(VLOOKUP($C526,sources!$A$2:$N$200,2,FALSE()),"?"))</f>
        <v>Map</v>
      </c>
      <c r="S526" t="str">
        <f>IF($C526="","",IFERROR(VLOOKUP($C526,sources!$A$2:$N$200,9,FALSE()),"?"))</f>
        <v>US official</v>
      </c>
    </row>
    <row r="527" spans="1:19" x14ac:dyDescent="0.2">
      <c r="A527" t="s">
        <v>2999</v>
      </c>
      <c r="B527" t="s">
        <v>376</v>
      </c>
      <c r="C527" t="s">
        <v>1198</v>
      </c>
      <c r="D527" t="s">
        <v>1594</v>
      </c>
      <c r="E527" t="s">
        <v>377</v>
      </c>
      <c r="G527">
        <v>9.0269700000000004</v>
      </c>
      <c r="H527">
        <v>-79.624989999999997</v>
      </c>
      <c r="I527" t="s">
        <v>1595</v>
      </c>
      <c r="J527">
        <v>390</v>
      </c>
      <c r="K527">
        <v>1909</v>
      </c>
      <c r="L527">
        <v>1909</v>
      </c>
      <c r="M527" t="s">
        <v>222</v>
      </c>
      <c r="N527" t="s">
        <v>228</v>
      </c>
      <c r="O527" t="s">
        <v>2965</v>
      </c>
      <c r="P527" t="s">
        <v>3000</v>
      </c>
      <c r="Q527" t="str">
        <f>IF($C527="","",IFERROR(VLOOKUP($C527,sources!$A$2:$N$200,2,FALSE()),"?"))</f>
        <v>Map</v>
      </c>
      <c r="S527" t="str">
        <f>IF($C527="","",IFERROR(VLOOKUP($C527,sources!$A$2:$N$200,9,FALSE()),"?"))</f>
        <v>US official</v>
      </c>
    </row>
    <row r="528" spans="1:19" x14ac:dyDescent="0.2">
      <c r="A528" t="s">
        <v>3001</v>
      </c>
      <c r="B528" t="s">
        <v>379</v>
      </c>
      <c r="C528" t="s">
        <v>1198</v>
      </c>
      <c r="D528" t="s">
        <v>1594</v>
      </c>
      <c r="E528" t="s">
        <v>380</v>
      </c>
      <c r="G528">
        <v>9.1159800000000004</v>
      </c>
      <c r="H528">
        <v>-79.773049999999998</v>
      </c>
      <c r="I528" t="s">
        <v>1595</v>
      </c>
      <c r="J528">
        <v>300</v>
      </c>
      <c r="K528">
        <v>1909</v>
      </c>
      <c r="L528">
        <v>1909</v>
      </c>
      <c r="M528" t="s">
        <v>222</v>
      </c>
      <c r="N528" t="s">
        <v>222</v>
      </c>
      <c r="O528" t="s">
        <v>2965</v>
      </c>
      <c r="P528" t="s">
        <v>2966</v>
      </c>
      <c r="Q528" t="str">
        <f>IF($C528="","",IFERROR(VLOOKUP($C528,sources!$A$2:$N$200,2,FALSE()),"?"))</f>
        <v>Map</v>
      </c>
      <c r="S528" t="str">
        <f>IF($C528="","",IFERROR(VLOOKUP($C528,sources!$A$2:$N$200,9,FALSE()),"?"))</f>
        <v>US official</v>
      </c>
    </row>
    <row r="529" spans="1:19" x14ac:dyDescent="0.2">
      <c r="A529" t="s">
        <v>3002</v>
      </c>
      <c r="B529" t="s">
        <v>382</v>
      </c>
      <c r="C529" t="s">
        <v>1198</v>
      </c>
      <c r="D529" t="s">
        <v>1594</v>
      </c>
      <c r="E529" t="s">
        <v>383</v>
      </c>
      <c r="G529">
        <v>9.12303</v>
      </c>
      <c r="H529">
        <v>-79.792420000000007</v>
      </c>
      <c r="I529" t="s">
        <v>1595</v>
      </c>
      <c r="J529">
        <v>300</v>
      </c>
      <c r="K529">
        <v>1909</v>
      </c>
      <c r="L529">
        <v>1909</v>
      </c>
      <c r="M529" t="s">
        <v>222</v>
      </c>
      <c r="N529" t="s">
        <v>222</v>
      </c>
      <c r="O529" t="s">
        <v>2965</v>
      </c>
      <c r="P529" t="s">
        <v>2966</v>
      </c>
      <c r="Q529" t="str">
        <f>IF($C529="","",IFERROR(VLOOKUP($C529,sources!$A$2:$N$200,2,FALSE()),"?"))</f>
        <v>Map</v>
      </c>
      <c r="S529" t="str">
        <f>IF($C529="","",IFERROR(VLOOKUP($C529,sources!$A$2:$N$200,9,FALSE()),"?"))</f>
        <v>US official</v>
      </c>
    </row>
    <row r="530" spans="1:19" x14ac:dyDescent="0.2">
      <c r="A530" t="s">
        <v>3003</v>
      </c>
      <c r="B530" t="s">
        <v>388</v>
      </c>
      <c r="C530" t="s">
        <v>1198</v>
      </c>
      <c r="D530" t="s">
        <v>1594</v>
      </c>
      <c r="E530" t="s">
        <v>389</v>
      </c>
      <c r="G530">
        <v>9.1177700000000002</v>
      </c>
      <c r="H530">
        <v>-79.671980000000005</v>
      </c>
      <c r="I530" t="s">
        <v>1595</v>
      </c>
      <c r="J530">
        <v>300</v>
      </c>
      <c r="K530">
        <v>1909</v>
      </c>
      <c r="L530">
        <v>1909</v>
      </c>
      <c r="M530" t="s">
        <v>222</v>
      </c>
      <c r="N530" t="s">
        <v>222</v>
      </c>
      <c r="O530" t="s">
        <v>2965</v>
      </c>
      <c r="P530" t="s">
        <v>3004</v>
      </c>
      <c r="Q530" t="str">
        <f>IF($C530="","",IFERROR(VLOOKUP($C530,sources!$A$2:$N$200,2,FALSE()),"?"))</f>
        <v>Map</v>
      </c>
      <c r="S530" t="str">
        <f>IF($C530="","",IFERROR(VLOOKUP($C530,sources!$A$2:$N$200,9,FALSE()),"?"))</f>
        <v>US official</v>
      </c>
    </row>
    <row r="531" spans="1:19" x14ac:dyDescent="0.2">
      <c r="A531" t="s">
        <v>3005</v>
      </c>
      <c r="B531" t="s">
        <v>393</v>
      </c>
      <c r="C531" t="s">
        <v>1198</v>
      </c>
      <c r="D531" t="s">
        <v>1594</v>
      </c>
      <c r="E531" t="s">
        <v>3006</v>
      </c>
      <c r="G531">
        <v>9.0014699999999994</v>
      </c>
      <c r="H531">
        <v>-79.581879999999998</v>
      </c>
      <c r="I531" t="s">
        <v>1595</v>
      </c>
      <c r="J531">
        <v>300</v>
      </c>
      <c r="K531">
        <v>1909</v>
      </c>
      <c r="L531">
        <v>1909</v>
      </c>
      <c r="M531" t="s">
        <v>222</v>
      </c>
      <c r="N531" t="s">
        <v>222</v>
      </c>
      <c r="O531" t="s">
        <v>2965</v>
      </c>
      <c r="P531" t="s">
        <v>2983</v>
      </c>
      <c r="Q531" t="str">
        <f>IF($C531="","",IFERROR(VLOOKUP($C531,sources!$A$2:$N$200,2,FALSE()),"?"))</f>
        <v>Map</v>
      </c>
      <c r="S531" t="str">
        <f>IF($C531="","",IFERROR(VLOOKUP($C531,sources!$A$2:$N$200,9,FALSE()),"?"))</f>
        <v>US official</v>
      </c>
    </row>
    <row r="532" spans="1:19" x14ac:dyDescent="0.2">
      <c r="A532" t="s">
        <v>3007</v>
      </c>
      <c r="B532" t="s">
        <v>397</v>
      </c>
      <c r="C532" t="s">
        <v>1198</v>
      </c>
      <c r="D532" t="s">
        <v>1594</v>
      </c>
      <c r="E532" t="s">
        <v>398</v>
      </c>
      <c r="G532">
        <v>9.0312699999999992</v>
      </c>
      <c r="H532">
        <v>-79.633669999999995</v>
      </c>
      <c r="I532" t="s">
        <v>1595</v>
      </c>
      <c r="J532">
        <v>390</v>
      </c>
      <c r="K532">
        <v>1909</v>
      </c>
      <c r="L532">
        <v>1909</v>
      </c>
      <c r="M532" t="s">
        <v>222</v>
      </c>
      <c r="N532" t="s">
        <v>228</v>
      </c>
      <c r="O532" t="s">
        <v>2965</v>
      </c>
      <c r="P532" t="s">
        <v>3008</v>
      </c>
      <c r="Q532" t="str">
        <f>IF($C532="","",IFERROR(VLOOKUP($C532,sources!$A$2:$N$200,2,FALSE()),"?"))</f>
        <v>Map</v>
      </c>
      <c r="S532" t="str">
        <f>IF($C532="","",IFERROR(VLOOKUP($C532,sources!$A$2:$N$200,9,FALSE()),"?"))</f>
        <v>US official</v>
      </c>
    </row>
    <row r="533" spans="1:19" x14ac:dyDescent="0.2">
      <c r="A533" t="s">
        <v>3009</v>
      </c>
      <c r="B533" t="s">
        <v>405</v>
      </c>
      <c r="C533" t="s">
        <v>1198</v>
      </c>
      <c r="D533" t="s">
        <v>1594</v>
      </c>
      <c r="E533" t="s">
        <v>3010</v>
      </c>
      <c r="G533">
        <v>9.1847899999999996</v>
      </c>
      <c r="H533">
        <v>-79.828909999999993</v>
      </c>
      <c r="I533" t="s">
        <v>1595</v>
      </c>
      <c r="J533">
        <v>600</v>
      </c>
      <c r="K533">
        <v>1909</v>
      </c>
      <c r="L533">
        <v>1909</v>
      </c>
      <c r="M533" t="s">
        <v>222</v>
      </c>
      <c r="N533" t="s">
        <v>209</v>
      </c>
      <c r="O533" t="s">
        <v>2965</v>
      </c>
      <c r="P533" t="s">
        <v>2998</v>
      </c>
      <c r="Q533" t="str">
        <f>IF($C533="","",IFERROR(VLOOKUP($C533,sources!$A$2:$N$200,2,FALSE()),"?"))</f>
        <v>Map</v>
      </c>
      <c r="S533" t="str">
        <f>IF($C533="","",IFERROR(VLOOKUP($C533,sources!$A$2:$N$200,9,FALSE()),"?"))</f>
        <v>US official</v>
      </c>
    </row>
    <row r="534" spans="1:19" x14ac:dyDescent="0.2">
      <c r="A534" t="s">
        <v>3011</v>
      </c>
      <c r="B534" t="s">
        <v>792</v>
      </c>
      <c r="C534" t="s">
        <v>1198</v>
      </c>
      <c r="D534" t="s">
        <v>1594</v>
      </c>
      <c r="E534" t="s">
        <v>2939</v>
      </c>
      <c r="G534">
        <v>9.0921199999999995</v>
      </c>
      <c r="H534">
        <v>-79.684479999999994</v>
      </c>
      <c r="I534" t="s">
        <v>1595</v>
      </c>
      <c r="J534">
        <v>600</v>
      </c>
      <c r="K534">
        <v>1909</v>
      </c>
      <c r="L534">
        <v>1909</v>
      </c>
      <c r="M534" t="s">
        <v>222</v>
      </c>
      <c r="N534" t="s">
        <v>209</v>
      </c>
      <c r="O534" t="s">
        <v>2965</v>
      </c>
      <c r="P534" t="s">
        <v>3012</v>
      </c>
      <c r="Q534" t="str">
        <f>IF($C534="","",IFERROR(VLOOKUP($C534,sources!$A$2:$N$200,2,FALSE()),"?"))</f>
        <v>Map</v>
      </c>
      <c r="S534" t="str">
        <f>IF($C534="","",IFERROR(VLOOKUP($C534,sources!$A$2:$N$200,9,FALSE()),"?"))</f>
        <v>US official</v>
      </c>
    </row>
    <row r="535" spans="1:19" x14ac:dyDescent="0.2">
      <c r="A535" t="s">
        <v>3013</v>
      </c>
      <c r="B535" t="s">
        <v>408</v>
      </c>
      <c r="C535" t="s">
        <v>1198</v>
      </c>
      <c r="D535" t="s">
        <v>1594</v>
      </c>
      <c r="E535" t="s">
        <v>3014</v>
      </c>
      <c r="G535">
        <v>9.2251999999999992</v>
      </c>
      <c r="H535">
        <v>-79.900919999999999</v>
      </c>
      <c r="I535" t="s">
        <v>1595</v>
      </c>
      <c r="J535">
        <v>600</v>
      </c>
      <c r="K535">
        <v>1909</v>
      </c>
      <c r="L535">
        <v>1909</v>
      </c>
      <c r="M535" t="s">
        <v>222</v>
      </c>
      <c r="N535" t="s">
        <v>209</v>
      </c>
      <c r="O535" t="s">
        <v>2965</v>
      </c>
      <c r="P535" t="s">
        <v>3015</v>
      </c>
      <c r="Q535" t="str">
        <f>IF($C535="","",IFERROR(VLOOKUP($C535,sources!$A$2:$N$200,2,FALSE()),"?"))</f>
        <v>Map</v>
      </c>
      <c r="S535" t="str">
        <f>IF($C535="","",IFERROR(VLOOKUP($C535,sources!$A$2:$N$200,9,FALSE()),"?"))</f>
        <v>US official</v>
      </c>
    </row>
    <row r="536" spans="1:19" x14ac:dyDescent="0.2">
      <c r="A536" t="s">
        <v>3016</v>
      </c>
      <c r="B536" t="s">
        <v>417</v>
      </c>
      <c r="C536" t="s">
        <v>1198</v>
      </c>
      <c r="D536" t="s">
        <v>1594</v>
      </c>
      <c r="E536" t="s">
        <v>418</v>
      </c>
      <c r="G536">
        <v>9.0966699999999996</v>
      </c>
      <c r="H536">
        <v>-79.699809999999999</v>
      </c>
      <c r="I536" t="s">
        <v>1595</v>
      </c>
      <c r="J536">
        <v>600</v>
      </c>
      <c r="K536">
        <v>1909</v>
      </c>
      <c r="L536">
        <v>1909</v>
      </c>
      <c r="M536" t="s">
        <v>222</v>
      </c>
      <c r="N536" t="s">
        <v>209</v>
      </c>
      <c r="O536" t="s">
        <v>2965</v>
      </c>
      <c r="P536" t="s">
        <v>3017</v>
      </c>
      <c r="Q536" t="str">
        <f>IF($C536="","",IFERROR(VLOOKUP($C536,sources!$A$2:$N$200,2,FALSE()),"?"))</f>
        <v>Map</v>
      </c>
      <c r="S536" t="str">
        <f>IF($C536="","",IFERROR(VLOOKUP($C536,sources!$A$2:$N$200,9,FALSE()),"?"))</f>
        <v>US official</v>
      </c>
    </row>
    <row r="537" spans="1:19" x14ac:dyDescent="0.2">
      <c r="A537" t="s">
        <v>3018</v>
      </c>
      <c r="B537" t="s">
        <v>422</v>
      </c>
      <c r="C537" t="s">
        <v>1198</v>
      </c>
      <c r="D537" t="s">
        <v>1594</v>
      </c>
      <c r="E537" t="s">
        <v>423</v>
      </c>
      <c r="G537">
        <v>9.2379099999999994</v>
      </c>
      <c r="H537">
        <v>-79.874780000000001</v>
      </c>
      <c r="I537" t="s">
        <v>1595</v>
      </c>
      <c r="J537">
        <v>600</v>
      </c>
      <c r="K537">
        <v>1909</v>
      </c>
      <c r="L537">
        <v>1909</v>
      </c>
      <c r="M537" t="s">
        <v>222</v>
      </c>
      <c r="N537" t="s">
        <v>209</v>
      </c>
      <c r="O537" t="s">
        <v>2965</v>
      </c>
      <c r="P537" t="s">
        <v>3019</v>
      </c>
      <c r="Q537" t="str">
        <f>IF($C537="","",IFERROR(VLOOKUP($C537,sources!$A$2:$N$200,2,FALSE()),"?"))</f>
        <v>Map</v>
      </c>
      <c r="S537" t="str">
        <f>IF($C537="","",IFERROR(VLOOKUP($C537,sources!$A$2:$N$200,9,FALSE()),"?"))</f>
        <v>US official</v>
      </c>
    </row>
    <row r="538" spans="1:19" x14ac:dyDescent="0.2">
      <c r="A538" t="s">
        <v>3020</v>
      </c>
      <c r="B538" t="s">
        <v>426</v>
      </c>
      <c r="C538" t="s">
        <v>1198</v>
      </c>
      <c r="D538" t="s">
        <v>1594</v>
      </c>
      <c r="E538" t="s">
        <v>427</v>
      </c>
      <c r="G538">
        <v>9.3695500000000003</v>
      </c>
      <c r="H538">
        <v>-79.947069999999997</v>
      </c>
      <c r="I538" t="s">
        <v>1595</v>
      </c>
      <c r="J538">
        <v>300</v>
      </c>
      <c r="K538">
        <v>1909</v>
      </c>
      <c r="L538">
        <v>1909</v>
      </c>
      <c r="M538" t="s">
        <v>222</v>
      </c>
      <c r="N538" t="s">
        <v>222</v>
      </c>
      <c r="O538" t="s">
        <v>2965</v>
      </c>
      <c r="P538" t="s">
        <v>3021</v>
      </c>
      <c r="Q538" t="str">
        <f>IF($C538="","",IFERROR(VLOOKUP($C538,sources!$A$2:$N$200,2,FALSE()),"?"))</f>
        <v>Map</v>
      </c>
      <c r="S538" t="str">
        <f>IF($C538="","",IFERROR(VLOOKUP($C538,sources!$A$2:$N$200,9,FALSE()),"?"))</f>
        <v>US official</v>
      </c>
    </row>
    <row r="539" spans="1:19" x14ac:dyDescent="0.2">
      <c r="A539" t="s">
        <v>3022</v>
      </c>
      <c r="B539" t="s">
        <v>430</v>
      </c>
      <c r="C539" t="s">
        <v>1198</v>
      </c>
      <c r="D539" t="s">
        <v>1594</v>
      </c>
      <c r="E539" t="s">
        <v>3023</v>
      </c>
      <c r="G539">
        <v>8.9421900000000001</v>
      </c>
      <c r="H539">
        <v>-79.57347</v>
      </c>
      <c r="I539" t="s">
        <v>1595</v>
      </c>
      <c r="J539">
        <v>300</v>
      </c>
      <c r="K539">
        <v>1909</v>
      </c>
      <c r="L539">
        <v>1909</v>
      </c>
      <c r="M539" t="s">
        <v>222</v>
      </c>
      <c r="N539" t="s">
        <v>222</v>
      </c>
      <c r="O539" t="s">
        <v>2965</v>
      </c>
      <c r="P539" t="s">
        <v>3024</v>
      </c>
      <c r="Q539" t="str">
        <f>IF($C539="","",IFERROR(VLOOKUP($C539,sources!$A$2:$N$200,2,FALSE()),"?"))</f>
        <v>Map</v>
      </c>
      <c r="S539" t="str">
        <f>IF($C539="","",IFERROR(VLOOKUP($C539,sources!$A$2:$N$200,9,FALSE()),"?"))</f>
        <v>US official</v>
      </c>
    </row>
    <row r="540" spans="1:19" x14ac:dyDescent="0.2">
      <c r="A540" t="s">
        <v>3025</v>
      </c>
      <c r="B540" t="s">
        <v>439</v>
      </c>
      <c r="C540" t="s">
        <v>1198</v>
      </c>
      <c r="D540" t="s">
        <v>1594</v>
      </c>
      <c r="E540" t="s">
        <v>3026</v>
      </c>
      <c r="G540">
        <v>8.7942999999999998</v>
      </c>
      <c r="H540">
        <v>-79.55471</v>
      </c>
      <c r="I540" t="s">
        <v>1595</v>
      </c>
      <c r="J540">
        <v>390</v>
      </c>
      <c r="K540">
        <v>1909</v>
      </c>
      <c r="L540">
        <v>1909</v>
      </c>
      <c r="M540" t="s">
        <v>222</v>
      </c>
      <c r="N540" t="s">
        <v>228</v>
      </c>
      <c r="O540" t="s">
        <v>2965</v>
      </c>
      <c r="P540" t="s">
        <v>3027</v>
      </c>
      <c r="Q540" t="str">
        <f>IF($C540="","",IFERROR(VLOOKUP($C540,sources!$A$2:$N$200,2,FALSE()),"?"))</f>
        <v>Map</v>
      </c>
      <c r="S540" t="str">
        <f>IF($C540="","",IFERROR(VLOOKUP($C540,sources!$A$2:$N$200,9,FALSE()),"?"))</f>
        <v>US official</v>
      </c>
    </row>
    <row r="541" spans="1:19" x14ac:dyDescent="0.2">
      <c r="A541" t="s">
        <v>3028</v>
      </c>
      <c r="B541" t="s">
        <v>443</v>
      </c>
      <c r="C541" t="s">
        <v>1198</v>
      </c>
      <c r="D541" t="s">
        <v>1594</v>
      </c>
      <c r="E541" t="s">
        <v>444</v>
      </c>
      <c r="G541">
        <v>9.5538100000000004</v>
      </c>
      <c r="H541">
        <v>-79.654920000000004</v>
      </c>
      <c r="I541" t="s">
        <v>1595</v>
      </c>
      <c r="J541">
        <v>390</v>
      </c>
      <c r="K541">
        <v>1909</v>
      </c>
      <c r="L541">
        <v>1909</v>
      </c>
      <c r="M541" t="s">
        <v>222</v>
      </c>
      <c r="N541" t="s">
        <v>228</v>
      </c>
      <c r="O541" t="s">
        <v>2965</v>
      </c>
      <c r="P541" t="s">
        <v>3029</v>
      </c>
      <c r="Q541" t="str">
        <f>IF($C541="","",IFERROR(VLOOKUP($C541,sources!$A$2:$N$200,2,FALSE()),"?"))</f>
        <v>Map</v>
      </c>
      <c r="S541" t="str">
        <f>IF($C541="","",IFERROR(VLOOKUP($C541,sources!$A$2:$N$200,9,FALSE()),"?"))</f>
        <v>US official</v>
      </c>
    </row>
    <row r="542" spans="1:19" x14ac:dyDescent="0.2">
      <c r="A542" t="s">
        <v>3030</v>
      </c>
      <c r="B542" t="s">
        <v>452</v>
      </c>
      <c r="C542" t="s">
        <v>1198</v>
      </c>
      <c r="D542" t="s">
        <v>1594</v>
      </c>
      <c r="E542" t="s">
        <v>453</v>
      </c>
      <c r="G542">
        <v>9.11632</v>
      </c>
      <c r="H542">
        <v>-79.736750000000001</v>
      </c>
      <c r="I542" t="s">
        <v>1595</v>
      </c>
      <c r="J542">
        <v>390</v>
      </c>
      <c r="K542">
        <v>1909</v>
      </c>
      <c r="L542">
        <v>1909</v>
      </c>
      <c r="M542" t="s">
        <v>222</v>
      </c>
      <c r="N542" t="s">
        <v>228</v>
      </c>
      <c r="O542" t="s">
        <v>2965</v>
      </c>
      <c r="P542" t="s">
        <v>2970</v>
      </c>
      <c r="Q542" t="str">
        <f>IF($C542="","",IFERROR(VLOOKUP($C542,sources!$A$2:$N$200,2,FALSE()),"?"))</f>
        <v>Map</v>
      </c>
      <c r="S542" t="str">
        <f>IF($C542="","",IFERROR(VLOOKUP($C542,sources!$A$2:$N$200,9,FALSE()),"?"))</f>
        <v>US official</v>
      </c>
    </row>
    <row r="543" spans="1:19" x14ac:dyDescent="0.2">
      <c r="A543" t="s">
        <v>3031</v>
      </c>
      <c r="B543" t="s">
        <v>509</v>
      </c>
      <c r="C543" t="s">
        <v>1198</v>
      </c>
      <c r="D543" t="s">
        <v>1594</v>
      </c>
      <c r="E543" t="s">
        <v>510</v>
      </c>
      <c r="G543">
        <v>9.0790400000000009</v>
      </c>
      <c r="H543">
        <v>-79.677880000000002</v>
      </c>
      <c r="I543" t="s">
        <v>1595</v>
      </c>
      <c r="J543">
        <v>600</v>
      </c>
      <c r="K543">
        <v>1909</v>
      </c>
      <c r="L543">
        <v>1909</v>
      </c>
      <c r="M543" t="s">
        <v>222</v>
      </c>
      <c r="N543" t="s">
        <v>209</v>
      </c>
      <c r="O543" t="s">
        <v>2965</v>
      </c>
      <c r="P543" t="s">
        <v>3008</v>
      </c>
      <c r="Q543" t="str">
        <f>IF($C543="","",IFERROR(VLOOKUP($C543,sources!$A$2:$N$200,2,FALSE()),"?"))</f>
        <v>Map</v>
      </c>
      <c r="S543" t="str">
        <f>IF($C543="","",IFERROR(VLOOKUP($C543,sources!$A$2:$N$200,9,FALSE()),"?"))</f>
        <v>US official</v>
      </c>
    </row>
    <row r="544" spans="1:19" x14ac:dyDescent="0.2">
      <c r="A544" t="s">
        <v>3032</v>
      </c>
      <c r="B544" t="s">
        <v>517</v>
      </c>
      <c r="C544" t="s">
        <v>1198</v>
      </c>
      <c r="D544" t="s">
        <v>1594</v>
      </c>
      <c r="E544" t="s">
        <v>518</v>
      </c>
      <c r="G544">
        <v>9.1789000000000005</v>
      </c>
      <c r="H544">
        <v>-79.870339999999999</v>
      </c>
      <c r="I544" t="s">
        <v>1595</v>
      </c>
      <c r="J544">
        <v>600</v>
      </c>
      <c r="K544">
        <v>1909</v>
      </c>
      <c r="L544">
        <v>1909</v>
      </c>
      <c r="M544" t="s">
        <v>222</v>
      </c>
      <c r="N544" t="s">
        <v>209</v>
      </c>
      <c r="O544" t="s">
        <v>2965</v>
      </c>
      <c r="P544" t="s">
        <v>2972</v>
      </c>
      <c r="Q544" t="str">
        <f>IF($C544="","",IFERROR(VLOOKUP($C544,sources!$A$2:$N$200,2,FALSE()),"?"))</f>
        <v>Map</v>
      </c>
      <c r="S544" t="str">
        <f>IF($C544="","",IFERROR(VLOOKUP($C544,sources!$A$2:$N$200,9,FALSE()),"?"))</f>
        <v>US official</v>
      </c>
    </row>
    <row r="545" spans="1:19" x14ac:dyDescent="0.2">
      <c r="A545" t="s">
        <v>3033</v>
      </c>
      <c r="B545" t="s">
        <v>522</v>
      </c>
      <c r="C545" t="s">
        <v>1198</v>
      </c>
      <c r="D545" t="s">
        <v>1594</v>
      </c>
      <c r="E545" t="s">
        <v>523</v>
      </c>
      <c r="G545">
        <v>9.0201100000000007</v>
      </c>
      <c r="H545">
        <v>-79.627260000000007</v>
      </c>
      <c r="I545" t="s">
        <v>1595</v>
      </c>
      <c r="J545">
        <v>600</v>
      </c>
      <c r="K545">
        <v>1909</v>
      </c>
      <c r="L545">
        <v>1909</v>
      </c>
      <c r="M545" t="s">
        <v>222</v>
      </c>
      <c r="N545" t="s">
        <v>209</v>
      </c>
      <c r="O545" t="s">
        <v>2965</v>
      </c>
      <c r="P545" t="s">
        <v>3008</v>
      </c>
      <c r="Q545" t="str">
        <f>IF($C545="","",IFERROR(VLOOKUP($C545,sources!$A$2:$N$200,2,FALSE()),"?"))</f>
        <v>Map</v>
      </c>
      <c r="S545" t="str">
        <f>IF($C545="","",IFERROR(VLOOKUP($C545,sources!$A$2:$N$200,9,FALSE()),"?"))</f>
        <v>US official</v>
      </c>
    </row>
    <row r="546" spans="1:19" x14ac:dyDescent="0.2">
      <c r="A546" t="s">
        <v>3034</v>
      </c>
      <c r="B546" t="s">
        <v>252</v>
      </c>
      <c r="C546" t="s">
        <v>1323</v>
      </c>
      <c r="D546" t="s">
        <v>1594</v>
      </c>
      <c r="E546" t="s">
        <v>253</v>
      </c>
      <c r="G546">
        <v>9.0617210000000004</v>
      </c>
      <c r="H546">
        <v>-79.673264000000003</v>
      </c>
      <c r="I546" t="s">
        <v>1595</v>
      </c>
      <c r="J546">
        <v>200</v>
      </c>
      <c r="K546">
        <v>1907</v>
      </c>
      <c r="L546">
        <v>1907</v>
      </c>
      <c r="M546" t="s">
        <v>228</v>
      </c>
      <c r="N546" t="s">
        <v>222</v>
      </c>
      <c r="O546" t="s">
        <v>3035</v>
      </c>
      <c r="P546" t="s">
        <v>3036</v>
      </c>
      <c r="Q546" t="str">
        <f>IF($C546="","",IFERROR(VLOOKUP($C546,sources!$A$2:$N$200,2,FALSE()),"?"))</f>
        <v>Map</v>
      </c>
      <c r="S546" t="str">
        <f>IF($C546="","",IFERROR(VLOOKUP($C546,sources!$A$2:$N$200,9,FALSE()),"?"))</f>
        <v>US official</v>
      </c>
    </row>
    <row r="547" spans="1:19" x14ac:dyDescent="0.2">
      <c r="A547" t="s">
        <v>3037</v>
      </c>
      <c r="B547" t="s">
        <v>295</v>
      </c>
      <c r="C547" t="s">
        <v>1323</v>
      </c>
      <c r="D547" t="s">
        <v>1594</v>
      </c>
      <c r="E547" t="s">
        <v>296</v>
      </c>
      <c r="G547">
        <v>9.0625579999999992</v>
      </c>
      <c r="H547">
        <v>-79.671553000000003</v>
      </c>
      <c r="I547" t="s">
        <v>1595</v>
      </c>
      <c r="J547">
        <v>200</v>
      </c>
      <c r="K547">
        <v>1907</v>
      </c>
      <c r="L547">
        <v>1907</v>
      </c>
      <c r="M547" t="s">
        <v>228</v>
      </c>
      <c r="N547" t="s">
        <v>228</v>
      </c>
      <c r="O547" t="s">
        <v>3035</v>
      </c>
      <c r="P547" t="s">
        <v>3038</v>
      </c>
      <c r="Q547" t="str">
        <f>IF($C547="","",IFERROR(VLOOKUP($C547,sources!$A$2:$N$200,2,FALSE()),"?"))</f>
        <v>Map</v>
      </c>
      <c r="S547" t="str">
        <f>IF($C547="","",IFERROR(VLOOKUP($C547,sources!$A$2:$N$200,9,FALSE()),"?"))</f>
        <v>US official</v>
      </c>
    </row>
    <row r="548" spans="1:19" x14ac:dyDescent="0.2">
      <c r="A548" t="s">
        <v>3039</v>
      </c>
      <c r="B548" t="s">
        <v>679</v>
      </c>
      <c r="C548" t="s">
        <v>1323</v>
      </c>
      <c r="D548" t="s">
        <v>1594</v>
      </c>
      <c r="E548" t="s">
        <v>3040</v>
      </c>
      <c r="G548">
        <v>9.0605519999999995</v>
      </c>
      <c r="H548">
        <v>-79.672321999999994</v>
      </c>
      <c r="I548" t="s">
        <v>1595</v>
      </c>
      <c r="J548">
        <v>200</v>
      </c>
      <c r="K548">
        <v>1907</v>
      </c>
      <c r="L548">
        <v>1907</v>
      </c>
      <c r="M548" t="s">
        <v>228</v>
      </c>
      <c r="N548" t="s">
        <v>228</v>
      </c>
      <c r="O548" t="s">
        <v>3035</v>
      </c>
      <c r="P548" t="s">
        <v>3041</v>
      </c>
      <c r="Q548" t="str">
        <f>IF($C548="","",IFERROR(VLOOKUP($C548,sources!$A$2:$N$200,2,FALSE()),"?"))</f>
        <v>Map</v>
      </c>
      <c r="S548" t="str">
        <f>IF($C548="","",IFERROR(VLOOKUP($C548,sources!$A$2:$N$200,9,FALSE()),"?"))</f>
        <v>US official</v>
      </c>
    </row>
    <row r="549" spans="1:19" x14ac:dyDescent="0.2">
      <c r="A549" t="s">
        <v>3042</v>
      </c>
      <c r="B549" t="s">
        <v>345</v>
      </c>
      <c r="C549" t="s">
        <v>1323</v>
      </c>
      <c r="D549" t="s">
        <v>1594</v>
      </c>
      <c r="E549" t="s">
        <v>346</v>
      </c>
      <c r="G549">
        <v>9.0632859999999997</v>
      </c>
      <c r="H549">
        <v>-79.674734000000001</v>
      </c>
      <c r="I549" t="s">
        <v>1595</v>
      </c>
      <c r="J549">
        <v>200</v>
      </c>
      <c r="K549">
        <v>1907</v>
      </c>
      <c r="L549">
        <v>1907</v>
      </c>
      <c r="M549" t="s">
        <v>228</v>
      </c>
      <c r="N549" t="s">
        <v>228</v>
      </c>
      <c r="O549" t="s">
        <v>3035</v>
      </c>
      <c r="P549" t="s">
        <v>3043</v>
      </c>
      <c r="Q549" t="str">
        <f>IF($C549="","",IFERROR(VLOOKUP($C549,sources!$A$2:$N$200,2,FALSE()),"?"))</f>
        <v>Map</v>
      </c>
      <c r="S549" t="str">
        <f>IF($C549="","",IFERROR(VLOOKUP($C549,sources!$A$2:$N$200,9,FALSE()),"?"))</f>
        <v>US official</v>
      </c>
    </row>
    <row r="550" spans="1:19" x14ac:dyDescent="0.2">
      <c r="A550" t="s">
        <v>3044</v>
      </c>
      <c r="B550" t="s">
        <v>266</v>
      </c>
      <c r="C550" t="s">
        <v>1330</v>
      </c>
      <c r="D550" t="s">
        <v>1594</v>
      </c>
      <c r="E550" t="s">
        <v>267</v>
      </c>
      <c r="G550">
        <v>9.039453</v>
      </c>
      <c r="H550">
        <v>-79.648024000000007</v>
      </c>
      <c r="I550" t="s">
        <v>1595</v>
      </c>
      <c r="J550">
        <v>250</v>
      </c>
      <c r="K550">
        <v>1910</v>
      </c>
      <c r="L550">
        <v>1910</v>
      </c>
      <c r="M550" t="s">
        <v>222</v>
      </c>
      <c r="N550" t="s">
        <v>222</v>
      </c>
      <c r="O550" t="s">
        <v>3045</v>
      </c>
      <c r="P550" t="s">
        <v>3046</v>
      </c>
      <c r="Q550" t="str">
        <f>IF($C550="","",IFERROR(VLOOKUP($C550,sources!$A$2:$N$200,2,FALSE()),"?"))</f>
        <v>Map</v>
      </c>
      <c r="S550" t="str">
        <f>IF($C550="","",IFERROR(VLOOKUP($C550,sources!$A$2:$N$200,9,FALSE()),"?"))</f>
        <v>US official</v>
      </c>
    </row>
    <row r="551" spans="1:19" x14ac:dyDescent="0.2">
      <c r="A551" t="s">
        <v>3047</v>
      </c>
      <c r="B551" t="s">
        <v>266</v>
      </c>
      <c r="C551" t="s">
        <v>1336</v>
      </c>
      <c r="D551" t="s">
        <v>1594</v>
      </c>
      <c r="E551" t="s">
        <v>267</v>
      </c>
      <c r="G551">
        <v>9.0518970000000003</v>
      </c>
      <c r="H551">
        <v>-79.655556000000004</v>
      </c>
      <c r="I551" t="s">
        <v>1595</v>
      </c>
      <c r="J551">
        <v>150</v>
      </c>
      <c r="K551">
        <v>1905</v>
      </c>
      <c r="L551">
        <v>1905</v>
      </c>
      <c r="M551" t="s">
        <v>222</v>
      </c>
      <c r="N551" t="s">
        <v>222</v>
      </c>
      <c r="O551" t="s">
        <v>3048</v>
      </c>
      <c r="P551" t="s">
        <v>3049</v>
      </c>
      <c r="Q551" t="str">
        <f>IF($C551="","",IFERROR(VLOOKUP($C551,sources!$A$2:$N$200,2,FALSE()),"?"))</f>
        <v>Map</v>
      </c>
      <c r="S551" t="str">
        <f>IF($C551="","",IFERROR(VLOOKUP($C551,sources!$A$2:$N$200,9,FALSE()),"?"))</f>
        <v>US official</v>
      </c>
    </row>
    <row r="552" spans="1:19" x14ac:dyDescent="0.2">
      <c r="A552" t="s">
        <v>3050</v>
      </c>
      <c r="B552" t="s">
        <v>261</v>
      </c>
      <c r="C552" t="s">
        <v>1342</v>
      </c>
      <c r="D552" t="s">
        <v>1594</v>
      </c>
      <c r="E552" t="s">
        <v>262</v>
      </c>
      <c r="G552">
        <v>9.1153879999999994</v>
      </c>
      <c r="H552">
        <v>-79.725121000000001</v>
      </c>
      <c r="I552" t="s">
        <v>1595</v>
      </c>
      <c r="J552">
        <v>100</v>
      </c>
      <c r="K552">
        <v>1908</v>
      </c>
      <c r="L552">
        <v>1908</v>
      </c>
      <c r="M552" t="s">
        <v>222</v>
      </c>
      <c r="N552" t="s">
        <v>222</v>
      </c>
      <c r="O552" t="s">
        <v>3051</v>
      </c>
      <c r="P552" t="s">
        <v>3052</v>
      </c>
      <c r="Q552" t="str">
        <f>IF($C552="","",IFERROR(VLOOKUP($C552,sources!$A$2:$N$200,2,FALSE()),"?"))</f>
        <v>Map</v>
      </c>
      <c r="S552" t="str">
        <f>IF($C552="","",IFERROR(VLOOKUP($C552,sources!$A$2:$N$200,9,FALSE()),"?"))</f>
        <v>US official</v>
      </c>
    </row>
    <row r="553" spans="1:19" x14ac:dyDescent="0.2">
      <c r="A553" t="s">
        <v>3053</v>
      </c>
      <c r="B553" t="s">
        <v>213</v>
      </c>
      <c r="C553" t="s">
        <v>1354</v>
      </c>
      <c r="D553" t="s">
        <v>1594</v>
      </c>
      <c r="E553" t="s">
        <v>3054</v>
      </c>
      <c r="G553">
        <v>9.1093799999999998</v>
      </c>
      <c r="H553">
        <v>-79.767650000000003</v>
      </c>
      <c r="I553" t="s">
        <v>1595</v>
      </c>
      <c r="J553">
        <v>260</v>
      </c>
      <c r="K553">
        <v>1908</v>
      </c>
      <c r="L553">
        <v>1908</v>
      </c>
      <c r="M553" t="s">
        <v>222</v>
      </c>
      <c r="N553" t="s">
        <v>228</v>
      </c>
      <c r="O553" t="s">
        <v>3055</v>
      </c>
      <c r="P553" t="s">
        <v>3056</v>
      </c>
      <c r="Q553" t="str">
        <f>IF($C553="","",IFERROR(VLOOKUP($C553,sources!$A$2:$N$200,2,FALSE()),"?"))</f>
        <v>Map</v>
      </c>
      <c r="S553" t="str">
        <f>IF($C553="","",IFERROR(VLOOKUP($C553,sources!$A$2:$N$200,9,FALSE()),"?"))</f>
        <v>US official</v>
      </c>
    </row>
    <row r="554" spans="1:19" x14ac:dyDescent="0.2">
      <c r="A554" t="s">
        <v>3057</v>
      </c>
      <c r="B554" t="s">
        <v>218</v>
      </c>
      <c r="C554" t="s">
        <v>1354</v>
      </c>
      <c r="D554" t="s">
        <v>1594</v>
      </c>
      <c r="E554" t="s">
        <v>1590</v>
      </c>
      <c r="G554">
        <v>9.1240000000000006</v>
      </c>
      <c r="H554">
        <v>-79.687650000000005</v>
      </c>
      <c r="I554" t="s">
        <v>1595</v>
      </c>
      <c r="J554">
        <v>200</v>
      </c>
      <c r="K554">
        <v>1908</v>
      </c>
      <c r="L554">
        <v>1908</v>
      </c>
      <c r="M554" t="s">
        <v>222</v>
      </c>
      <c r="N554" t="s">
        <v>222</v>
      </c>
      <c r="O554" t="s">
        <v>3055</v>
      </c>
      <c r="P554" t="s">
        <v>3058</v>
      </c>
      <c r="Q554" t="str">
        <f>IF($C554="","",IFERROR(VLOOKUP($C554,sources!$A$2:$N$200,2,FALSE()),"?"))</f>
        <v>Map</v>
      </c>
      <c r="S554" t="str">
        <f>IF($C554="","",IFERROR(VLOOKUP($C554,sources!$A$2:$N$200,9,FALSE()),"?"))</f>
        <v>US official</v>
      </c>
    </row>
    <row r="555" spans="1:19" x14ac:dyDescent="0.2">
      <c r="A555" t="s">
        <v>3059</v>
      </c>
      <c r="B555" t="s">
        <v>224</v>
      </c>
      <c r="C555" t="s">
        <v>1354</v>
      </c>
      <c r="D555" t="s">
        <v>1594</v>
      </c>
      <c r="E555" t="s">
        <v>225</v>
      </c>
      <c r="G555">
        <v>9.2129100000000008</v>
      </c>
      <c r="H555">
        <v>-79.876000000000005</v>
      </c>
      <c r="I555" t="s">
        <v>1595</v>
      </c>
      <c r="J555">
        <v>200</v>
      </c>
      <c r="K555">
        <v>1908</v>
      </c>
      <c r="L555">
        <v>1908</v>
      </c>
      <c r="M555" t="s">
        <v>222</v>
      </c>
      <c r="N555" t="s">
        <v>222</v>
      </c>
      <c r="O555" t="s">
        <v>3055</v>
      </c>
      <c r="P555" t="s">
        <v>3060</v>
      </c>
      <c r="Q555" t="str">
        <f>IF($C555="","",IFERROR(VLOOKUP($C555,sources!$A$2:$N$200,2,FALSE()),"?"))</f>
        <v>Map</v>
      </c>
      <c r="S555" t="str">
        <f>IF($C555="","",IFERROR(VLOOKUP($C555,sources!$A$2:$N$200,9,FALSE()),"?"))</f>
        <v>US official</v>
      </c>
    </row>
    <row r="556" spans="1:19" x14ac:dyDescent="0.2">
      <c r="A556" t="s">
        <v>3061</v>
      </c>
      <c r="B556" t="s">
        <v>238</v>
      </c>
      <c r="C556" t="s">
        <v>1354</v>
      </c>
      <c r="D556" t="s">
        <v>1594</v>
      </c>
      <c r="E556" t="s">
        <v>3062</v>
      </c>
      <c r="G556">
        <v>9.2687100000000004</v>
      </c>
      <c r="H556">
        <v>-79.929060000000007</v>
      </c>
      <c r="I556" t="s">
        <v>1595</v>
      </c>
      <c r="J556">
        <v>200</v>
      </c>
      <c r="K556">
        <v>1908</v>
      </c>
      <c r="L556">
        <v>1908</v>
      </c>
      <c r="M556" t="s">
        <v>222</v>
      </c>
      <c r="N556" t="s">
        <v>222</v>
      </c>
      <c r="O556" t="s">
        <v>3055</v>
      </c>
      <c r="P556" t="s">
        <v>3063</v>
      </c>
      <c r="Q556" t="str">
        <f>IF($C556="","",IFERROR(VLOOKUP($C556,sources!$A$2:$N$200,2,FALSE()),"?"))</f>
        <v>Map</v>
      </c>
      <c r="S556" t="str">
        <f>IF($C556="","",IFERROR(VLOOKUP($C556,sources!$A$2:$N$200,9,FALSE()),"?"))</f>
        <v>US official</v>
      </c>
    </row>
    <row r="557" spans="1:19" x14ac:dyDescent="0.2">
      <c r="A557" t="s">
        <v>3064</v>
      </c>
      <c r="B557" t="s">
        <v>238</v>
      </c>
      <c r="C557" t="s">
        <v>1354</v>
      </c>
      <c r="D557" t="s">
        <v>1594</v>
      </c>
      <c r="E557" t="s">
        <v>239</v>
      </c>
      <c r="G557">
        <v>9.2744750000000007</v>
      </c>
      <c r="H557">
        <v>-79.927555999999996</v>
      </c>
      <c r="I557" t="s">
        <v>1595</v>
      </c>
      <c r="J557">
        <v>200</v>
      </c>
      <c r="K557">
        <v>1908</v>
      </c>
      <c r="L557">
        <v>1908</v>
      </c>
      <c r="M557" t="s">
        <v>222</v>
      </c>
      <c r="N557" t="s">
        <v>222</v>
      </c>
      <c r="O557" t="s">
        <v>3055</v>
      </c>
      <c r="P557" t="s">
        <v>3065</v>
      </c>
      <c r="Q557" t="str">
        <f>IF($C557="","",IFERROR(VLOOKUP($C557,sources!$A$2:$N$200,2,FALSE()),"?"))</f>
        <v>Map</v>
      </c>
      <c r="S557" t="str">
        <f>IF($C557="","",IFERROR(VLOOKUP($C557,sources!$A$2:$N$200,9,FALSE()),"?"))</f>
        <v>US official</v>
      </c>
    </row>
    <row r="558" spans="1:19" x14ac:dyDescent="0.2">
      <c r="A558" t="s">
        <v>3066</v>
      </c>
      <c r="B558" t="s">
        <v>261</v>
      </c>
      <c r="C558" t="s">
        <v>1354</v>
      </c>
      <c r="D558" t="s">
        <v>1594</v>
      </c>
      <c r="E558" t="s">
        <v>3067</v>
      </c>
      <c r="G558">
        <v>9.1139200000000002</v>
      </c>
      <c r="H558">
        <v>-79.725049999999996</v>
      </c>
      <c r="I558" t="s">
        <v>1595</v>
      </c>
      <c r="J558">
        <v>200</v>
      </c>
      <c r="K558">
        <v>1908</v>
      </c>
      <c r="L558">
        <v>1908</v>
      </c>
      <c r="M558" t="s">
        <v>222</v>
      </c>
      <c r="N558" t="s">
        <v>222</v>
      </c>
      <c r="O558" t="s">
        <v>3055</v>
      </c>
      <c r="P558" t="s">
        <v>3068</v>
      </c>
      <c r="Q558" t="str">
        <f>IF($C558="","",IFERROR(VLOOKUP($C558,sources!$A$2:$N$200,2,FALSE()),"?"))</f>
        <v>Map</v>
      </c>
      <c r="S558" t="str">
        <f>IF($C558="","",IFERROR(VLOOKUP($C558,sources!$A$2:$N$200,9,FALSE()),"?"))</f>
        <v>US official</v>
      </c>
    </row>
    <row r="559" spans="1:19" x14ac:dyDescent="0.2">
      <c r="A559" t="s">
        <v>3069</v>
      </c>
      <c r="B559" t="s">
        <v>284</v>
      </c>
      <c r="C559" t="s">
        <v>1354</v>
      </c>
      <c r="D559" t="s">
        <v>1594</v>
      </c>
      <c r="E559" t="s">
        <v>285</v>
      </c>
      <c r="G559">
        <v>9.1898</v>
      </c>
      <c r="H559">
        <v>-79.855980000000002</v>
      </c>
      <c r="I559" t="s">
        <v>1595</v>
      </c>
      <c r="J559">
        <v>200</v>
      </c>
      <c r="K559">
        <v>1908</v>
      </c>
      <c r="L559">
        <v>1908</v>
      </c>
      <c r="M559" t="s">
        <v>222</v>
      </c>
      <c r="N559" t="s">
        <v>222</v>
      </c>
      <c r="O559" t="s">
        <v>3055</v>
      </c>
      <c r="P559" t="s">
        <v>3070</v>
      </c>
      <c r="Q559" t="str">
        <f>IF($C559="","",IFERROR(VLOOKUP($C559,sources!$A$2:$N$200,2,FALSE()),"?"))</f>
        <v>Map</v>
      </c>
      <c r="S559" t="str">
        <f>IF($C559="","",IFERROR(VLOOKUP($C559,sources!$A$2:$N$200,9,FALSE()),"?"))</f>
        <v>US official</v>
      </c>
    </row>
    <row r="560" spans="1:19" x14ac:dyDescent="0.2">
      <c r="A560" t="s">
        <v>3071</v>
      </c>
      <c r="B560" t="s">
        <v>373</v>
      </c>
      <c r="C560" t="s">
        <v>1354</v>
      </c>
      <c r="D560" t="s">
        <v>1594</v>
      </c>
      <c r="E560" t="s">
        <v>3072</v>
      </c>
      <c r="G560">
        <v>9.1696399999999993</v>
      </c>
      <c r="H560">
        <v>-79.803370000000001</v>
      </c>
      <c r="I560" t="s">
        <v>1595</v>
      </c>
      <c r="J560">
        <v>200</v>
      </c>
      <c r="K560">
        <v>1908</v>
      </c>
      <c r="L560">
        <v>1908</v>
      </c>
      <c r="M560" t="s">
        <v>222</v>
      </c>
      <c r="N560" t="s">
        <v>222</v>
      </c>
      <c r="O560" t="s">
        <v>3055</v>
      </c>
      <c r="P560" t="s">
        <v>3073</v>
      </c>
      <c r="Q560" t="str">
        <f>IF($C560="","",IFERROR(VLOOKUP($C560,sources!$A$2:$N$200,2,FALSE()),"?"))</f>
        <v>Map</v>
      </c>
      <c r="S560" t="str">
        <f>IF($C560="","",IFERROR(VLOOKUP($C560,sources!$A$2:$N$200,9,FALSE()),"?"))</f>
        <v>US official</v>
      </c>
    </row>
    <row r="561" spans="1:19" x14ac:dyDescent="0.2">
      <c r="A561" t="s">
        <v>3074</v>
      </c>
      <c r="B561" t="s">
        <v>373</v>
      </c>
      <c r="C561" t="s">
        <v>1354</v>
      </c>
      <c r="D561" t="s">
        <v>1594</v>
      </c>
      <c r="E561" t="s">
        <v>3075</v>
      </c>
      <c r="G561">
        <v>9.1651600000000002</v>
      </c>
      <c r="H561">
        <v>-79.814549999999997</v>
      </c>
      <c r="I561" t="s">
        <v>1595</v>
      </c>
      <c r="J561">
        <v>260</v>
      </c>
      <c r="K561">
        <v>1908</v>
      </c>
      <c r="L561">
        <v>1908</v>
      </c>
      <c r="M561" t="s">
        <v>222</v>
      </c>
      <c r="N561" t="s">
        <v>228</v>
      </c>
      <c r="O561" t="s">
        <v>3055</v>
      </c>
      <c r="P561" t="s">
        <v>3076</v>
      </c>
      <c r="Q561" t="str">
        <f>IF($C561="","",IFERROR(VLOOKUP($C561,sources!$A$2:$N$200,2,FALSE()),"?"))</f>
        <v>Map</v>
      </c>
      <c r="S561" t="str">
        <f>IF($C561="","",IFERROR(VLOOKUP($C561,sources!$A$2:$N$200,9,FALSE()),"?"))</f>
        <v>US official</v>
      </c>
    </row>
    <row r="562" spans="1:19" x14ac:dyDescent="0.2">
      <c r="A562" t="s">
        <v>3077</v>
      </c>
      <c r="B562" t="s">
        <v>379</v>
      </c>
      <c r="C562" t="s">
        <v>1354</v>
      </c>
      <c r="D562" t="s">
        <v>1594</v>
      </c>
      <c r="E562" t="s">
        <v>3078</v>
      </c>
      <c r="G562">
        <v>9.1186699999999998</v>
      </c>
      <c r="H562">
        <v>-79.787009999999995</v>
      </c>
      <c r="I562" t="s">
        <v>1595</v>
      </c>
      <c r="J562">
        <v>400</v>
      </c>
      <c r="K562">
        <v>1908</v>
      </c>
      <c r="L562">
        <v>1908</v>
      </c>
      <c r="M562" t="s">
        <v>222</v>
      </c>
      <c r="N562" t="s">
        <v>209</v>
      </c>
      <c r="O562" t="s">
        <v>3055</v>
      </c>
      <c r="P562" t="s">
        <v>3079</v>
      </c>
      <c r="Q562" t="str">
        <f>IF($C562="","",IFERROR(VLOOKUP($C562,sources!$A$2:$N$200,2,FALSE()),"?"))</f>
        <v>Map</v>
      </c>
      <c r="S562" t="str">
        <f>IF($C562="","",IFERROR(VLOOKUP($C562,sources!$A$2:$N$200,9,FALSE()),"?"))</f>
        <v>US official</v>
      </c>
    </row>
    <row r="563" spans="1:19" x14ac:dyDescent="0.2">
      <c r="A563" t="s">
        <v>3080</v>
      </c>
      <c r="B563" t="s">
        <v>388</v>
      </c>
      <c r="C563" t="s">
        <v>1354</v>
      </c>
      <c r="D563" t="s">
        <v>1594</v>
      </c>
      <c r="E563" t="s">
        <v>389</v>
      </c>
      <c r="G563">
        <v>9.11327</v>
      </c>
      <c r="H563">
        <v>-79.694040000000001</v>
      </c>
      <c r="I563" t="s">
        <v>1595</v>
      </c>
      <c r="J563">
        <v>400</v>
      </c>
      <c r="K563">
        <v>1908</v>
      </c>
      <c r="L563">
        <v>1908</v>
      </c>
      <c r="M563" t="s">
        <v>222</v>
      </c>
      <c r="N563" t="s">
        <v>209</v>
      </c>
      <c r="O563" t="s">
        <v>3055</v>
      </c>
      <c r="P563" t="s">
        <v>3081</v>
      </c>
      <c r="Q563" t="str">
        <f>IF($C563="","",IFERROR(VLOOKUP($C563,sources!$A$2:$N$200,2,FALSE()),"?"))</f>
        <v>Map</v>
      </c>
      <c r="S563" t="str">
        <f>IF($C563="","",IFERROR(VLOOKUP($C563,sources!$A$2:$N$200,9,FALSE()),"?"))</f>
        <v>US official</v>
      </c>
    </row>
    <row r="564" spans="1:19" x14ac:dyDescent="0.2">
      <c r="A564" t="s">
        <v>3082</v>
      </c>
      <c r="B564" t="s">
        <v>402</v>
      </c>
      <c r="C564" t="s">
        <v>1354</v>
      </c>
      <c r="D564" t="s">
        <v>1594</v>
      </c>
      <c r="E564" t="s">
        <v>3083</v>
      </c>
      <c r="G564">
        <v>9.3156099999999995</v>
      </c>
      <c r="H564">
        <v>-79.920860000000005</v>
      </c>
      <c r="I564" t="s">
        <v>1595</v>
      </c>
      <c r="J564">
        <v>400</v>
      </c>
      <c r="K564">
        <v>1908</v>
      </c>
      <c r="L564">
        <v>1908</v>
      </c>
      <c r="M564" t="s">
        <v>222</v>
      </c>
      <c r="N564" t="s">
        <v>209</v>
      </c>
      <c r="O564" t="s">
        <v>3055</v>
      </c>
      <c r="P564" t="s">
        <v>3084</v>
      </c>
      <c r="Q564" t="str">
        <f>IF($C564="","",IFERROR(VLOOKUP($C564,sources!$A$2:$N$200,2,FALSE()),"?"))</f>
        <v>Map</v>
      </c>
      <c r="S564" t="str">
        <f>IF($C564="","",IFERROR(VLOOKUP($C564,sources!$A$2:$N$200,9,FALSE()),"?"))</f>
        <v>US official</v>
      </c>
    </row>
    <row r="565" spans="1:19" x14ac:dyDescent="0.2">
      <c r="A565" t="s">
        <v>3085</v>
      </c>
      <c r="B565" t="s">
        <v>408</v>
      </c>
      <c r="C565" t="s">
        <v>1354</v>
      </c>
      <c r="D565" t="s">
        <v>1594</v>
      </c>
      <c r="E565" t="s">
        <v>3014</v>
      </c>
      <c r="G565">
        <v>9.2280700000000007</v>
      </c>
      <c r="H565">
        <v>-79.904769999999999</v>
      </c>
      <c r="I565" t="s">
        <v>1595</v>
      </c>
      <c r="J565">
        <v>260</v>
      </c>
      <c r="K565">
        <v>1908</v>
      </c>
      <c r="L565">
        <v>1908</v>
      </c>
      <c r="M565" t="s">
        <v>222</v>
      </c>
      <c r="N565" t="s">
        <v>228</v>
      </c>
      <c r="O565" t="s">
        <v>3055</v>
      </c>
      <c r="P565" t="s">
        <v>3086</v>
      </c>
      <c r="Q565" t="str">
        <f>IF($C565="","",IFERROR(VLOOKUP($C565,sources!$A$2:$N$200,2,FALSE()),"?"))</f>
        <v>Map</v>
      </c>
      <c r="S565" t="str">
        <f>IF($C565="","",IFERROR(VLOOKUP($C565,sources!$A$2:$N$200,9,FALSE()),"?"))</f>
        <v>US official</v>
      </c>
    </row>
    <row r="566" spans="1:19" x14ac:dyDescent="0.2">
      <c r="A566" t="s">
        <v>3087</v>
      </c>
      <c r="B566" t="s">
        <v>452</v>
      </c>
      <c r="C566" t="s">
        <v>1354</v>
      </c>
      <c r="D566" t="s">
        <v>1594</v>
      </c>
      <c r="E566" t="s">
        <v>453</v>
      </c>
      <c r="G566">
        <v>9.1177299999999999</v>
      </c>
      <c r="H566">
        <v>-79.740099999999998</v>
      </c>
      <c r="I566" t="s">
        <v>1595</v>
      </c>
      <c r="J566">
        <v>200</v>
      </c>
      <c r="K566">
        <v>1908</v>
      </c>
      <c r="L566">
        <v>1908</v>
      </c>
      <c r="M566" t="s">
        <v>222</v>
      </c>
      <c r="N566" t="s">
        <v>222</v>
      </c>
      <c r="O566" t="s">
        <v>3055</v>
      </c>
      <c r="P566" t="s">
        <v>3088</v>
      </c>
      <c r="Q566" t="str">
        <f>IF($C566="","",IFERROR(VLOOKUP($C566,sources!$A$2:$N$200,2,FALSE()),"?"))</f>
        <v>Map</v>
      </c>
      <c r="S566" t="str">
        <f>IF($C566="","",IFERROR(VLOOKUP($C566,sources!$A$2:$N$200,9,FALSE()),"?"))</f>
        <v>US official</v>
      </c>
    </row>
    <row r="567" spans="1:19" x14ac:dyDescent="0.2">
      <c r="A567" t="s">
        <v>3089</v>
      </c>
      <c r="B567" t="s">
        <v>213</v>
      </c>
      <c r="C567" t="s">
        <v>1359</v>
      </c>
      <c r="D567" t="s">
        <v>1594</v>
      </c>
      <c r="E567" t="s">
        <v>3090</v>
      </c>
      <c r="G567">
        <v>9.1122999999999994</v>
      </c>
      <c r="H567">
        <v>-79.777289999999994</v>
      </c>
      <c r="I567" t="s">
        <v>1595</v>
      </c>
      <c r="J567">
        <v>1040</v>
      </c>
      <c r="K567">
        <v>1862</v>
      </c>
      <c r="L567">
        <v>1862</v>
      </c>
      <c r="M567" t="s">
        <v>222</v>
      </c>
      <c r="N567" t="s">
        <v>228</v>
      </c>
      <c r="O567" t="s">
        <v>3091</v>
      </c>
      <c r="P567" t="s">
        <v>3092</v>
      </c>
      <c r="Q567" t="str">
        <f>IF($C567="","",IFERROR(VLOOKUP($C567,sources!$A$2:$N$200,2,FALSE()),"?"))</f>
        <v>Map</v>
      </c>
      <c r="S567" t="str">
        <f>IF($C567="","",IFERROR(VLOOKUP($C567,sources!$A$2:$N$200,9,FALSE()),"?"))</f>
        <v>PRR company</v>
      </c>
    </row>
    <row r="568" spans="1:19" x14ac:dyDescent="0.2">
      <c r="A568" t="s">
        <v>3093</v>
      </c>
      <c r="B568" t="s">
        <v>234</v>
      </c>
      <c r="C568" t="s">
        <v>1359</v>
      </c>
      <c r="D568" t="s">
        <v>1594</v>
      </c>
      <c r="E568" t="s">
        <v>3094</v>
      </c>
      <c r="G568">
        <v>9.11008</v>
      </c>
      <c r="H568">
        <v>-79.764859999999999</v>
      </c>
      <c r="I568" t="s">
        <v>1595</v>
      </c>
      <c r="J568">
        <v>1600</v>
      </c>
      <c r="K568">
        <v>1862</v>
      </c>
      <c r="L568">
        <v>1862</v>
      </c>
      <c r="M568" t="s">
        <v>222</v>
      </c>
      <c r="N568" t="s">
        <v>209</v>
      </c>
      <c r="O568" t="s">
        <v>3091</v>
      </c>
      <c r="P568" t="s">
        <v>3095</v>
      </c>
      <c r="Q568" t="str">
        <f>IF($C568="","",IFERROR(VLOOKUP($C568,sources!$A$2:$N$200,2,FALSE()),"?"))</f>
        <v>Map</v>
      </c>
      <c r="S568" t="str">
        <f>IF($C568="","",IFERROR(VLOOKUP($C568,sources!$A$2:$N$200,9,FALSE()),"?"))</f>
        <v>PRR company</v>
      </c>
    </row>
    <row r="569" spans="1:19" x14ac:dyDescent="0.2">
      <c r="A569" t="s">
        <v>3096</v>
      </c>
      <c r="B569" t="s">
        <v>236</v>
      </c>
      <c r="C569" t="s">
        <v>1359</v>
      </c>
      <c r="D569" t="s">
        <v>1594</v>
      </c>
      <c r="E569" t="s">
        <v>3097</v>
      </c>
      <c r="G569">
        <v>9.20472</v>
      </c>
      <c r="H569">
        <v>-79.867459999999994</v>
      </c>
      <c r="I569" t="s">
        <v>1595</v>
      </c>
      <c r="J569">
        <v>1600</v>
      </c>
      <c r="K569">
        <v>1862</v>
      </c>
      <c r="L569">
        <v>1862</v>
      </c>
      <c r="M569" t="s">
        <v>222</v>
      </c>
      <c r="N569" t="s">
        <v>209</v>
      </c>
      <c r="O569" t="s">
        <v>3091</v>
      </c>
      <c r="P569" t="s">
        <v>3098</v>
      </c>
      <c r="Q569" t="str">
        <f>IF($C569="","",IFERROR(VLOOKUP($C569,sources!$A$2:$N$200,2,FALSE()),"?"))</f>
        <v>Map</v>
      </c>
      <c r="S569" t="str">
        <f>IF($C569="","",IFERROR(VLOOKUP($C569,sources!$A$2:$N$200,9,FALSE()),"?"))</f>
        <v>PRR company</v>
      </c>
    </row>
    <row r="570" spans="1:19" x14ac:dyDescent="0.2">
      <c r="A570" t="s">
        <v>3099</v>
      </c>
      <c r="B570" t="s">
        <v>238</v>
      </c>
      <c r="C570" t="s">
        <v>1359</v>
      </c>
      <c r="D570" t="s">
        <v>1594</v>
      </c>
      <c r="E570" t="s">
        <v>3100</v>
      </c>
      <c r="G570">
        <v>9.2686799999999998</v>
      </c>
      <c r="H570">
        <v>-79.929130000000001</v>
      </c>
      <c r="I570" t="s">
        <v>1595</v>
      </c>
      <c r="J570">
        <v>800</v>
      </c>
      <c r="K570">
        <v>1862</v>
      </c>
      <c r="L570">
        <v>1862</v>
      </c>
      <c r="M570" t="s">
        <v>222</v>
      </c>
      <c r="N570" t="s">
        <v>222</v>
      </c>
      <c r="O570" t="s">
        <v>3091</v>
      </c>
      <c r="P570" t="s">
        <v>3101</v>
      </c>
      <c r="Q570" t="str">
        <f>IF($C570="","",IFERROR(VLOOKUP($C570,sources!$A$2:$N$200,2,FALSE()),"?"))</f>
        <v>Map</v>
      </c>
      <c r="S570" t="str">
        <f>IF($C570="","",IFERROR(VLOOKUP($C570,sources!$A$2:$N$200,9,FALSE()),"?"))</f>
        <v>PRR company</v>
      </c>
    </row>
    <row r="571" spans="1:19" x14ac:dyDescent="0.2">
      <c r="A571" t="s">
        <v>3102</v>
      </c>
      <c r="B571" t="s">
        <v>284</v>
      </c>
      <c r="C571" t="s">
        <v>1359</v>
      </c>
      <c r="D571" t="s">
        <v>1594</v>
      </c>
      <c r="E571" t="s">
        <v>3103</v>
      </c>
      <c r="G571">
        <v>9.1898300000000006</v>
      </c>
      <c r="H571">
        <v>-79.856189999999998</v>
      </c>
      <c r="I571" t="s">
        <v>1595</v>
      </c>
      <c r="J571">
        <v>800</v>
      </c>
      <c r="K571">
        <v>1862</v>
      </c>
      <c r="L571">
        <v>1862</v>
      </c>
      <c r="M571" t="s">
        <v>222</v>
      </c>
      <c r="N571" t="s">
        <v>222</v>
      </c>
      <c r="O571" t="s">
        <v>3091</v>
      </c>
      <c r="P571" t="s">
        <v>3104</v>
      </c>
      <c r="Q571" t="str">
        <f>IF($C571="","",IFERROR(VLOOKUP($C571,sources!$A$2:$N$200,2,FALSE()),"?"))</f>
        <v>Map</v>
      </c>
      <c r="S571" t="str">
        <f>IF($C571="","",IFERROR(VLOOKUP($C571,sources!$A$2:$N$200,9,FALSE()),"?"))</f>
        <v>PRR company</v>
      </c>
    </row>
    <row r="572" spans="1:19" x14ac:dyDescent="0.2">
      <c r="A572" t="s">
        <v>3105</v>
      </c>
      <c r="B572" t="s">
        <v>373</v>
      </c>
      <c r="C572" t="s">
        <v>1359</v>
      </c>
      <c r="D572" t="s">
        <v>1594</v>
      </c>
      <c r="E572" t="s">
        <v>3106</v>
      </c>
      <c r="G572">
        <v>9.1703100000000006</v>
      </c>
      <c r="H572">
        <v>-79.78349</v>
      </c>
      <c r="I572" t="s">
        <v>1595</v>
      </c>
      <c r="J572">
        <v>1600</v>
      </c>
      <c r="K572">
        <v>1862</v>
      </c>
      <c r="L572">
        <v>1862</v>
      </c>
      <c r="M572" t="s">
        <v>222</v>
      </c>
      <c r="N572" t="s">
        <v>209</v>
      </c>
      <c r="O572" t="s">
        <v>3091</v>
      </c>
      <c r="P572" t="s">
        <v>3107</v>
      </c>
      <c r="Q572" t="str">
        <f>IF($C572="","",IFERROR(VLOOKUP($C572,sources!$A$2:$N$200,2,FALSE()),"?"))</f>
        <v>Map</v>
      </c>
      <c r="S572" t="str">
        <f>IF($C572="","",IFERROR(VLOOKUP($C572,sources!$A$2:$N$200,9,FALSE()),"?"))</f>
        <v>PRR company</v>
      </c>
    </row>
    <row r="573" spans="1:19" x14ac:dyDescent="0.2">
      <c r="A573" t="s">
        <v>3108</v>
      </c>
      <c r="B573" t="s">
        <v>379</v>
      </c>
      <c r="C573" t="s">
        <v>1359</v>
      </c>
      <c r="D573" t="s">
        <v>1594</v>
      </c>
      <c r="E573" t="s">
        <v>3109</v>
      </c>
      <c r="G573">
        <v>9.1168800000000001</v>
      </c>
      <c r="H573">
        <v>-79.780140000000003</v>
      </c>
      <c r="I573" t="s">
        <v>1595</v>
      </c>
      <c r="J573">
        <v>1040</v>
      </c>
      <c r="K573">
        <v>1862</v>
      </c>
      <c r="L573">
        <v>1862</v>
      </c>
      <c r="M573" t="s">
        <v>222</v>
      </c>
      <c r="N573" t="s">
        <v>228</v>
      </c>
      <c r="O573" t="s">
        <v>3091</v>
      </c>
      <c r="P573" t="s">
        <v>3110</v>
      </c>
      <c r="Q573" t="str">
        <f>IF($C573="","",IFERROR(VLOOKUP($C573,sources!$A$2:$N$200,2,FALSE()),"?"))</f>
        <v>Map</v>
      </c>
      <c r="S573" t="str">
        <f>IF($C573="","",IFERROR(VLOOKUP($C573,sources!$A$2:$N$200,9,FALSE()),"?"))</f>
        <v>PRR company</v>
      </c>
    </row>
    <row r="574" spans="1:19" x14ac:dyDescent="0.2">
      <c r="A574" t="s">
        <v>3111</v>
      </c>
      <c r="B574" t="s">
        <v>382</v>
      </c>
      <c r="C574" t="s">
        <v>1359</v>
      </c>
      <c r="D574" t="s">
        <v>1594</v>
      </c>
      <c r="E574" t="s">
        <v>3112</v>
      </c>
      <c r="G574">
        <v>9.1323000000000008</v>
      </c>
      <c r="H574">
        <v>-79.814830000000001</v>
      </c>
      <c r="I574" t="s">
        <v>1595</v>
      </c>
      <c r="J574">
        <v>1040</v>
      </c>
      <c r="K574">
        <v>1862</v>
      </c>
      <c r="L574">
        <v>1862</v>
      </c>
      <c r="M574" t="s">
        <v>222</v>
      </c>
      <c r="N574" t="s">
        <v>228</v>
      </c>
      <c r="O574" t="s">
        <v>3091</v>
      </c>
      <c r="P574" t="s">
        <v>3113</v>
      </c>
      <c r="Q574" t="str">
        <f>IF($C574="","",IFERROR(VLOOKUP($C574,sources!$A$2:$N$200,2,FALSE()),"?"))</f>
        <v>Map</v>
      </c>
      <c r="S574" t="str">
        <f>IF($C574="","",IFERROR(VLOOKUP($C574,sources!$A$2:$N$200,9,FALSE()),"?"))</f>
        <v>PRR company</v>
      </c>
    </row>
    <row r="575" spans="1:19" x14ac:dyDescent="0.2">
      <c r="A575" t="s">
        <v>3114</v>
      </c>
      <c r="B575" t="s">
        <v>408</v>
      </c>
      <c r="C575" t="s">
        <v>1359</v>
      </c>
      <c r="D575" t="s">
        <v>1594</v>
      </c>
      <c r="E575" t="s">
        <v>3115</v>
      </c>
      <c r="G575">
        <v>9.2281099999999991</v>
      </c>
      <c r="H575">
        <v>-79.904619999999994</v>
      </c>
      <c r="I575" t="s">
        <v>1595</v>
      </c>
      <c r="J575">
        <v>1040</v>
      </c>
      <c r="K575">
        <v>1862</v>
      </c>
      <c r="L575">
        <v>1862</v>
      </c>
      <c r="M575" t="s">
        <v>222</v>
      </c>
      <c r="N575" t="s">
        <v>228</v>
      </c>
      <c r="O575" t="s">
        <v>3091</v>
      </c>
      <c r="P575" t="s">
        <v>3116</v>
      </c>
      <c r="Q575" t="str">
        <f>IF($C575="","",IFERROR(VLOOKUP($C575,sources!$A$2:$N$200,2,FALSE()),"?"))</f>
        <v>Map</v>
      </c>
      <c r="S575" t="str">
        <f>IF($C575="","",IFERROR(VLOOKUP($C575,sources!$A$2:$N$200,9,FALSE()),"?"))</f>
        <v>PRR company</v>
      </c>
    </row>
    <row r="576" spans="1:19" x14ac:dyDescent="0.2">
      <c r="A576" t="s">
        <v>3117</v>
      </c>
      <c r="B576" t="s">
        <v>414</v>
      </c>
      <c r="C576" t="s">
        <v>1359</v>
      </c>
      <c r="D576" t="s">
        <v>1594</v>
      </c>
      <c r="E576" t="s">
        <v>3118</v>
      </c>
      <c r="G576">
        <v>9.1173500000000001</v>
      </c>
      <c r="H576">
        <v>-79.757339999999999</v>
      </c>
      <c r="I576" t="s">
        <v>1595</v>
      </c>
      <c r="J576">
        <v>1040</v>
      </c>
      <c r="K576">
        <v>1862</v>
      </c>
      <c r="L576">
        <v>1862</v>
      </c>
      <c r="M576" t="s">
        <v>222</v>
      </c>
      <c r="N576" t="s">
        <v>228</v>
      </c>
      <c r="O576" t="s">
        <v>3091</v>
      </c>
      <c r="P576" t="s">
        <v>3119</v>
      </c>
      <c r="Q576" t="str">
        <f>IF($C576="","",IFERROR(VLOOKUP($C576,sources!$A$2:$N$200,2,FALSE()),"?"))</f>
        <v>Map</v>
      </c>
      <c r="S576" t="str">
        <f>IF($C576="","",IFERROR(VLOOKUP($C576,sources!$A$2:$N$200,9,FALSE()),"?"))</f>
        <v>PRR company</v>
      </c>
    </row>
    <row r="577" spans="1:19" x14ac:dyDescent="0.2">
      <c r="A577" t="s">
        <v>3120</v>
      </c>
      <c r="B577" t="s">
        <v>422</v>
      </c>
      <c r="C577" t="s">
        <v>1359</v>
      </c>
      <c r="D577" t="s">
        <v>1585</v>
      </c>
      <c r="E577" t="s">
        <v>3121</v>
      </c>
      <c r="G577">
        <v>9.2463499999999996</v>
      </c>
      <c r="H577">
        <v>-79.864890000000003</v>
      </c>
      <c r="I577" t="s">
        <v>1595</v>
      </c>
      <c r="J577">
        <v>1040</v>
      </c>
      <c r="M577" t="s">
        <v>222</v>
      </c>
      <c r="N577" t="s">
        <v>228</v>
      </c>
      <c r="O577" t="s">
        <v>3091</v>
      </c>
      <c r="P577" t="s">
        <v>3122</v>
      </c>
      <c r="Q577" t="str">
        <f>IF($C577="","",IFERROR(VLOOKUP($C577,sources!$A$2:$N$200,2,FALSE()),"?"))</f>
        <v>Map</v>
      </c>
      <c r="S577" t="str">
        <f>IF($C577="","",IFERROR(VLOOKUP($C577,sources!$A$2:$N$200,9,FALSE()),"?"))</f>
        <v>PRR company</v>
      </c>
    </row>
    <row r="578" spans="1:19" x14ac:dyDescent="0.2">
      <c r="A578" t="s">
        <v>3123</v>
      </c>
      <c r="B578" t="s">
        <v>517</v>
      </c>
      <c r="C578" t="s">
        <v>1359</v>
      </c>
      <c r="D578" t="s">
        <v>1594</v>
      </c>
      <c r="E578" t="s">
        <v>3124</v>
      </c>
      <c r="G578">
        <v>9.1839099999999991</v>
      </c>
      <c r="H578">
        <v>-79.865409999999997</v>
      </c>
      <c r="I578" t="s">
        <v>1595</v>
      </c>
      <c r="J578">
        <v>1600</v>
      </c>
      <c r="K578">
        <v>1862</v>
      </c>
      <c r="L578">
        <v>1862</v>
      </c>
      <c r="M578" t="s">
        <v>222</v>
      </c>
      <c r="N578" t="s">
        <v>209</v>
      </c>
      <c r="O578" t="s">
        <v>3091</v>
      </c>
      <c r="P578" t="s">
        <v>3125</v>
      </c>
      <c r="Q578" t="str">
        <f>IF($C578="","",IFERROR(VLOOKUP($C578,sources!$A$2:$N$200,2,FALSE()),"?"))</f>
        <v>Map</v>
      </c>
      <c r="S578" t="str">
        <f>IF($C578="","",IFERROR(VLOOKUP($C578,sources!$A$2:$N$200,9,FALSE()),"?"))</f>
        <v>PRR company</v>
      </c>
    </row>
    <row r="579" spans="1:19" x14ac:dyDescent="0.2">
      <c r="A579" t="s">
        <v>3126</v>
      </c>
      <c r="B579" t="s">
        <v>198</v>
      </c>
      <c r="C579" t="s">
        <v>1366</v>
      </c>
      <c r="D579" t="s">
        <v>1594</v>
      </c>
      <c r="E579" t="s">
        <v>199</v>
      </c>
      <c r="G579">
        <v>9.1093489999999999</v>
      </c>
      <c r="H579">
        <v>-79.708130999999995</v>
      </c>
      <c r="I579" t="s">
        <v>1595</v>
      </c>
      <c r="J579">
        <v>300</v>
      </c>
      <c r="K579">
        <v>1895</v>
      </c>
      <c r="L579">
        <v>1895</v>
      </c>
      <c r="M579" t="s">
        <v>222</v>
      </c>
      <c r="N579" t="s">
        <v>222</v>
      </c>
      <c r="O579" t="s">
        <v>3127</v>
      </c>
      <c r="P579" t="s">
        <v>3128</v>
      </c>
      <c r="Q579" t="str">
        <f>IF($C579="","",IFERROR(VLOOKUP($C579,sources!$A$2:$N$200,2,FALSE()),"?"))</f>
        <v>Map</v>
      </c>
      <c r="S579" t="str">
        <f>IF($C579="","",IFERROR(VLOOKUP($C579,sources!$A$2:$N$200,9,FALSE()),"?"))</f>
        <v>French company</v>
      </c>
    </row>
    <row r="580" spans="1:19" x14ac:dyDescent="0.2">
      <c r="A580" t="s">
        <v>3129</v>
      </c>
      <c r="B580" t="s">
        <v>252</v>
      </c>
      <c r="C580" t="s">
        <v>1366</v>
      </c>
      <c r="D580" t="s">
        <v>1594</v>
      </c>
      <c r="E580" t="s">
        <v>3130</v>
      </c>
      <c r="G580">
        <v>9.0620949999999993</v>
      </c>
      <c r="H580">
        <v>-79.671454999999995</v>
      </c>
      <c r="I580" t="s">
        <v>1595</v>
      </c>
      <c r="J580">
        <v>300</v>
      </c>
      <c r="K580">
        <v>1895</v>
      </c>
      <c r="L580">
        <v>1895</v>
      </c>
      <c r="M580" t="s">
        <v>222</v>
      </c>
      <c r="N580" t="s">
        <v>209</v>
      </c>
      <c r="O580" t="s">
        <v>3127</v>
      </c>
      <c r="P580" t="s">
        <v>3131</v>
      </c>
      <c r="Q580" t="str">
        <f>IF($C580="","",IFERROR(VLOOKUP($C580,sources!$A$2:$N$200,2,FALSE()),"?"))</f>
        <v>Map</v>
      </c>
      <c r="S580" t="str">
        <f>IF($C580="","",IFERROR(VLOOKUP($C580,sources!$A$2:$N$200,9,FALSE()),"?"))</f>
        <v>French company</v>
      </c>
    </row>
    <row r="581" spans="1:19" x14ac:dyDescent="0.2">
      <c r="A581" t="s">
        <v>3132</v>
      </c>
      <c r="B581" t="s">
        <v>261</v>
      </c>
      <c r="C581" t="s">
        <v>1366</v>
      </c>
      <c r="D581" t="s">
        <v>1594</v>
      </c>
      <c r="E581" t="s">
        <v>3133</v>
      </c>
      <c r="G581">
        <v>9.1148959999999999</v>
      </c>
      <c r="H581">
        <v>-79.726400999999996</v>
      </c>
      <c r="I581" t="s">
        <v>1595</v>
      </c>
      <c r="J581">
        <v>300</v>
      </c>
      <c r="K581">
        <v>1895</v>
      </c>
      <c r="L581">
        <v>1895</v>
      </c>
      <c r="M581" t="s">
        <v>222</v>
      </c>
      <c r="N581" t="s">
        <v>222</v>
      </c>
      <c r="O581" t="s">
        <v>3127</v>
      </c>
      <c r="P581" t="s">
        <v>3134</v>
      </c>
      <c r="Q581" t="str">
        <f>IF($C581="","",IFERROR(VLOOKUP($C581,sources!$A$2:$N$200,2,FALSE()),"?"))</f>
        <v>Map</v>
      </c>
      <c r="S581" t="str">
        <f>IF($C581="","",IFERROR(VLOOKUP($C581,sources!$A$2:$N$200,9,FALSE()),"?"))</f>
        <v>French company</v>
      </c>
    </row>
    <row r="582" spans="1:19" x14ac:dyDescent="0.2">
      <c r="A582" t="s">
        <v>3135</v>
      </c>
      <c r="B582" t="s">
        <v>266</v>
      </c>
      <c r="C582" t="s">
        <v>1366</v>
      </c>
      <c r="D582" t="s">
        <v>1594</v>
      </c>
      <c r="E582" t="s">
        <v>267</v>
      </c>
      <c r="G582">
        <v>9.0502359999999999</v>
      </c>
      <c r="H582">
        <v>-79.654612</v>
      </c>
      <c r="I582" t="s">
        <v>1595</v>
      </c>
      <c r="J582">
        <v>300</v>
      </c>
      <c r="K582">
        <v>1895</v>
      </c>
      <c r="L582">
        <v>1895</v>
      </c>
      <c r="M582" t="s">
        <v>222</v>
      </c>
      <c r="N582" t="s">
        <v>222</v>
      </c>
      <c r="O582" t="s">
        <v>3127</v>
      </c>
      <c r="P582" t="s">
        <v>3136</v>
      </c>
      <c r="Q582" t="str">
        <f>IF($C582="","",IFERROR(VLOOKUP($C582,sources!$A$2:$N$200,2,FALSE()),"?"))</f>
        <v>Map</v>
      </c>
      <c r="S582" t="str">
        <f>IF($C582="","",IFERROR(VLOOKUP($C582,sources!$A$2:$N$200,9,FALSE()),"?"))</f>
        <v>French company</v>
      </c>
    </row>
    <row r="583" spans="1:19" x14ac:dyDescent="0.2">
      <c r="A583" t="s">
        <v>3137</v>
      </c>
      <c r="B583" t="s">
        <v>272</v>
      </c>
      <c r="C583" t="s">
        <v>1366</v>
      </c>
      <c r="D583" t="s">
        <v>1594</v>
      </c>
      <c r="E583" t="s">
        <v>273</v>
      </c>
      <c r="G583">
        <v>9.1025299999999998</v>
      </c>
      <c r="H583">
        <v>-79.696164999999993</v>
      </c>
      <c r="I583" t="s">
        <v>1595</v>
      </c>
      <c r="J583">
        <v>300</v>
      </c>
      <c r="K583">
        <v>1895</v>
      </c>
      <c r="L583">
        <v>1895</v>
      </c>
      <c r="M583" t="s">
        <v>222</v>
      </c>
      <c r="N583" t="s">
        <v>222</v>
      </c>
      <c r="O583" t="s">
        <v>3127</v>
      </c>
      <c r="P583" t="s">
        <v>3138</v>
      </c>
      <c r="Q583" t="str">
        <f>IF($C583="","",IFERROR(VLOOKUP($C583,sources!$A$2:$N$200,2,FALSE()),"?"))</f>
        <v>Map</v>
      </c>
      <c r="S583" t="str">
        <f>IF($C583="","",IFERROR(VLOOKUP($C583,sources!$A$2:$N$200,9,FALSE()),"?"))</f>
        <v>French company</v>
      </c>
    </row>
    <row r="584" spans="1:19" x14ac:dyDescent="0.2">
      <c r="A584" t="s">
        <v>3139</v>
      </c>
      <c r="B584" t="s">
        <v>280</v>
      </c>
      <c r="C584" t="s">
        <v>1366</v>
      </c>
      <c r="D584" t="s">
        <v>1594</v>
      </c>
      <c r="E584" t="s">
        <v>281</v>
      </c>
      <c r="G584">
        <v>9.0868749999999991</v>
      </c>
      <c r="H584">
        <v>-79.683858999999998</v>
      </c>
      <c r="I584" t="s">
        <v>1595</v>
      </c>
      <c r="J584">
        <v>300</v>
      </c>
      <c r="K584">
        <v>1895</v>
      </c>
      <c r="L584">
        <v>1895</v>
      </c>
      <c r="M584" t="s">
        <v>222</v>
      </c>
      <c r="N584" t="s">
        <v>222</v>
      </c>
      <c r="O584" t="s">
        <v>3127</v>
      </c>
      <c r="P584" t="s">
        <v>3140</v>
      </c>
      <c r="Q584" t="str">
        <f>IF($C584="","",IFERROR(VLOOKUP($C584,sources!$A$2:$N$200,2,FALSE()),"?"))</f>
        <v>Map</v>
      </c>
      <c r="S584" t="str">
        <f>IF($C584="","",IFERROR(VLOOKUP($C584,sources!$A$2:$N$200,9,FALSE()),"?"))</f>
        <v>French company</v>
      </c>
    </row>
    <row r="585" spans="1:19" x14ac:dyDescent="0.2">
      <c r="A585" t="s">
        <v>3141</v>
      </c>
      <c r="B585" t="s">
        <v>359</v>
      </c>
      <c r="C585" t="s">
        <v>1366</v>
      </c>
      <c r="D585" t="s">
        <v>1594</v>
      </c>
      <c r="E585" t="s">
        <v>3142</v>
      </c>
      <c r="G585">
        <v>9.0360189999999996</v>
      </c>
      <c r="H585">
        <v>-79.648059000000003</v>
      </c>
      <c r="I585" t="s">
        <v>1595</v>
      </c>
      <c r="J585">
        <v>600</v>
      </c>
      <c r="K585">
        <v>1895</v>
      </c>
      <c r="L585">
        <v>1895</v>
      </c>
      <c r="M585" t="s">
        <v>222</v>
      </c>
      <c r="N585" t="s">
        <v>209</v>
      </c>
      <c r="O585" t="s">
        <v>3127</v>
      </c>
      <c r="P585" t="s">
        <v>3143</v>
      </c>
      <c r="Q585" t="str">
        <f>IF($C585="","",IFERROR(VLOOKUP($C585,sources!$A$2:$N$200,2,FALSE()),"?"))</f>
        <v>Map</v>
      </c>
      <c r="S585" t="str">
        <f>IF($C585="","",IFERROR(VLOOKUP($C585,sources!$A$2:$N$200,9,FALSE()),"?"))</f>
        <v>French company</v>
      </c>
    </row>
    <row r="586" spans="1:19" x14ac:dyDescent="0.2">
      <c r="A586" t="s">
        <v>3144</v>
      </c>
      <c r="B586" t="s">
        <v>359</v>
      </c>
      <c r="C586" t="s">
        <v>1366</v>
      </c>
      <c r="D586" t="s">
        <v>1594</v>
      </c>
      <c r="E586" t="s">
        <v>3145</v>
      </c>
      <c r="G586">
        <v>8.9976199999999995</v>
      </c>
      <c r="H586">
        <v>-79.596829999999997</v>
      </c>
      <c r="I586" t="s">
        <v>1595</v>
      </c>
      <c r="J586">
        <v>390</v>
      </c>
      <c r="K586">
        <v>1895</v>
      </c>
      <c r="L586">
        <v>1895</v>
      </c>
      <c r="M586" t="s">
        <v>222</v>
      </c>
      <c r="N586" t="s">
        <v>228</v>
      </c>
      <c r="O586" t="s">
        <v>3127</v>
      </c>
      <c r="P586" t="s">
        <v>3146</v>
      </c>
      <c r="Q586" t="str">
        <f>IF($C586="","",IFERROR(VLOOKUP($C586,sources!$A$2:$N$200,2,FALSE()),"?"))</f>
        <v>Map</v>
      </c>
      <c r="S586" t="str">
        <f>IF($C586="","",IFERROR(VLOOKUP($C586,sources!$A$2:$N$200,9,FALSE()),"?"))</f>
        <v>French company</v>
      </c>
    </row>
    <row r="587" spans="1:19" x14ac:dyDescent="0.2">
      <c r="A587" t="s">
        <v>3147</v>
      </c>
      <c r="B587" t="s">
        <v>363</v>
      </c>
      <c r="C587" t="s">
        <v>1366</v>
      </c>
      <c r="D587" t="s">
        <v>1594</v>
      </c>
      <c r="E587" t="s">
        <v>364</v>
      </c>
      <c r="G587">
        <v>9.0210690000000007</v>
      </c>
      <c r="H587">
        <v>-79.612099999999998</v>
      </c>
      <c r="I587" t="s">
        <v>1595</v>
      </c>
      <c r="J587">
        <v>300</v>
      </c>
      <c r="K587">
        <v>1895</v>
      </c>
      <c r="L587">
        <v>1895</v>
      </c>
      <c r="M587" t="s">
        <v>222</v>
      </c>
      <c r="N587" t="s">
        <v>222</v>
      </c>
      <c r="O587" t="s">
        <v>3127</v>
      </c>
      <c r="P587" t="s">
        <v>3148</v>
      </c>
      <c r="Q587" t="str">
        <f>IF($C587="","",IFERROR(VLOOKUP($C587,sources!$A$2:$N$200,2,FALSE()),"?"))</f>
        <v>Map</v>
      </c>
      <c r="S587" t="str">
        <f>IF($C587="","",IFERROR(VLOOKUP($C587,sources!$A$2:$N$200,9,FALSE()),"?"))</f>
        <v>French company</v>
      </c>
    </row>
    <row r="588" spans="1:19" x14ac:dyDescent="0.2">
      <c r="A588" t="s">
        <v>3149</v>
      </c>
      <c r="B588" t="s">
        <v>367</v>
      </c>
      <c r="C588" t="s">
        <v>1366</v>
      </c>
      <c r="D588" t="s">
        <v>1594</v>
      </c>
      <c r="E588" t="s">
        <v>368</v>
      </c>
      <c r="G588">
        <v>8.9480149999999998</v>
      </c>
      <c r="H588">
        <v>-79.564509999999999</v>
      </c>
      <c r="I588" t="s">
        <v>1595</v>
      </c>
      <c r="J588">
        <v>300</v>
      </c>
      <c r="K588">
        <v>1895</v>
      </c>
      <c r="L588">
        <v>1895</v>
      </c>
      <c r="M588" t="s">
        <v>222</v>
      </c>
      <c r="N588" t="s">
        <v>222</v>
      </c>
      <c r="O588" t="s">
        <v>3127</v>
      </c>
      <c r="P588" t="s">
        <v>3150</v>
      </c>
      <c r="Q588" t="str">
        <f>IF($C588="","",IFERROR(VLOOKUP($C588,sources!$A$2:$N$200,2,FALSE()),"?"))</f>
        <v>Map</v>
      </c>
      <c r="S588" t="str">
        <f>IF($C588="","",IFERROR(VLOOKUP($C588,sources!$A$2:$N$200,9,FALSE()),"?"))</f>
        <v>French company</v>
      </c>
    </row>
    <row r="589" spans="1:19" x14ac:dyDescent="0.2">
      <c r="A589" t="s">
        <v>3151</v>
      </c>
      <c r="B589" t="s">
        <v>370</v>
      </c>
      <c r="C589" t="s">
        <v>1366</v>
      </c>
      <c r="D589" t="s">
        <v>1594</v>
      </c>
      <c r="E589" t="s">
        <v>3152</v>
      </c>
      <c r="G589">
        <v>8.9869000000000003</v>
      </c>
      <c r="H589">
        <v>-79.581549999999993</v>
      </c>
      <c r="I589" t="s">
        <v>1595</v>
      </c>
      <c r="J589">
        <v>390</v>
      </c>
      <c r="K589">
        <v>1895</v>
      </c>
      <c r="L589">
        <v>1895</v>
      </c>
      <c r="M589" t="s">
        <v>222</v>
      </c>
      <c r="N589" t="s">
        <v>228</v>
      </c>
      <c r="O589" t="s">
        <v>3127</v>
      </c>
      <c r="P589" t="s">
        <v>3153</v>
      </c>
      <c r="Q589" t="str">
        <f>IF($C589="","",IFERROR(VLOOKUP($C589,sources!$A$2:$N$200,2,FALSE()),"?"))</f>
        <v>Map</v>
      </c>
      <c r="S589" t="str">
        <f>IF($C589="","",IFERROR(VLOOKUP($C589,sources!$A$2:$N$200,9,FALSE()),"?"))</f>
        <v>French company</v>
      </c>
    </row>
    <row r="590" spans="1:19" x14ac:dyDescent="0.2">
      <c r="A590" t="s">
        <v>3154</v>
      </c>
      <c r="B590" t="s">
        <v>376</v>
      </c>
      <c r="C590" t="s">
        <v>1366</v>
      </c>
      <c r="D590" t="s">
        <v>1594</v>
      </c>
      <c r="E590" t="s">
        <v>377</v>
      </c>
      <c r="G590">
        <v>9.0300019999999996</v>
      </c>
      <c r="H590">
        <v>-79.622974999999997</v>
      </c>
      <c r="I590" t="s">
        <v>1595</v>
      </c>
      <c r="J590">
        <v>300</v>
      </c>
      <c r="K590">
        <v>1895</v>
      </c>
      <c r="L590">
        <v>1895</v>
      </c>
      <c r="M590" t="s">
        <v>222</v>
      </c>
      <c r="N590" t="s">
        <v>222</v>
      </c>
      <c r="O590" t="s">
        <v>3127</v>
      </c>
      <c r="P590" t="s">
        <v>3155</v>
      </c>
      <c r="Q590" t="str">
        <f>IF($C590="","",IFERROR(VLOOKUP($C590,sources!$A$2:$N$200,2,FALSE()),"?"))</f>
        <v>Map</v>
      </c>
      <c r="S590" t="str">
        <f>IF($C590="","",IFERROR(VLOOKUP($C590,sources!$A$2:$N$200,9,FALSE()),"?"))</f>
        <v>French company</v>
      </c>
    </row>
    <row r="591" spans="1:19" x14ac:dyDescent="0.2">
      <c r="A591" t="s">
        <v>3156</v>
      </c>
      <c r="B591" t="s">
        <v>393</v>
      </c>
      <c r="C591" t="s">
        <v>1366</v>
      </c>
      <c r="D591" t="s">
        <v>1594</v>
      </c>
      <c r="E591" t="s">
        <v>3157</v>
      </c>
      <c r="G591">
        <v>9.0097009999999997</v>
      </c>
      <c r="H591">
        <v>-79.595290000000006</v>
      </c>
      <c r="I591" t="s">
        <v>1595</v>
      </c>
      <c r="J591">
        <v>600</v>
      </c>
      <c r="M591" t="s">
        <v>222</v>
      </c>
      <c r="N591" t="s">
        <v>209</v>
      </c>
      <c r="O591" t="s">
        <v>3127</v>
      </c>
      <c r="P591" t="s">
        <v>3158</v>
      </c>
      <c r="Q591" t="str">
        <f>IF($C591="","",IFERROR(VLOOKUP($C591,sources!$A$2:$N$200,2,FALSE()),"?"))</f>
        <v>Map</v>
      </c>
      <c r="S591" t="str">
        <f>IF($C591="","",IFERROR(VLOOKUP($C591,sources!$A$2:$N$200,9,FALSE()),"?"))</f>
        <v>French company</v>
      </c>
    </row>
    <row r="592" spans="1:19" x14ac:dyDescent="0.2">
      <c r="A592" t="s">
        <v>3159</v>
      </c>
      <c r="B592" t="s">
        <v>397</v>
      </c>
      <c r="C592" t="s">
        <v>1366</v>
      </c>
      <c r="D592" t="s">
        <v>1594</v>
      </c>
      <c r="E592" t="s">
        <v>3160</v>
      </c>
      <c r="G592">
        <v>9.0358920000000005</v>
      </c>
      <c r="H592">
        <v>-79.636585999999994</v>
      </c>
      <c r="I592" t="s">
        <v>1595</v>
      </c>
      <c r="J592">
        <v>600</v>
      </c>
      <c r="K592">
        <v>1895</v>
      </c>
      <c r="L592">
        <v>1895</v>
      </c>
      <c r="M592" t="s">
        <v>222</v>
      </c>
      <c r="N592" t="s">
        <v>209</v>
      </c>
      <c r="O592" t="s">
        <v>3127</v>
      </c>
      <c r="P592" t="s">
        <v>3161</v>
      </c>
      <c r="Q592" t="str">
        <f>IF($C592="","",IFERROR(VLOOKUP($C592,sources!$A$2:$N$200,2,FALSE()),"?"))</f>
        <v>Map</v>
      </c>
      <c r="S592" t="str">
        <f>IF($C592="","",IFERROR(VLOOKUP($C592,sources!$A$2:$N$200,9,FALSE()),"?"))</f>
        <v>French company</v>
      </c>
    </row>
    <row r="593" spans="1:19" x14ac:dyDescent="0.2">
      <c r="A593" t="s">
        <v>3162</v>
      </c>
      <c r="B593" t="s">
        <v>252</v>
      </c>
      <c r="C593" t="s">
        <v>1371</v>
      </c>
      <c r="D593" t="s">
        <v>1594</v>
      </c>
      <c r="E593" t="s">
        <v>3163</v>
      </c>
      <c r="G593">
        <v>9.0595809999999997</v>
      </c>
      <c r="H593">
        <v>-79.664272999999994</v>
      </c>
      <c r="I593" t="s">
        <v>1595</v>
      </c>
      <c r="J593">
        <v>200</v>
      </c>
      <c r="K593">
        <v>1907</v>
      </c>
      <c r="L593">
        <v>1907</v>
      </c>
      <c r="M593" t="s">
        <v>222</v>
      </c>
      <c r="N593" t="s">
        <v>222</v>
      </c>
      <c r="O593" t="s">
        <v>3164</v>
      </c>
      <c r="P593" t="s">
        <v>3165</v>
      </c>
      <c r="Q593" t="str">
        <f>IF($C593="","",IFERROR(VLOOKUP($C593,sources!$A$2:$N$200,2,FALSE()),"?"))</f>
        <v>Map</v>
      </c>
      <c r="S593" t="str">
        <f>IF($C593="","",IFERROR(VLOOKUP($C593,sources!$A$2:$N$200,9,FALSE()),"?"))</f>
        <v>US official</v>
      </c>
    </row>
    <row r="594" spans="1:19" x14ac:dyDescent="0.2">
      <c r="A594" t="s">
        <v>3166</v>
      </c>
      <c r="B594" t="s">
        <v>679</v>
      </c>
      <c r="C594" t="s">
        <v>1371</v>
      </c>
      <c r="D594" t="s">
        <v>1594</v>
      </c>
      <c r="E594" t="s">
        <v>3167</v>
      </c>
      <c r="G594">
        <v>9.0602450000000001</v>
      </c>
      <c r="H594">
        <v>-79.671852999999999</v>
      </c>
      <c r="I594" t="s">
        <v>1595</v>
      </c>
      <c r="J594">
        <v>200</v>
      </c>
      <c r="K594">
        <v>1907</v>
      </c>
      <c r="L594">
        <v>1907</v>
      </c>
      <c r="M594" t="s">
        <v>222</v>
      </c>
      <c r="N594" t="s">
        <v>222</v>
      </c>
      <c r="O594" t="s">
        <v>3164</v>
      </c>
      <c r="P594" t="s">
        <v>3168</v>
      </c>
      <c r="Q594" t="str">
        <f>IF($C594="","",IFERROR(VLOOKUP($C594,sources!$A$2:$N$200,2,FALSE()),"?"))</f>
        <v>Map</v>
      </c>
      <c r="S594" t="str">
        <f>IF($C594="","",IFERROR(VLOOKUP($C594,sources!$A$2:$N$200,9,FALSE()),"?"))</f>
        <v>US official</v>
      </c>
    </row>
    <row r="595" spans="1:19" x14ac:dyDescent="0.2">
      <c r="A595" t="s">
        <v>3169</v>
      </c>
      <c r="B595" t="s">
        <v>266</v>
      </c>
      <c r="C595" t="s">
        <v>1371</v>
      </c>
      <c r="D595" t="s">
        <v>1594</v>
      </c>
      <c r="E595" t="s">
        <v>3170</v>
      </c>
      <c r="G595">
        <v>9.0509120000000003</v>
      </c>
      <c r="H595">
        <v>-79.655963999999997</v>
      </c>
      <c r="I595" t="s">
        <v>1595</v>
      </c>
      <c r="J595">
        <v>200</v>
      </c>
      <c r="K595">
        <v>1907</v>
      </c>
      <c r="L595">
        <v>1907</v>
      </c>
      <c r="M595" t="s">
        <v>222</v>
      </c>
      <c r="N595" t="s">
        <v>222</v>
      </c>
      <c r="O595" t="s">
        <v>3164</v>
      </c>
      <c r="P595" t="s">
        <v>3171</v>
      </c>
      <c r="Q595" t="str">
        <f>IF($C595="","",IFERROR(VLOOKUP($C595,sources!$A$2:$N$200,2,FALSE()),"?"))</f>
        <v>Map</v>
      </c>
      <c r="S595" t="str">
        <f>IF($C595="","",IFERROR(VLOOKUP($C595,sources!$A$2:$N$200,9,FALSE()),"?"))</f>
        <v>US official</v>
      </c>
    </row>
    <row r="596" spans="1:19" x14ac:dyDescent="0.2">
      <c r="A596" t="s">
        <v>3172</v>
      </c>
      <c r="B596" t="s">
        <v>266</v>
      </c>
      <c r="C596" t="s">
        <v>1371</v>
      </c>
      <c r="D596" t="s">
        <v>1594</v>
      </c>
      <c r="E596" t="s">
        <v>3173</v>
      </c>
      <c r="G596">
        <v>9.0499799999999997</v>
      </c>
      <c r="H596">
        <v>-79.655885999999995</v>
      </c>
      <c r="I596" t="s">
        <v>1595</v>
      </c>
      <c r="J596">
        <v>200</v>
      </c>
      <c r="K596">
        <v>1907</v>
      </c>
      <c r="L596">
        <v>1907</v>
      </c>
      <c r="M596" t="s">
        <v>222</v>
      </c>
      <c r="N596" t="s">
        <v>222</v>
      </c>
      <c r="O596" t="s">
        <v>3164</v>
      </c>
      <c r="P596" t="s">
        <v>3174</v>
      </c>
      <c r="Q596" t="str">
        <f>IF($C596="","",IFERROR(VLOOKUP($C596,sources!$A$2:$N$200,2,FALSE()),"?"))</f>
        <v>Map</v>
      </c>
      <c r="S596" t="str">
        <f>IF($C596="","",IFERROR(VLOOKUP($C596,sources!$A$2:$N$200,9,FALSE()),"?"))</f>
        <v>US official</v>
      </c>
    </row>
    <row r="597" spans="1:19" x14ac:dyDescent="0.2">
      <c r="A597" t="s">
        <v>3175</v>
      </c>
      <c r="B597" t="s">
        <v>272</v>
      </c>
      <c r="C597" t="s">
        <v>1371</v>
      </c>
      <c r="D597" t="s">
        <v>1594</v>
      </c>
      <c r="E597" t="s">
        <v>3176</v>
      </c>
      <c r="G597">
        <v>9.1049089999999993</v>
      </c>
      <c r="H597">
        <v>-79.691271</v>
      </c>
      <c r="I597" t="s">
        <v>1595</v>
      </c>
      <c r="J597">
        <v>200</v>
      </c>
      <c r="K597">
        <v>1907</v>
      </c>
      <c r="L597">
        <v>1907</v>
      </c>
      <c r="M597" t="s">
        <v>222</v>
      </c>
      <c r="N597" t="s">
        <v>222</v>
      </c>
      <c r="O597" t="s">
        <v>3164</v>
      </c>
      <c r="P597" t="s">
        <v>3177</v>
      </c>
      <c r="Q597" t="str">
        <f>IF($C597="","",IFERROR(VLOOKUP($C597,sources!$A$2:$N$200,2,FALSE()),"?"))</f>
        <v>Map</v>
      </c>
      <c r="S597" t="str">
        <f>IF($C597="","",IFERROR(VLOOKUP($C597,sources!$A$2:$N$200,9,FALSE()),"?"))</f>
        <v>US official</v>
      </c>
    </row>
    <row r="598" spans="1:19" x14ac:dyDescent="0.2">
      <c r="A598" t="s">
        <v>3178</v>
      </c>
      <c r="B598" t="s">
        <v>280</v>
      </c>
      <c r="C598" t="s">
        <v>1371</v>
      </c>
      <c r="D598" t="s">
        <v>1594</v>
      </c>
      <c r="E598" t="s">
        <v>3179</v>
      </c>
      <c r="G598">
        <v>9.0865930000000006</v>
      </c>
      <c r="H598">
        <v>-79.682917000000003</v>
      </c>
      <c r="I598" t="s">
        <v>1595</v>
      </c>
      <c r="J598">
        <v>200</v>
      </c>
      <c r="K598">
        <v>1907</v>
      </c>
      <c r="L598">
        <v>1907</v>
      </c>
      <c r="M598" t="s">
        <v>222</v>
      </c>
      <c r="N598" t="s">
        <v>222</v>
      </c>
      <c r="O598" t="s">
        <v>3164</v>
      </c>
      <c r="P598" t="s">
        <v>3180</v>
      </c>
      <c r="Q598" t="str">
        <f>IF($C598="","",IFERROR(VLOOKUP($C598,sources!$A$2:$N$200,2,FALSE()),"?"))</f>
        <v>Map</v>
      </c>
      <c r="S598" t="str">
        <f>IF($C598="","",IFERROR(VLOOKUP($C598,sources!$A$2:$N$200,9,FALSE()),"?"))</f>
        <v>US official</v>
      </c>
    </row>
    <row r="599" spans="1:19" x14ac:dyDescent="0.2">
      <c r="A599" t="s">
        <v>3181</v>
      </c>
      <c r="B599" t="s">
        <v>363</v>
      </c>
      <c r="C599" t="s">
        <v>1371</v>
      </c>
      <c r="D599" t="s">
        <v>1594</v>
      </c>
      <c r="E599" t="s">
        <v>3182</v>
      </c>
      <c r="G599">
        <v>9.0198549999999997</v>
      </c>
      <c r="H599">
        <v>-79.613703999999998</v>
      </c>
      <c r="I599" t="s">
        <v>1595</v>
      </c>
      <c r="J599">
        <v>200</v>
      </c>
      <c r="K599">
        <v>1907</v>
      </c>
      <c r="L599">
        <v>1907</v>
      </c>
      <c r="M599" t="s">
        <v>222</v>
      </c>
      <c r="N599" t="s">
        <v>222</v>
      </c>
      <c r="O599" t="s">
        <v>3164</v>
      </c>
      <c r="P599" t="s">
        <v>3183</v>
      </c>
      <c r="Q599" t="str">
        <f>IF($C599="","",IFERROR(VLOOKUP($C599,sources!$A$2:$N$200,2,FALSE()),"?"))</f>
        <v>Map</v>
      </c>
      <c r="S599" t="str">
        <f>IF($C599="","",IFERROR(VLOOKUP($C599,sources!$A$2:$N$200,9,FALSE()),"?"))</f>
        <v>US official</v>
      </c>
    </row>
    <row r="600" spans="1:19" x14ac:dyDescent="0.2">
      <c r="A600" t="s">
        <v>3184</v>
      </c>
      <c r="B600" t="s">
        <v>363</v>
      </c>
      <c r="C600" t="s">
        <v>1371</v>
      </c>
      <c r="D600" t="s">
        <v>1594</v>
      </c>
      <c r="E600" t="s">
        <v>3185</v>
      </c>
      <c r="G600">
        <v>9.018948</v>
      </c>
      <c r="H600">
        <v>-79.607866999999999</v>
      </c>
      <c r="I600" t="s">
        <v>1595</v>
      </c>
      <c r="J600">
        <v>260</v>
      </c>
      <c r="K600">
        <v>1907</v>
      </c>
      <c r="L600">
        <v>1907</v>
      </c>
      <c r="M600" t="s">
        <v>222</v>
      </c>
      <c r="N600" t="s">
        <v>228</v>
      </c>
      <c r="O600" t="s">
        <v>3164</v>
      </c>
      <c r="P600" t="s">
        <v>3186</v>
      </c>
      <c r="Q600" t="str">
        <f>IF($C600="","",IFERROR(VLOOKUP($C600,sources!$A$2:$N$200,2,FALSE()),"?"))</f>
        <v>Map</v>
      </c>
      <c r="S600" t="str">
        <f>IF($C600="","",IFERROR(VLOOKUP($C600,sources!$A$2:$N$200,9,FALSE()),"?"))</f>
        <v>US official</v>
      </c>
    </row>
    <row r="601" spans="1:19" x14ac:dyDescent="0.2">
      <c r="A601" t="s">
        <v>3187</v>
      </c>
      <c r="B601" t="s">
        <v>376</v>
      </c>
      <c r="C601" t="s">
        <v>1371</v>
      </c>
      <c r="D601" t="s">
        <v>1594</v>
      </c>
      <c r="E601" t="s">
        <v>3188</v>
      </c>
      <c r="G601">
        <v>9.0322669999999992</v>
      </c>
      <c r="H601">
        <v>-79.631324000000006</v>
      </c>
      <c r="I601" t="s">
        <v>1595</v>
      </c>
      <c r="J601">
        <v>260</v>
      </c>
      <c r="K601">
        <v>1907</v>
      </c>
      <c r="L601">
        <v>1907</v>
      </c>
      <c r="M601" t="s">
        <v>222</v>
      </c>
      <c r="N601" t="s">
        <v>228</v>
      </c>
      <c r="O601" t="s">
        <v>3164</v>
      </c>
      <c r="P601" t="s">
        <v>3189</v>
      </c>
      <c r="Q601" t="str">
        <f>IF($C601="","",IFERROR(VLOOKUP($C601,sources!$A$2:$N$200,2,FALSE()),"?"))</f>
        <v>Map</v>
      </c>
      <c r="S601" t="str">
        <f>IF($C601="","",IFERROR(VLOOKUP($C601,sources!$A$2:$N$200,9,FALSE()),"?"))</f>
        <v>US official</v>
      </c>
    </row>
    <row r="602" spans="1:19" x14ac:dyDescent="0.2">
      <c r="A602" t="s">
        <v>3190</v>
      </c>
      <c r="B602" t="s">
        <v>397</v>
      </c>
      <c r="C602" t="s">
        <v>1371</v>
      </c>
      <c r="D602" t="s">
        <v>1594</v>
      </c>
      <c r="E602" t="s">
        <v>3191</v>
      </c>
      <c r="G602">
        <v>9.0345370000000003</v>
      </c>
      <c r="H602">
        <v>-79.635323999999997</v>
      </c>
      <c r="I602" t="s">
        <v>1595</v>
      </c>
      <c r="J602">
        <v>260</v>
      </c>
      <c r="K602">
        <v>1907</v>
      </c>
      <c r="L602">
        <v>1907</v>
      </c>
      <c r="M602" t="s">
        <v>222</v>
      </c>
      <c r="N602" t="s">
        <v>228</v>
      </c>
      <c r="O602" t="s">
        <v>3164</v>
      </c>
      <c r="P602" t="s">
        <v>3192</v>
      </c>
      <c r="Q602" t="str">
        <f>IF($C602="","",IFERROR(VLOOKUP($C602,sources!$A$2:$N$200,2,FALSE()),"?"))</f>
        <v>Map</v>
      </c>
      <c r="S602" t="str">
        <f>IF($C602="","",IFERROR(VLOOKUP($C602,sources!$A$2:$N$200,9,FALSE()),"?"))</f>
        <v>US official</v>
      </c>
    </row>
    <row r="603" spans="1:19" x14ac:dyDescent="0.2">
      <c r="A603" t="s">
        <v>3193</v>
      </c>
      <c r="B603" t="s">
        <v>792</v>
      </c>
      <c r="C603" t="s">
        <v>1371</v>
      </c>
      <c r="D603" t="s">
        <v>1594</v>
      </c>
      <c r="E603" t="s">
        <v>3194</v>
      </c>
      <c r="G603">
        <v>9.0922830000000001</v>
      </c>
      <c r="H603">
        <v>-79.683273999999997</v>
      </c>
      <c r="I603" t="s">
        <v>1595</v>
      </c>
      <c r="J603">
        <v>200</v>
      </c>
      <c r="K603">
        <v>1907</v>
      </c>
      <c r="L603">
        <v>1907</v>
      </c>
      <c r="M603" t="s">
        <v>222</v>
      </c>
      <c r="N603" t="s">
        <v>222</v>
      </c>
      <c r="O603" t="s">
        <v>3164</v>
      </c>
      <c r="P603" t="s">
        <v>3195</v>
      </c>
      <c r="Q603" t="str">
        <f>IF($C603="","",IFERROR(VLOOKUP($C603,sources!$A$2:$N$200,2,FALSE()),"?"))</f>
        <v>Map</v>
      </c>
      <c r="S603" t="str">
        <f>IF($C603="","",IFERROR(VLOOKUP($C603,sources!$A$2:$N$200,9,FALSE()),"?"))</f>
        <v>US official</v>
      </c>
    </row>
    <row r="604" spans="1:19" x14ac:dyDescent="0.2">
      <c r="A604" t="s">
        <v>3196</v>
      </c>
      <c r="B604" t="s">
        <v>417</v>
      </c>
      <c r="C604" t="s">
        <v>1371</v>
      </c>
      <c r="D604" t="s">
        <v>1594</v>
      </c>
      <c r="E604" t="s">
        <v>3197</v>
      </c>
      <c r="G604">
        <v>9.1002670000000006</v>
      </c>
      <c r="H604">
        <v>-79.688987999999995</v>
      </c>
      <c r="I604" t="s">
        <v>1595</v>
      </c>
      <c r="J604">
        <v>200</v>
      </c>
      <c r="K604">
        <v>1907</v>
      </c>
      <c r="L604">
        <v>1907</v>
      </c>
      <c r="M604" t="s">
        <v>222</v>
      </c>
      <c r="N604" t="s">
        <v>222</v>
      </c>
      <c r="O604" t="s">
        <v>3164</v>
      </c>
      <c r="P604" t="s">
        <v>3198</v>
      </c>
      <c r="Q604" t="str">
        <f>IF($C604="","",IFERROR(VLOOKUP($C604,sources!$A$2:$N$200,2,FALSE()),"?"))</f>
        <v>Map</v>
      </c>
      <c r="S604" t="str">
        <f>IF($C604="","",IFERROR(VLOOKUP($C604,sources!$A$2:$N$200,9,FALSE()),"?"))</f>
        <v>US official</v>
      </c>
    </row>
    <row r="605" spans="1:19" x14ac:dyDescent="0.2">
      <c r="A605" t="s">
        <v>3199</v>
      </c>
      <c r="B605" t="s">
        <v>506</v>
      </c>
      <c r="C605" t="s">
        <v>1371</v>
      </c>
      <c r="D605" t="s">
        <v>1594</v>
      </c>
      <c r="E605" t="s">
        <v>3200</v>
      </c>
      <c r="G605">
        <v>9.0496390000000009</v>
      </c>
      <c r="H605">
        <v>-79.653987999999998</v>
      </c>
      <c r="I605" t="s">
        <v>1595</v>
      </c>
      <c r="J605">
        <v>200</v>
      </c>
      <c r="K605">
        <v>1907</v>
      </c>
      <c r="L605">
        <v>1907</v>
      </c>
      <c r="M605" t="s">
        <v>222</v>
      </c>
      <c r="N605" t="s">
        <v>222</v>
      </c>
      <c r="O605" t="s">
        <v>3164</v>
      </c>
      <c r="P605" t="s">
        <v>3201</v>
      </c>
      <c r="Q605" t="str">
        <f>IF($C605="","",IFERROR(VLOOKUP($C605,sources!$A$2:$N$200,2,FALSE()),"?"))</f>
        <v>Map</v>
      </c>
      <c r="S605" t="str">
        <f>IF($C605="","",IFERROR(VLOOKUP($C605,sources!$A$2:$N$200,9,FALSE()),"?"))</f>
        <v>US official</v>
      </c>
    </row>
    <row r="606" spans="1:19" x14ac:dyDescent="0.2">
      <c r="A606" t="s">
        <v>3202</v>
      </c>
      <c r="B606" t="s">
        <v>245</v>
      </c>
      <c r="C606" t="s">
        <v>1375</v>
      </c>
      <c r="D606" t="s">
        <v>1594</v>
      </c>
      <c r="E606" t="s">
        <v>3203</v>
      </c>
      <c r="G606">
        <v>9.2711310000000005</v>
      </c>
      <c r="H606">
        <v>-79.912944999999993</v>
      </c>
      <c r="I606" t="s">
        <v>1595</v>
      </c>
      <c r="J606">
        <v>325</v>
      </c>
      <c r="K606">
        <v>1947</v>
      </c>
      <c r="L606">
        <v>1947</v>
      </c>
      <c r="M606" t="s">
        <v>222</v>
      </c>
      <c r="N606" t="s">
        <v>228</v>
      </c>
      <c r="O606" t="s">
        <v>3204</v>
      </c>
      <c r="P606" t="s">
        <v>3205</v>
      </c>
      <c r="Q606" t="str">
        <f>IF($C606="","",IFERROR(VLOOKUP($C606,sources!$A$2:$N$200,2,FALSE()),"?"))</f>
        <v>Map</v>
      </c>
      <c r="S606" t="str">
        <f>IF($C606="","",IFERROR(VLOOKUP($C606,sources!$A$2:$N$200,9,FALSE()),"?"))</f>
        <v>US official</v>
      </c>
    </row>
    <row r="607" spans="1:19" x14ac:dyDescent="0.2">
      <c r="A607" t="s">
        <v>3206</v>
      </c>
      <c r="B607" t="s">
        <v>466</v>
      </c>
      <c r="C607" t="s">
        <v>1375</v>
      </c>
      <c r="D607" t="s">
        <v>1594</v>
      </c>
      <c r="E607" t="s">
        <v>3207</v>
      </c>
      <c r="G607">
        <v>8.9140379999999997</v>
      </c>
      <c r="H607">
        <v>-79.557717999999994</v>
      </c>
      <c r="I607" t="s">
        <v>1595</v>
      </c>
      <c r="J607">
        <v>325</v>
      </c>
      <c r="K607">
        <v>1947</v>
      </c>
      <c r="L607">
        <v>1947</v>
      </c>
      <c r="M607" t="s">
        <v>222</v>
      </c>
      <c r="N607" t="s">
        <v>228</v>
      </c>
      <c r="O607" t="s">
        <v>3204</v>
      </c>
      <c r="P607" t="s">
        <v>3208</v>
      </c>
      <c r="Q607" t="str">
        <f>IF($C607="","",IFERROR(VLOOKUP($C607,sources!$A$2:$N$200,2,FALSE()),"?"))</f>
        <v>Map</v>
      </c>
      <c r="S607" t="str">
        <f>IF($C607="","",IFERROR(VLOOKUP($C607,sources!$A$2:$N$200,9,FALSE()),"?"))</f>
        <v>US official</v>
      </c>
    </row>
    <row r="608" spans="1:19" x14ac:dyDescent="0.2">
      <c r="A608" t="s">
        <v>3209</v>
      </c>
      <c r="B608" t="s">
        <v>471</v>
      </c>
      <c r="C608" t="s">
        <v>1375</v>
      </c>
      <c r="D608" t="s">
        <v>1594</v>
      </c>
      <c r="E608" t="s">
        <v>3210</v>
      </c>
      <c r="G608">
        <v>9.1190200000000008</v>
      </c>
      <c r="H608">
        <v>-79.774445</v>
      </c>
      <c r="I608" t="s">
        <v>1595</v>
      </c>
      <c r="J608">
        <v>250</v>
      </c>
      <c r="K608">
        <v>1947</v>
      </c>
      <c r="L608">
        <v>1947</v>
      </c>
      <c r="M608" t="s">
        <v>222</v>
      </c>
      <c r="N608" t="s">
        <v>222</v>
      </c>
      <c r="O608" t="s">
        <v>3204</v>
      </c>
      <c r="P608" t="s">
        <v>3211</v>
      </c>
      <c r="Q608" t="str">
        <f>IF($C608="","",IFERROR(VLOOKUP($C608,sources!$A$2:$N$200,2,FALSE()),"?"))</f>
        <v>Map</v>
      </c>
      <c r="S608" t="str">
        <f>IF($C608="","",IFERROR(VLOOKUP($C608,sources!$A$2:$N$200,9,FALSE()),"?"))</f>
        <v>US official</v>
      </c>
    </row>
    <row r="609" spans="1:19" x14ac:dyDescent="0.2">
      <c r="A609" t="s">
        <v>3212</v>
      </c>
      <c r="B609" t="s">
        <v>475</v>
      </c>
      <c r="C609" t="s">
        <v>1375</v>
      </c>
      <c r="D609" t="s">
        <v>1594</v>
      </c>
      <c r="E609" t="s">
        <v>3213</v>
      </c>
      <c r="G609">
        <v>9.0674489999999999</v>
      </c>
      <c r="H609">
        <v>-79.654572000000002</v>
      </c>
      <c r="I609" t="s">
        <v>1595</v>
      </c>
      <c r="J609">
        <v>250</v>
      </c>
      <c r="K609">
        <v>1947</v>
      </c>
      <c r="L609">
        <v>1947</v>
      </c>
      <c r="M609" t="s">
        <v>222</v>
      </c>
      <c r="N609" t="s">
        <v>222</v>
      </c>
      <c r="O609" t="s">
        <v>3204</v>
      </c>
      <c r="P609" t="s">
        <v>3214</v>
      </c>
      <c r="Q609" t="str">
        <f>IF($C609="","",IFERROR(VLOOKUP($C609,sources!$A$2:$N$200,2,FALSE()),"?"))</f>
        <v>Map</v>
      </c>
      <c r="S609" t="str">
        <f>IF($C609="","",IFERROR(VLOOKUP($C609,sources!$A$2:$N$200,9,FALSE()),"?"))</f>
        <v>US official</v>
      </c>
    </row>
    <row r="610" spans="1:19" x14ac:dyDescent="0.2">
      <c r="A610" t="s">
        <v>3215</v>
      </c>
      <c r="B610" t="s">
        <v>480</v>
      </c>
      <c r="C610" t="s">
        <v>1375</v>
      </c>
      <c r="D610" t="s">
        <v>1594</v>
      </c>
      <c r="E610" t="s">
        <v>3216</v>
      </c>
      <c r="G610">
        <v>9.0181070000000005</v>
      </c>
      <c r="H610">
        <v>-79.594194000000002</v>
      </c>
      <c r="I610" t="s">
        <v>1595</v>
      </c>
      <c r="J610">
        <v>325</v>
      </c>
      <c r="K610">
        <v>1947</v>
      </c>
      <c r="L610">
        <v>1947</v>
      </c>
      <c r="M610" t="s">
        <v>222</v>
      </c>
      <c r="N610" t="s">
        <v>228</v>
      </c>
      <c r="O610" t="s">
        <v>3204</v>
      </c>
      <c r="P610" t="s">
        <v>3217</v>
      </c>
      <c r="Q610" t="str">
        <f>IF($C610="","",IFERROR(VLOOKUP($C610,sources!$A$2:$N$200,2,FALSE()),"?"))</f>
        <v>Map</v>
      </c>
      <c r="S610" t="str">
        <f>IF($C610="","",IFERROR(VLOOKUP($C610,sources!$A$2:$N$200,9,FALSE()),"?"))</f>
        <v>US official</v>
      </c>
    </row>
    <row r="611" spans="1:19" x14ac:dyDescent="0.2">
      <c r="A611" t="s">
        <v>3218</v>
      </c>
      <c r="B611" t="s">
        <v>902</v>
      </c>
      <c r="C611" t="s">
        <v>1375</v>
      </c>
      <c r="D611" t="s">
        <v>1594</v>
      </c>
      <c r="E611" t="s">
        <v>3219</v>
      </c>
      <c r="G611">
        <v>8.9718280000000004</v>
      </c>
      <c r="H611">
        <v>-79.580679000000003</v>
      </c>
      <c r="I611" t="s">
        <v>1595</v>
      </c>
      <c r="J611">
        <v>325</v>
      </c>
      <c r="M611" t="s">
        <v>222</v>
      </c>
      <c r="N611" t="s">
        <v>228</v>
      </c>
      <c r="O611" t="s">
        <v>3204</v>
      </c>
      <c r="P611" t="s">
        <v>3220</v>
      </c>
      <c r="Q611" t="str">
        <f>IF($C611="","",IFERROR(VLOOKUP($C611,sources!$A$2:$N$200,2,FALSE()),"?"))</f>
        <v>Map</v>
      </c>
      <c r="S611" t="str">
        <f>IF($C611="","",IFERROR(VLOOKUP($C611,sources!$A$2:$N$200,9,FALSE()),"?"))</f>
        <v>US official</v>
      </c>
    </row>
    <row r="612" spans="1:19" x14ac:dyDescent="0.2">
      <c r="A612" t="s">
        <v>3221</v>
      </c>
      <c r="B612" t="s">
        <v>858</v>
      </c>
      <c r="C612" t="s">
        <v>1375</v>
      </c>
      <c r="D612" t="s">
        <v>1594</v>
      </c>
      <c r="E612" t="s">
        <v>3222</v>
      </c>
      <c r="G612">
        <v>8.9763339999999996</v>
      </c>
      <c r="H612">
        <v>-79.600290000000001</v>
      </c>
      <c r="I612" t="s">
        <v>1595</v>
      </c>
      <c r="J612">
        <v>325</v>
      </c>
      <c r="K612">
        <v>1947</v>
      </c>
      <c r="L612">
        <v>1947</v>
      </c>
      <c r="M612" t="s">
        <v>222</v>
      </c>
      <c r="N612" t="s">
        <v>228</v>
      </c>
      <c r="O612" t="s">
        <v>3204</v>
      </c>
      <c r="P612" t="s">
        <v>3223</v>
      </c>
      <c r="Q612" t="str">
        <f>IF($C612="","",IFERROR(VLOOKUP($C612,sources!$A$2:$N$200,2,FALSE()),"?"))</f>
        <v>Map</v>
      </c>
      <c r="S612" t="str">
        <f>IF($C612="","",IFERROR(VLOOKUP($C612,sources!$A$2:$N$200,9,FALSE()),"?"))</f>
        <v>US official</v>
      </c>
    </row>
    <row r="613" spans="1:19" x14ac:dyDescent="0.2">
      <c r="A613" t="s">
        <v>3224</v>
      </c>
      <c r="B613" t="s">
        <v>534</v>
      </c>
      <c r="C613" t="s">
        <v>1375</v>
      </c>
      <c r="D613" t="s">
        <v>1594</v>
      </c>
      <c r="E613" t="s">
        <v>3225</v>
      </c>
      <c r="G613">
        <v>9.3287910000000007</v>
      </c>
      <c r="H613">
        <v>-79.892111999999997</v>
      </c>
      <c r="I613" t="s">
        <v>1595</v>
      </c>
      <c r="J613">
        <v>325</v>
      </c>
      <c r="K613">
        <v>1947</v>
      </c>
      <c r="L613">
        <v>1947</v>
      </c>
      <c r="M613" t="s">
        <v>222</v>
      </c>
      <c r="N613" t="s">
        <v>228</v>
      </c>
      <c r="O613" t="s">
        <v>3204</v>
      </c>
      <c r="P613" t="s">
        <v>3226</v>
      </c>
      <c r="Q613" t="str">
        <f>IF($C613="","",IFERROR(VLOOKUP($C613,sources!$A$2:$N$200,2,FALSE()),"?"))</f>
        <v>Map</v>
      </c>
      <c r="S613" t="str">
        <f>IF($C613="","",IFERROR(VLOOKUP($C613,sources!$A$2:$N$200,9,FALSE()),"?"))</f>
        <v>US official</v>
      </c>
    </row>
    <row r="614" spans="1:19" x14ac:dyDescent="0.2">
      <c r="A614" t="s">
        <v>3227</v>
      </c>
      <c r="B614" t="s">
        <v>539</v>
      </c>
      <c r="C614" t="s">
        <v>1375</v>
      </c>
      <c r="D614" t="s">
        <v>1594</v>
      </c>
      <c r="E614" t="s">
        <v>3228</v>
      </c>
      <c r="G614">
        <v>9.3698180000000004</v>
      </c>
      <c r="H614">
        <v>-79.872309999999999</v>
      </c>
      <c r="I614" t="s">
        <v>1595</v>
      </c>
      <c r="J614">
        <v>325</v>
      </c>
      <c r="K614">
        <v>1947</v>
      </c>
      <c r="L614">
        <v>1947</v>
      </c>
      <c r="M614" t="s">
        <v>222</v>
      </c>
      <c r="N614" t="s">
        <v>228</v>
      </c>
      <c r="O614" t="s">
        <v>3204</v>
      </c>
      <c r="P614" t="s">
        <v>3229</v>
      </c>
      <c r="Q614" t="str">
        <f>IF($C614="","",IFERROR(VLOOKUP($C614,sources!$A$2:$N$200,2,FALSE()),"?"))</f>
        <v>Map</v>
      </c>
      <c r="S614" t="str">
        <f>IF($C614="","",IFERROR(VLOOKUP($C614,sources!$A$2:$N$200,9,FALSE()),"?"))</f>
        <v>US official</v>
      </c>
    </row>
    <row r="615" spans="1:19" x14ac:dyDescent="0.2">
      <c r="A615" t="s">
        <v>3230</v>
      </c>
      <c r="B615" t="s">
        <v>544</v>
      </c>
      <c r="C615" t="s">
        <v>1375</v>
      </c>
      <c r="D615" t="s">
        <v>1594</v>
      </c>
      <c r="E615" t="s">
        <v>3231</v>
      </c>
      <c r="G615">
        <v>9.0034340000000004</v>
      </c>
      <c r="H615">
        <v>-79.588109000000003</v>
      </c>
      <c r="I615" t="s">
        <v>1595</v>
      </c>
      <c r="J615">
        <v>325</v>
      </c>
      <c r="K615">
        <v>1947</v>
      </c>
      <c r="L615">
        <v>1947</v>
      </c>
      <c r="M615" t="s">
        <v>222</v>
      </c>
      <c r="N615" t="s">
        <v>228</v>
      </c>
      <c r="O615" t="s">
        <v>3204</v>
      </c>
      <c r="P615" t="s">
        <v>3232</v>
      </c>
      <c r="Q615" t="str">
        <f>IF($C615="","",IFERROR(VLOOKUP($C615,sources!$A$2:$N$200,2,FALSE()),"?"))</f>
        <v>Map</v>
      </c>
      <c r="S615" t="str">
        <f>IF($C615="","",IFERROR(VLOOKUP($C615,sources!$A$2:$N$200,9,FALSE()),"?"))</f>
        <v>US official</v>
      </c>
    </row>
    <row r="616" spans="1:19" x14ac:dyDescent="0.2">
      <c r="A616" t="s">
        <v>3233</v>
      </c>
      <c r="B616" t="s">
        <v>549</v>
      </c>
      <c r="C616" t="s">
        <v>1375</v>
      </c>
      <c r="D616" t="s">
        <v>1594</v>
      </c>
      <c r="E616" t="s">
        <v>3234</v>
      </c>
      <c r="G616">
        <v>9.2956009999999996</v>
      </c>
      <c r="H616">
        <v>-79.892565000000005</v>
      </c>
      <c r="I616" t="s">
        <v>1595</v>
      </c>
      <c r="J616">
        <v>325</v>
      </c>
      <c r="K616">
        <v>1947</v>
      </c>
      <c r="L616">
        <v>1947</v>
      </c>
      <c r="M616" t="s">
        <v>222</v>
      </c>
      <c r="N616" t="s">
        <v>228</v>
      </c>
      <c r="O616" t="s">
        <v>3204</v>
      </c>
      <c r="P616" t="s">
        <v>2894</v>
      </c>
      <c r="Q616" t="str">
        <f>IF($C616="","",IFERROR(VLOOKUP($C616,sources!$A$2:$N$200,2,FALSE()),"?"))</f>
        <v>Map</v>
      </c>
      <c r="S616" t="str">
        <f>IF($C616="","",IFERROR(VLOOKUP($C616,sources!$A$2:$N$200,9,FALSE()),"?"))</f>
        <v>US official</v>
      </c>
    </row>
    <row r="617" spans="1:19" x14ac:dyDescent="0.2">
      <c r="A617" t="s">
        <v>3235</v>
      </c>
      <c r="B617" t="s">
        <v>553</v>
      </c>
      <c r="C617" t="s">
        <v>1375</v>
      </c>
      <c r="D617" t="s">
        <v>1594</v>
      </c>
      <c r="E617" t="s">
        <v>3236</v>
      </c>
      <c r="G617">
        <v>9.3660209999999999</v>
      </c>
      <c r="H617">
        <v>-79.942736999999994</v>
      </c>
      <c r="I617" t="s">
        <v>1595</v>
      </c>
      <c r="J617">
        <v>325</v>
      </c>
      <c r="K617">
        <v>1947</v>
      </c>
      <c r="L617">
        <v>1947</v>
      </c>
      <c r="M617" t="s">
        <v>222</v>
      </c>
      <c r="N617" t="s">
        <v>228</v>
      </c>
      <c r="O617" t="s">
        <v>3204</v>
      </c>
      <c r="P617" t="s">
        <v>3237</v>
      </c>
      <c r="Q617" t="str">
        <f>IF($C617="","",IFERROR(VLOOKUP($C617,sources!$A$2:$N$200,2,FALSE()),"?"))</f>
        <v>Map</v>
      </c>
      <c r="S617" t="str">
        <f>IF($C617="","",IFERROR(VLOOKUP($C617,sources!$A$2:$N$200,9,FALSE()),"?"))</f>
        <v>US official</v>
      </c>
    </row>
    <row r="618" spans="1:19" x14ac:dyDescent="0.2">
      <c r="A618" t="s">
        <v>3238</v>
      </c>
      <c r="B618" t="s">
        <v>557</v>
      </c>
      <c r="C618" t="s">
        <v>1375</v>
      </c>
      <c r="D618" t="s">
        <v>1594</v>
      </c>
      <c r="E618" t="s">
        <v>3239</v>
      </c>
      <c r="G618">
        <v>8.9386569999999992</v>
      </c>
      <c r="H618">
        <v>-79.540859999999995</v>
      </c>
      <c r="I618" t="s">
        <v>1595</v>
      </c>
      <c r="J618">
        <v>325</v>
      </c>
      <c r="K618">
        <v>1947</v>
      </c>
      <c r="L618">
        <v>1947</v>
      </c>
      <c r="M618" t="s">
        <v>222</v>
      </c>
      <c r="N618" t="s">
        <v>228</v>
      </c>
      <c r="O618" t="s">
        <v>3204</v>
      </c>
      <c r="P618" t="s">
        <v>3240</v>
      </c>
      <c r="Q618" t="str">
        <f>IF($C618="","",IFERROR(VLOOKUP($C618,sources!$A$2:$N$200,2,FALSE()),"?"))</f>
        <v>Map</v>
      </c>
      <c r="S618" t="str">
        <f>IF($C618="","",IFERROR(VLOOKUP($C618,sources!$A$2:$N$200,9,FALSE()),"?"))</f>
        <v>US official</v>
      </c>
    </row>
    <row r="619" spans="1:19" x14ac:dyDescent="0.2">
      <c r="A619" t="s">
        <v>3241</v>
      </c>
      <c r="B619" t="s">
        <v>561</v>
      </c>
      <c r="C619" t="s">
        <v>1375</v>
      </c>
      <c r="D619" t="s">
        <v>1594</v>
      </c>
      <c r="E619" t="s">
        <v>3242</v>
      </c>
      <c r="G619">
        <v>8.9738710000000008</v>
      </c>
      <c r="H619">
        <v>-79.557715999999999</v>
      </c>
      <c r="I619" t="s">
        <v>1595</v>
      </c>
      <c r="J619">
        <v>325</v>
      </c>
      <c r="K619">
        <v>1947</v>
      </c>
      <c r="L619">
        <v>1947</v>
      </c>
      <c r="M619" t="s">
        <v>222</v>
      </c>
      <c r="N619" t="s">
        <v>228</v>
      </c>
      <c r="O619" t="s">
        <v>3204</v>
      </c>
      <c r="P619" t="s">
        <v>3243</v>
      </c>
      <c r="Q619" t="str">
        <f>IF($C619="","",IFERROR(VLOOKUP($C619,sources!$A$2:$N$200,2,FALSE()),"?"))</f>
        <v>Map</v>
      </c>
      <c r="S619" t="str">
        <f>IF($C619="","",IFERROR(VLOOKUP($C619,sources!$A$2:$N$200,9,FALSE()),"?"))</f>
        <v>US official</v>
      </c>
    </row>
    <row r="620" spans="1:19" x14ac:dyDescent="0.2">
      <c r="A620" t="s">
        <v>3244</v>
      </c>
      <c r="B620" t="s">
        <v>571</v>
      </c>
      <c r="C620" t="s">
        <v>1375</v>
      </c>
      <c r="D620" t="s">
        <v>1594</v>
      </c>
      <c r="E620" t="s">
        <v>3245</v>
      </c>
      <c r="G620">
        <v>9.1440429999999999</v>
      </c>
      <c r="H620">
        <v>-79.853365999999994</v>
      </c>
      <c r="I620" t="s">
        <v>1595</v>
      </c>
      <c r="J620">
        <v>250</v>
      </c>
      <c r="K620">
        <v>1947</v>
      </c>
      <c r="L620">
        <v>1947</v>
      </c>
      <c r="M620" t="s">
        <v>222</v>
      </c>
      <c r="N620" t="s">
        <v>222</v>
      </c>
      <c r="O620" t="s">
        <v>3204</v>
      </c>
      <c r="P620" t="s">
        <v>3246</v>
      </c>
      <c r="Q620" t="str">
        <f>IF($C620="","",IFERROR(VLOOKUP($C620,sources!$A$2:$N$200,2,FALSE()),"?"))</f>
        <v>Map</v>
      </c>
      <c r="S620" t="str">
        <f>IF($C620="","",IFERROR(VLOOKUP($C620,sources!$A$2:$N$200,9,FALSE()),"?"))</f>
        <v>US official</v>
      </c>
    </row>
    <row r="621" spans="1:19" x14ac:dyDescent="0.2">
      <c r="A621" t="s">
        <v>3247</v>
      </c>
      <c r="B621" t="s">
        <v>405</v>
      </c>
      <c r="C621" t="s">
        <v>1359</v>
      </c>
      <c r="D621" t="s">
        <v>1594</v>
      </c>
      <c r="E621" t="s">
        <v>579</v>
      </c>
      <c r="G621">
        <v>9.1832799999999999</v>
      </c>
      <c r="H621">
        <v>-79.829089999999994</v>
      </c>
      <c r="I621" t="s">
        <v>1595</v>
      </c>
      <c r="J621">
        <v>800</v>
      </c>
      <c r="K621">
        <v>1862</v>
      </c>
      <c r="L621">
        <v>1862</v>
      </c>
      <c r="M621" t="s">
        <v>222</v>
      </c>
      <c r="N621" t="s">
        <v>228</v>
      </c>
      <c r="O621" t="s">
        <v>3091</v>
      </c>
      <c r="P621" t="s">
        <v>3248</v>
      </c>
      <c r="Q621" t="str">
        <f>IF($C621="","",IFERROR(VLOOKUP($C621,sources!$A$2:$N$200,2,FALSE()),"?"))</f>
        <v>Map</v>
      </c>
      <c r="S621" t="str">
        <f>IF($C621="","",IFERROR(VLOOKUP($C621,sources!$A$2:$N$200,9,FALSE()),"?"))</f>
        <v>PRR company</v>
      </c>
    </row>
    <row r="622" spans="1:19" x14ac:dyDescent="0.2">
      <c r="A622" t="s">
        <v>3249</v>
      </c>
      <c r="B622" t="s">
        <v>584</v>
      </c>
      <c r="C622" t="s">
        <v>1371</v>
      </c>
      <c r="D622" t="s">
        <v>1594</v>
      </c>
      <c r="E622" t="s">
        <v>585</v>
      </c>
      <c r="G622">
        <v>9.0977189999999997</v>
      </c>
      <c r="H622">
        <v>-79.685924</v>
      </c>
      <c r="I622" t="s">
        <v>1595</v>
      </c>
      <c r="J622">
        <v>200</v>
      </c>
      <c r="K622">
        <v>1907</v>
      </c>
      <c r="L622">
        <v>1907</v>
      </c>
      <c r="M622" t="s">
        <v>222</v>
      </c>
      <c r="N622" t="s">
        <v>228</v>
      </c>
      <c r="O622" t="s">
        <v>3164</v>
      </c>
      <c r="P622" t="s">
        <v>90</v>
      </c>
      <c r="Q622" t="str">
        <f>IF($C622="","",IFERROR(VLOOKUP($C622,sources!$A$2:$N$200,2,FALSE()),"?"))</f>
        <v>Map</v>
      </c>
      <c r="S622" t="str">
        <f>IF($C622="","",IFERROR(VLOOKUP($C622,sources!$A$2:$N$200,9,FALSE()),"?"))</f>
        <v>US official</v>
      </c>
    </row>
    <row r="623" spans="1:19" x14ac:dyDescent="0.2">
      <c r="A623" t="s">
        <v>3250</v>
      </c>
      <c r="B623" t="s">
        <v>589</v>
      </c>
      <c r="C623" t="s">
        <v>1366</v>
      </c>
      <c r="D623" t="s">
        <v>1594</v>
      </c>
      <c r="E623" t="s">
        <v>590</v>
      </c>
      <c r="G623">
        <v>9.0570839999999997</v>
      </c>
      <c r="H623">
        <v>-79.669908000000007</v>
      </c>
      <c r="I623" t="s">
        <v>1595</v>
      </c>
      <c r="J623">
        <v>400</v>
      </c>
      <c r="K623">
        <v>1895</v>
      </c>
      <c r="L623">
        <v>1895</v>
      </c>
      <c r="M623" t="s">
        <v>222</v>
      </c>
      <c r="N623" t="s">
        <v>228</v>
      </c>
      <c r="O623" t="s">
        <v>3127</v>
      </c>
      <c r="P623" t="s">
        <v>3251</v>
      </c>
      <c r="Q623" t="str">
        <f>IF($C623="","",IFERROR(VLOOKUP($C623,sources!$A$2:$N$200,2,FALSE()),"?"))</f>
        <v>Map</v>
      </c>
      <c r="S623" t="str">
        <f>IF($C623="","",IFERROR(VLOOKUP($C623,sources!$A$2:$N$200,9,FALSE()),"?"))</f>
        <v>French company</v>
      </c>
    </row>
    <row r="624" spans="1:19" x14ac:dyDescent="0.2">
      <c r="A624" t="s">
        <v>3252</v>
      </c>
      <c r="B624" t="s">
        <v>594</v>
      </c>
      <c r="C624" t="s">
        <v>1371</v>
      </c>
      <c r="D624" t="s">
        <v>1594</v>
      </c>
      <c r="E624" t="s">
        <v>595</v>
      </c>
      <c r="G624">
        <v>9.1068239999999996</v>
      </c>
      <c r="H624">
        <v>-79.691253000000003</v>
      </c>
      <c r="I624" t="s">
        <v>1595</v>
      </c>
      <c r="J624">
        <v>200</v>
      </c>
      <c r="K624">
        <v>1907</v>
      </c>
      <c r="L624">
        <v>1907</v>
      </c>
      <c r="M624" t="s">
        <v>222</v>
      </c>
      <c r="N624" t="s">
        <v>228</v>
      </c>
      <c r="O624" t="s">
        <v>3164</v>
      </c>
      <c r="P624" t="s">
        <v>90</v>
      </c>
      <c r="Q624" t="str">
        <f>IF($C624="","",IFERROR(VLOOKUP($C624,sources!$A$2:$N$200,2,FALSE()),"?"))</f>
        <v>Map</v>
      </c>
      <c r="S624" t="str">
        <f>IF($C624="","",IFERROR(VLOOKUP($C624,sources!$A$2:$N$200,9,FALSE()),"?"))</f>
        <v>US official</v>
      </c>
    </row>
    <row r="625" spans="1:19" x14ac:dyDescent="0.2">
      <c r="A625" t="s">
        <v>3253</v>
      </c>
      <c r="B625" t="s">
        <v>599</v>
      </c>
      <c r="C625" t="s">
        <v>1371</v>
      </c>
      <c r="D625" t="s">
        <v>1594</v>
      </c>
      <c r="E625" t="s">
        <v>600</v>
      </c>
      <c r="G625">
        <v>9.094697</v>
      </c>
      <c r="H625">
        <v>-79.684494999999998</v>
      </c>
      <c r="I625" t="s">
        <v>1595</v>
      </c>
      <c r="J625">
        <v>200</v>
      </c>
      <c r="K625">
        <v>1907</v>
      </c>
      <c r="L625">
        <v>1907</v>
      </c>
      <c r="M625" t="s">
        <v>222</v>
      </c>
      <c r="N625" t="s">
        <v>228</v>
      </c>
      <c r="O625" t="s">
        <v>3164</v>
      </c>
      <c r="P625" t="s">
        <v>93</v>
      </c>
      <c r="Q625" t="str">
        <f>IF($C625="","",IFERROR(VLOOKUP($C625,sources!$A$2:$N$200,2,FALSE()),"?"))</f>
        <v>Map</v>
      </c>
      <c r="S625" t="str">
        <f>IF($C625="","",IFERROR(VLOOKUP($C625,sources!$A$2:$N$200,9,FALSE()),"?"))</f>
        <v>US official</v>
      </c>
    </row>
    <row r="626" spans="1:19" x14ac:dyDescent="0.2">
      <c r="A626" t="s">
        <v>3254</v>
      </c>
      <c r="B626" t="s">
        <v>603</v>
      </c>
      <c r="C626" t="s">
        <v>1371</v>
      </c>
      <c r="D626" t="s">
        <v>1594</v>
      </c>
      <c r="E626" t="s">
        <v>604</v>
      </c>
      <c r="G626">
        <v>9.0585719999999998</v>
      </c>
      <c r="H626">
        <v>-79.661240000000006</v>
      </c>
      <c r="I626" t="s">
        <v>1595</v>
      </c>
      <c r="J626">
        <v>200</v>
      </c>
      <c r="K626">
        <v>1907</v>
      </c>
      <c r="L626">
        <v>1907</v>
      </c>
      <c r="M626" t="s">
        <v>222</v>
      </c>
      <c r="N626" t="s">
        <v>228</v>
      </c>
      <c r="O626" t="s">
        <v>3164</v>
      </c>
      <c r="P626" t="s">
        <v>90</v>
      </c>
      <c r="Q626" t="str">
        <f>IF($C626="","",IFERROR(VLOOKUP($C626,sources!$A$2:$N$200,2,FALSE()),"?"))</f>
        <v>Map</v>
      </c>
      <c r="S626" t="str">
        <f>IF($C626="","",IFERROR(VLOOKUP($C626,sources!$A$2:$N$200,9,FALSE()),"?"))</f>
        <v>US official</v>
      </c>
    </row>
    <row r="627" spans="1:19" x14ac:dyDescent="0.2">
      <c r="A627" t="s">
        <v>3255</v>
      </c>
      <c r="B627" t="s">
        <v>607</v>
      </c>
      <c r="C627" t="s">
        <v>1371</v>
      </c>
      <c r="D627" t="s">
        <v>1594</v>
      </c>
      <c r="E627" t="s">
        <v>608</v>
      </c>
      <c r="G627">
        <v>9.0529650000000004</v>
      </c>
      <c r="H627">
        <v>-79.656103999999999</v>
      </c>
      <c r="I627" t="s">
        <v>1595</v>
      </c>
      <c r="J627">
        <v>200</v>
      </c>
      <c r="K627">
        <v>1907</v>
      </c>
      <c r="L627">
        <v>1907</v>
      </c>
      <c r="M627" t="s">
        <v>222</v>
      </c>
      <c r="N627" t="s">
        <v>228</v>
      </c>
      <c r="O627" t="s">
        <v>3164</v>
      </c>
      <c r="P627" t="s">
        <v>90</v>
      </c>
      <c r="Q627" t="str">
        <f>IF($C627="","",IFERROR(VLOOKUP($C627,sources!$A$2:$N$200,2,FALSE()),"?"))</f>
        <v>Map</v>
      </c>
      <c r="S627" t="str">
        <f>IF($C627="","",IFERROR(VLOOKUP($C627,sources!$A$2:$N$200,9,FALSE()),"?"))</f>
        <v>US official</v>
      </c>
    </row>
    <row r="628" spans="1:19" x14ac:dyDescent="0.2">
      <c r="A628" t="s">
        <v>3256</v>
      </c>
      <c r="B628" t="s">
        <v>611</v>
      </c>
      <c r="C628" t="s">
        <v>1354</v>
      </c>
      <c r="D628" t="s">
        <v>1594</v>
      </c>
      <c r="E628" t="s">
        <v>612</v>
      </c>
      <c r="G628">
        <v>9.1164400000000008</v>
      </c>
      <c r="H628">
        <v>-79.733369999999994</v>
      </c>
      <c r="I628" t="s">
        <v>1595</v>
      </c>
      <c r="J628">
        <v>250</v>
      </c>
      <c r="K628">
        <v>1908</v>
      </c>
      <c r="L628">
        <v>1908</v>
      </c>
      <c r="M628" t="s">
        <v>222</v>
      </c>
      <c r="N628" t="s">
        <v>228</v>
      </c>
      <c r="O628" t="s">
        <v>3055</v>
      </c>
      <c r="P628" t="s">
        <v>94</v>
      </c>
      <c r="Q628" t="str">
        <f>IF($C628="","",IFERROR(VLOOKUP($C628,sources!$A$2:$N$200,2,FALSE()),"?"))</f>
        <v>Map</v>
      </c>
      <c r="S628" t="str">
        <f>IF($C628="","",IFERROR(VLOOKUP($C628,sources!$A$2:$N$200,9,FALSE()),"?"))</f>
        <v>US official</v>
      </c>
    </row>
    <row r="629" spans="1:19" x14ac:dyDescent="0.2">
      <c r="A629" t="s">
        <v>3257</v>
      </c>
      <c r="B629" t="s">
        <v>614</v>
      </c>
      <c r="C629" t="s">
        <v>1187</v>
      </c>
      <c r="D629" t="s">
        <v>1594</v>
      </c>
      <c r="E629" t="s">
        <v>615</v>
      </c>
      <c r="G629">
        <v>9.1602300000000003</v>
      </c>
      <c r="H629">
        <v>-79.827039999999997</v>
      </c>
      <c r="I629" t="s">
        <v>1595</v>
      </c>
      <c r="J629">
        <v>400</v>
      </c>
      <c r="K629">
        <v>1911</v>
      </c>
      <c r="L629">
        <v>1911</v>
      </c>
      <c r="M629" t="s">
        <v>222</v>
      </c>
      <c r="N629" t="s">
        <v>228</v>
      </c>
      <c r="O629" t="s">
        <v>2893</v>
      </c>
      <c r="P629" t="s">
        <v>95</v>
      </c>
      <c r="Q629" t="str">
        <f>IF($C629="","",IFERROR(VLOOKUP($C629,sources!$A$2:$N$200,2,FALSE()),"?"))</f>
        <v>Map</v>
      </c>
      <c r="S629" t="str">
        <f>IF($C629="","",IFERROR(VLOOKUP($C629,sources!$A$2:$N$200,9,FALSE()),"?"))</f>
        <v>US official</v>
      </c>
    </row>
    <row r="630" spans="1:19" x14ac:dyDescent="0.2">
      <c r="A630" t="s">
        <v>3258</v>
      </c>
      <c r="B630" t="s">
        <v>618</v>
      </c>
      <c r="C630" t="s">
        <v>1187</v>
      </c>
      <c r="D630" t="s">
        <v>1594</v>
      </c>
      <c r="E630" t="s">
        <v>619</v>
      </c>
      <c r="G630">
        <v>9.1321100000000008</v>
      </c>
      <c r="H630">
        <v>-79.776269999999997</v>
      </c>
      <c r="I630" t="s">
        <v>1595</v>
      </c>
      <c r="J630">
        <v>400</v>
      </c>
      <c r="K630">
        <v>1911</v>
      </c>
      <c r="L630">
        <v>1911</v>
      </c>
      <c r="M630" t="s">
        <v>222</v>
      </c>
      <c r="N630" t="s">
        <v>228</v>
      </c>
      <c r="O630" t="s">
        <v>2893</v>
      </c>
      <c r="P630" t="s">
        <v>95</v>
      </c>
      <c r="Q630" t="str">
        <f>IF($C630="","",IFERROR(VLOOKUP($C630,sources!$A$2:$N$200,2,FALSE()),"?"))</f>
        <v>Map</v>
      </c>
      <c r="S630" t="str">
        <f>IF($C630="","",IFERROR(VLOOKUP($C630,sources!$A$2:$N$200,9,FALSE()),"?"))</f>
        <v>US official</v>
      </c>
    </row>
    <row r="631" spans="1:19" x14ac:dyDescent="0.2">
      <c r="A631" t="s">
        <v>3259</v>
      </c>
      <c r="B631" t="s">
        <v>622</v>
      </c>
      <c r="C631" t="s">
        <v>1198</v>
      </c>
      <c r="D631" t="s">
        <v>1594</v>
      </c>
      <c r="E631" t="s">
        <v>623</v>
      </c>
      <c r="G631">
        <v>9.2022200000000005</v>
      </c>
      <c r="H631">
        <v>-79.894170000000003</v>
      </c>
      <c r="I631" t="s">
        <v>1595</v>
      </c>
      <c r="J631">
        <v>400</v>
      </c>
      <c r="K631">
        <v>1909</v>
      </c>
      <c r="L631">
        <v>1909</v>
      </c>
      <c r="M631" t="s">
        <v>222</v>
      </c>
      <c r="N631" t="s">
        <v>228</v>
      </c>
      <c r="O631" t="s">
        <v>2965</v>
      </c>
      <c r="P631" t="s">
        <v>96</v>
      </c>
      <c r="Q631" t="str">
        <f>IF($C631="","",IFERROR(VLOOKUP($C631,sources!$A$2:$N$200,2,FALSE()),"?"))</f>
        <v>Map</v>
      </c>
      <c r="S631" t="str">
        <f>IF($C631="","",IFERROR(VLOOKUP($C631,sources!$A$2:$N$200,9,FALSE()),"?"))</f>
        <v>US official</v>
      </c>
    </row>
    <row r="632" spans="1:19" x14ac:dyDescent="0.2">
      <c r="A632" t="s">
        <v>3260</v>
      </c>
      <c r="B632" t="s">
        <v>626</v>
      </c>
      <c r="C632" t="s">
        <v>1198</v>
      </c>
      <c r="D632" t="s">
        <v>1594</v>
      </c>
      <c r="E632" t="s">
        <v>627</v>
      </c>
      <c r="G632">
        <v>9.1985600000000005</v>
      </c>
      <c r="H632">
        <v>-79.895020000000002</v>
      </c>
      <c r="I632" t="s">
        <v>1595</v>
      </c>
      <c r="J632">
        <v>400</v>
      </c>
      <c r="K632">
        <v>1909</v>
      </c>
      <c r="L632">
        <v>1909</v>
      </c>
      <c r="M632" t="s">
        <v>222</v>
      </c>
      <c r="N632" t="s">
        <v>228</v>
      </c>
      <c r="O632" t="s">
        <v>2965</v>
      </c>
      <c r="P632" t="s">
        <v>96</v>
      </c>
      <c r="Q632" t="str">
        <f>IF($C632="","",IFERROR(VLOOKUP($C632,sources!$A$2:$N$200,2,FALSE()),"?"))</f>
        <v>Map</v>
      </c>
      <c r="S632" t="str">
        <f>IF($C632="","",IFERROR(VLOOKUP($C632,sources!$A$2:$N$200,9,FALSE()),"?"))</f>
        <v>US official</v>
      </c>
    </row>
    <row r="633" spans="1:19" x14ac:dyDescent="0.2">
      <c r="A633" t="s">
        <v>3261</v>
      </c>
      <c r="B633" t="s">
        <v>509</v>
      </c>
      <c r="C633" t="s">
        <v>1371</v>
      </c>
      <c r="D633" t="s">
        <v>1594</v>
      </c>
      <c r="E633" t="s">
        <v>510</v>
      </c>
      <c r="G633">
        <v>9.0826890000000002</v>
      </c>
      <c r="H633">
        <v>-79.679139000000006</v>
      </c>
      <c r="I633" t="s">
        <v>1595</v>
      </c>
      <c r="J633">
        <v>200</v>
      </c>
      <c r="K633">
        <v>1907</v>
      </c>
      <c r="L633">
        <v>1907</v>
      </c>
      <c r="M633" t="s">
        <v>222</v>
      </c>
      <c r="N633" t="s">
        <v>228</v>
      </c>
      <c r="O633" t="s">
        <v>3164</v>
      </c>
      <c r="P633" t="s">
        <v>90</v>
      </c>
      <c r="Q633" t="str">
        <f>IF($C633="","",IFERROR(VLOOKUP($C633,sources!$A$2:$N$200,2,FALSE()),"?"))</f>
        <v>Map</v>
      </c>
      <c r="S633" t="str">
        <f>IF($C633="","",IFERROR(VLOOKUP($C633,sources!$A$2:$N$200,9,FALSE()),"?"))</f>
        <v>US official</v>
      </c>
    </row>
    <row r="634" spans="1:19" x14ac:dyDescent="0.2">
      <c r="A634" t="s">
        <v>3262</v>
      </c>
      <c r="B634" t="s">
        <v>522</v>
      </c>
      <c r="C634" t="s">
        <v>1371</v>
      </c>
      <c r="D634" t="s">
        <v>1594</v>
      </c>
      <c r="E634" t="s">
        <v>524</v>
      </c>
      <c r="G634">
        <v>9.0227380000000004</v>
      </c>
      <c r="H634">
        <v>-79.627855999999994</v>
      </c>
      <c r="I634" t="s">
        <v>1595</v>
      </c>
      <c r="J634">
        <v>250</v>
      </c>
      <c r="K634">
        <v>1907</v>
      </c>
      <c r="L634">
        <v>1907</v>
      </c>
      <c r="M634" t="s">
        <v>222</v>
      </c>
      <c r="N634" t="s">
        <v>228</v>
      </c>
      <c r="O634" t="s">
        <v>3164</v>
      </c>
      <c r="P634" t="s">
        <v>3263</v>
      </c>
      <c r="Q634" t="str">
        <f>IF($C634="","",IFERROR(VLOOKUP($C634,sources!$A$2:$N$200,2,FALSE()),"?"))</f>
        <v>Map</v>
      </c>
      <c r="S634" t="str">
        <f>IF($C634="","",IFERROR(VLOOKUP($C634,sources!$A$2:$N$200,9,FALSE()),"?"))</f>
        <v>US official</v>
      </c>
    </row>
    <row r="635" spans="1:19" x14ac:dyDescent="0.2">
      <c r="A635" t="s">
        <v>3264</v>
      </c>
      <c r="B635" t="s">
        <v>584</v>
      </c>
      <c r="C635" t="s">
        <v>1366</v>
      </c>
      <c r="D635" t="s">
        <v>1594</v>
      </c>
      <c r="E635" t="s">
        <v>3265</v>
      </c>
      <c r="G635">
        <v>9.0981740000000002</v>
      </c>
      <c r="H635">
        <v>-79.692524000000006</v>
      </c>
      <c r="I635" t="s">
        <v>1595</v>
      </c>
      <c r="J635">
        <v>390</v>
      </c>
      <c r="K635">
        <v>1895</v>
      </c>
      <c r="L635">
        <v>1895</v>
      </c>
      <c r="M635" t="s">
        <v>222</v>
      </c>
      <c r="N635" t="s">
        <v>228</v>
      </c>
      <c r="O635" t="s">
        <v>3127</v>
      </c>
      <c r="P635" t="s">
        <v>3266</v>
      </c>
      <c r="Q635" t="str">
        <f>IF($C635="","",IFERROR(VLOOKUP($C635,sources!$A$2:$N$200,2,FALSE()),"?"))</f>
        <v>Map</v>
      </c>
      <c r="S635" t="str">
        <f>IF($C635="","",IFERROR(VLOOKUP($C635,sources!$A$2:$N$200,9,FALSE()),"?"))</f>
        <v>French company</v>
      </c>
    </row>
    <row r="636" spans="1:19" x14ac:dyDescent="0.2">
      <c r="A636" t="s">
        <v>3267</v>
      </c>
      <c r="B636" t="s">
        <v>349</v>
      </c>
      <c r="C636" t="s">
        <v>1198</v>
      </c>
      <c r="D636" t="s">
        <v>1594</v>
      </c>
      <c r="E636" t="s">
        <v>350</v>
      </c>
      <c r="F636" t="s">
        <v>1612</v>
      </c>
      <c r="G636">
        <v>9.3575099999999996</v>
      </c>
      <c r="H636">
        <v>-79.897980000000004</v>
      </c>
      <c r="I636" t="s">
        <v>1595</v>
      </c>
      <c r="J636">
        <v>300</v>
      </c>
      <c r="K636">
        <v>1909</v>
      </c>
      <c r="L636">
        <v>1909</v>
      </c>
      <c r="M636" t="s">
        <v>222</v>
      </c>
      <c r="N636" t="s">
        <v>222</v>
      </c>
      <c r="O636" t="s">
        <v>3268</v>
      </c>
      <c r="P636" t="s">
        <v>3269</v>
      </c>
      <c r="Q636" t="str">
        <f>IF($C636="","",IFERROR(VLOOKUP($C636,sources!$A$2:$N$200,2,FALSE()),"?"))</f>
        <v>Map</v>
      </c>
      <c r="S636" t="str">
        <f>IF($C636="","",IFERROR(VLOOKUP($C636,sources!$A$2:$N$200,9,FALSE()),"?"))</f>
        <v>US official</v>
      </c>
    </row>
    <row r="637" spans="1:19" x14ac:dyDescent="0.2">
      <c r="A637" t="s">
        <v>3270</v>
      </c>
      <c r="B637" t="s">
        <v>434</v>
      </c>
      <c r="C637" t="s">
        <v>1198</v>
      </c>
      <c r="D637" t="s">
        <v>1594</v>
      </c>
      <c r="E637" t="s">
        <v>435</v>
      </c>
      <c r="F637" t="s">
        <v>1612</v>
      </c>
      <c r="G637">
        <v>9.3360900000000004</v>
      </c>
      <c r="H637">
        <v>-79.886049999999997</v>
      </c>
      <c r="I637" t="s">
        <v>1595</v>
      </c>
      <c r="J637">
        <v>500</v>
      </c>
      <c r="K637">
        <v>1909</v>
      </c>
      <c r="L637">
        <v>1909</v>
      </c>
      <c r="M637" t="s">
        <v>222</v>
      </c>
      <c r="N637" t="s">
        <v>228</v>
      </c>
      <c r="O637" t="s">
        <v>3268</v>
      </c>
      <c r="P637" t="s">
        <v>3271</v>
      </c>
      <c r="Q637" t="str">
        <f>IF($C637="","",IFERROR(VLOOKUP($C637,sources!$A$2:$N$200,2,FALSE()),"?"))</f>
        <v>Map</v>
      </c>
      <c r="S637" t="str">
        <f>IF($C637="","",IFERROR(VLOOKUP($C637,sources!$A$2:$N$200,9,FALSE()),"?"))</f>
        <v>US official</v>
      </c>
    </row>
    <row r="638" spans="1:19" x14ac:dyDescent="0.2">
      <c r="A638" t="s">
        <v>3272</v>
      </c>
      <c r="B638" t="s">
        <v>462</v>
      </c>
      <c r="C638" t="s">
        <v>1198</v>
      </c>
      <c r="D638" t="s">
        <v>1594</v>
      </c>
      <c r="E638" t="s">
        <v>463</v>
      </c>
      <c r="F638" t="s">
        <v>1612</v>
      </c>
      <c r="G638">
        <v>9.3227799999999998</v>
      </c>
      <c r="H638">
        <v>-80.007869999999997</v>
      </c>
      <c r="I638" t="s">
        <v>1595</v>
      </c>
      <c r="J638">
        <v>350</v>
      </c>
      <c r="K638">
        <v>1909</v>
      </c>
      <c r="L638">
        <v>1909</v>
      </c>
      <c r="M638" t="s">
        <v>222</v>
      </c>
      <c r="N638" t="s">
        <v>222</v>
      </c>
      <c r="O638" t="s">
        <v>3268</v>
      </c>
      <c r="P638" t="s">
        <v>3273</v>
      </c>
      <c r="Q638" t="str">
        <f>IF($C638="","",IFERROR(VLOOKUP($C638,sources!$A$2:$N$200,2,FALSE()),"?"))</f>
        <v>Map</v>
      </c>
      <c r="S638" t="str">
        <f>IF($C638="","",IFERROR(VLOOKUP($C638,sources!$A$2:$N$200,9,FALSE()),"?"))</f>
        <v>US official</v>
      </c>
    </row>
    <row r="639" spans="1:19" x14ac:dyDescent="0.2">
      <c r="A639" t="s">
        <v>3274</v>
      </c>
      <c r="B639" t="s">
        <v>487</v>
      </c>
      <c r="C639" t="s">
        <v>1198</v>
      </c>
      <c r="D639" t="s">
        <v>1594</v>
      </c>
      <c r="E639" t="s">
        <v>3275</v>
      </c>
      <c r="F639" t="s">
        <v>1612</v>
      </c>
      <c r="G639">
        <v>8.9151000000000007</v>
      </c>
      <c r="H639">
        <v>-79.532480000000007</v>
      </c>
      <c r="I639" t="s">
        <v>1595</v>
      </c>
      <c r="J639">
        <v>200</v>
      </c>
      <c r="K639">
        <v>1909</v>
      </c>
      <c r="L639">
        <v>1909</v>
      </c>
      <c r="M639" t="s">
        <v>222</v>
      </c>
      <c r="N639" t="s">
        <v>228</v>
      </c>
      <c r="O639" t="s">
        <v>3268</v>
      </c>
      <c r="P639" t="s">
        <v>3276</v>
      </c>
      <c r="Q639" t="str">
        <f>IF($C639="","",IFERROR(VLOOKUP($C639,sources!$A$2:$N$200,2,FALSE()),"?"))</f>
        <v>Map</v>
      </c>
      <c r="S639" t="str">
        <f>IF($C639="","",IFERROR(VLOOKUP($C639,sources!$A$2:$N$200,9,FALSE()),"?"))</f>
        <v>US official</v>
      </c>
    </row>
    <row r="640" spans="1:19" x14ac:dyDescent="0.2">
      <c r="A640" t="s">
        <v>3277</v>
      </c>
      <c r="B640" t="s">
        <v>402</v>
      </c>
      <c r="C640" t="s">
        <v>1198</v>
      </c>
      <c r="D640" t="s">
        <v>1594</v>
      </c>
      <c r="E640" t="s">
        <v>403</v>
      </c>
      <c r="F640" t="s">
        <v>1612</v>
      </c>
      <c r="G640">
        <v>9.2986000000000004</v>
      </c>
      <c r="H640">
        <v>-79.910499999999999</v>
      </c>
      <c r="I640" t="s">
        <v>1595</v>
      </c>
      <c r="J640">
        <v>400</v>
      </c>
      <c r="K640">
        <v>1909</v>
      </c>
      <c r="L640">
        <v>1909</v>
      </c>
      <c r="M640" t="s">
        <v>222</v>
      </c>
      <c r="N640" t="s">
        <v>228</v>
      </c>
      <c r="O640" t="s">
        <v>3268</v>
      </c>
      <c r="P640" t="s">
        <v>3278</v>
      </c>
      <c r="Q640" t="str">
        <f>IF($C640="","",IFERROR(VLOOKUP($C640,sources!$A$2:$N$200,2,FALSE()),"?"))</f>
        <v>Map</v>
      </c>
      <c r="S640" t="str">
        <f>IF($C640="","",IFERROR(VLOOKUP($C640,sources!$A$2:$N$200,9,FALSE()),"?"))</f>
        <v>US official</v>
      </c>
    </row>
    <row r="641" spans="1:19" x14ac:dyDescent="0.2">
      <c r="A641" t="s">
        <v>3279</v>
      </c>
      <c r="B641" t="s">
        <v>491</v>
      </c>
      <c r="C641" t="s">
        <v>1198</v>
      </c>
      <c r="D641" t="s">
        <v>1594</v>
      </c>
      <c r="E641" t="s">
        <v>3280</v>
      </c>
      <c r="F641" t="s">
        <v>1587</v>
      </c>
      <c r="G641">
        <v>9.2178000000000004</v>
      </c>
      <c r="H641">
        <v>-79.592299999999994</v>
      </c>
      <c r="I641" t="s">
        <v>1595</v>
      </c>
      <c r="J641">
        <v>700</v>
      </c>
      <c r="K641">
        <v>1909</v>
      </c>
      <c r="L641">
        <v>1909</v>
      </c>
      <c r="M641" t="s">
        <v>222</v>
      </c>
      <c r="N641" t="s">
        <v>228</v>
      </c>
      <c r="O641" t="s">
        <v>3268</v>
      </c>
      <c r="P641" t="s">
        <v>3281</v>
      </c>
      <c r="Q641" t="str">
        <f>IF($C641="","",IFERROR(VLOOKUP($C641,sources!$A$2:$N$200,2,FALSE()),"?"))</f>
        <v>Map</v>
      </c>
      <c r="S641" t="str">
        <f>IF($C641="","",IFERROR(VLOOKUP($C641,sources!$A$2:$N$200,9,FALSE()),"?"))</f>
        <v>US official</v>
      </c>
    </row>
    <row r="642" spans="1:19" x14ac:dyDescent="0.2">
      <c r="A642" t="s">
        <v>3282</v>
      </c>
      <c r="B642" t="s">
        <v>526</v>
      </c>
      <c r="C642" t="s">
        <v>1198</v>
      </c>
      <c r="D642" t="s">
        <v>1594</v>
      </c>
      <c r="E642" t="s">
        <v>527</v>
      </c>
      <c r="F642" t="s">
        <v>1587</v>
      </c>
      <c r="G642">
        <v>9.1362000000000005</v>
      </c>
      <c r="H642">
        <v>-79.672700000000006</v>
      </c>
      <c r="I642" t="s">
        <v>1595</v>
      </c>
      <c r="J642">
        <v>400</v>
      </c>
      <c r="K642">
        <v>1909</v>
      </c>
      <c r="L642">
        <v>1909</v>
      </c>
      <c r="M642" t="s">
        <v>222</v>
      </c>
      <c r="N642" t="s">
        <v>228</v>
      </c>
      <c r="O642" t="s">
        <v>3268</v>
      </c>
      <c r="P642" t="s">
        <v>3283</v>
      </c>
      <c r="Q642" t="str">
        <f>IF($C642="","",IFERROR(VLOOKUP($C642,sources!$A$2:$N$200,2,FALSE()),"?"))</f>
        <v>Map</v>
      </c>
      <c r="S642" t="str">
        <f>IF($C642="","",IFERROR(VLOOKUP($C642,sources!$A$2:$N$200,9,FALSE()),"?"))</f>
        <v>US official</v>
      </c>
    </row>
    <row r="643" spans="1:19" x14ac:dyDescent="0.2">
      <c r="A643" t="s">
        <v>3284</v>
      </c>
      <c r="B643" t="s">
        <v>599</v>
      </c>
      <c r="C643" t="s">
        <v>1198</v>
      </c>
      <c r="D643" t="s">
        <v>1594</v>
      </c>
      <c r="E643" t="s">
        <v>600</v>
      </c>
      <c r="F643" t="s">
        <v>3285</v>
      </c>
      <c r="G643">
        <v>9.0656999999999996</v>
      </c>
      <c r="H643">
        <v>-79.681799999999996</v>
      </c>
      <c r="I643" t="s">
        <v>1595</v>
      </c>
      <c r="J643">
        <v>400</v>
      </c>
      <c r="K643">
        <v>1909</v>
      </c>
      <c r="L643">
        <v>1909</v>
      </c>
      <c r="M643" t="s">
        <v>222</v>
      </c>
      <c r="N643" t="s">
        <v>228</v>
      </c>
      <c r="O643" t="s">
        <v>3268</v>
      </c>
      <c r="P643" t="s">
        <v>3286</v>
      </c>
      <c r="Q643" t="str">
        <f>IF($C643="","",IFERROR(VLOOKUP($C643,sources!$A$2:$N$200,2,FALSE()),"?"))</f>
        <v>Map</v>
      </c>
      <c r="S643" t="str">
        <f>IF($C643="","",IFERROR(VLOOKUP($C643,sources!$A$2:$N$200,9,FALSE()),"?"))</f>
        <v>US official</v>
      </c>
    </row>
    <row r="644" spans="1:19" x14ac:dyDescent="0.2">
      <c r="A644" t="s">
        <v>3287</v>
      </c>
      <c r="B644" t="s">
        <v>607</v>
      </c>
      <c r="C644" t="s">
        <v>1198</v>
      </c>
      <c r="D644" t="s">
        <v>1594</v>
      </c>
      <c r="E644" t="s">
        <v>608</v>
      </c>
      <c r="F644" t="s">
        <v>1587</v>
      </c>
      <c r="G644">
        <v>9.0532900000000005</v>
      </c>
      <c r="H644">
        <v>-79.653109999999998</v>
      </c>
      <c r="I644" t="s">
        <v>1595</v>
      </c>
      <c r="J644">
        <v>300</v>
      </c>
      <c r="K644">
        <v>1909</v>
      </c>
      <c r="L644">
        <v>1909</v>
      </c>
      <c r="M644" t="s">
        <v>222</v>
      </c>
      <c r="N644" t="s">
        <v>228</v>
      </c>
      <c r="O644" t="s">
        <v>3268</v>
      </c>
      <c r="P644" t="s">
        <v>3288</v>
      </c>
      <c r="Q644" t="str">
        <f>IF($C644="","",IFERROR(VLOOKUP($C644,sources!$A$2:$N$200,2,FALSE()),"?"))</f>
        <v>Map</v>
      </c>
      <c r="S644" t="str">
        <f>IF($C644="","",IFERROR(VLOOKUP($C644,sources!$A$2:$N$200,9,FALSE()),"?"))</f>
        <v>US official</v>
      </c>
    </row>
    <row r="645" spans="1:19" x14ac:dyDescent="0.2">
      <c r="A645" t="s">
        <v>3289</v>
      </c>
      <c r="B645" t="s">
        <v>614</v>
      </c>
      <c r="C645" t="s">
        <v>1198</v>
      </c>
      <c r="D645" t="s">
        <v>1594</v>
      </c>
      <c r="E645" t="s">
        <v>615</v>
      </c>
      <c r="F645" t="s">
        <v>1587</v>
      </c>
      <c r="G645">
        <v>9.1528299999999998</v>
      </c>
      <c r="H645">
        <v>-79.811440000000005</v>
      </c>
      <c r="I645" t="s">
        <v>1595</v>
      </c>
      <c r="J645">
        <v>350</v>
      </c>
      <c r="K645">
        <v>1909</v>
      </c>
      <c r="L645">
        <v>1909</v>
      </c>
      <c r="M645" t="s">
        <v>222</v>
      </c>
      <c r="N645" t="s">
        <v>228</v>
      </c>
      <c r="O645" t="s">
        <v>3268</v>
      </c>
      <c r="P645" t="s">
        <v>3290</v>
      </c>
      <c r="Q645" t="str">
        <f>IF($C645="","",IFERROR(VLOOKUP($C645,sources!$A$2:$N$200,2,FALSE()),"?"))</f>
        <v>Map</v>
      </c>
      <c r="S645" t="str">
        <f>IF($C645="","",IFERROR(VLOOKUP($C645,sources!$A$2:$N$200,9,FALSE()),"?"))</f>
        <v>US official</v>
      </c>
    </row>
    <row r="646" spans="1:19" x14ac:dyDescent="0.2">
      <c r="A646" t="s">
        <v>3291</v>
      </c>
      <c r="B646" t="s">
        <v>494</v>
      </c>
      <c r="C646" t="s">
        <v>1198</v>
      </c>
      <c r="D646" t="s">
        <v>1594</v>
      </c>
      <c r="E646" t="s">
        <v>3292</v>
      </c>
      <c r="F646" t="s">
        <v>1612</v>
      </c>
      <c r="G646">
        <v>8.9712800000000001</v>
      </c>
      <c r="H646">
        <v>-79.564989999999995</v>
      </c>
      <c r="I646" t="s">
        <v>1595</v>
      </c>
      <c r="J646">
        <v>300</v>
      </c>
      <c r="K646">
        <v>1909</v>
      </c>
      <c r="L646">
        <v>1909</v>
      </c>
      <c r="M646" t="s">
        <v>222</v>
      </c>
      <c r="N646" t="s">
        <v>228</v>
      </c>
      <c r="O646" t="s">
        <v>3268</v>
      </c>
      <c r="P646" t="s">
        <v>3293</v>
      </c>
      <c r="Q646" t="str">
        <f>IF($C646="","",IFERROR(VLOOKUP($C646,sources!$A$2:$N$200,2,FALSE()),"?"))</f>
        <v>Map</v>
      </c>
      <c r="S646" t="str">
        <f>IF($C646="","",IFERROR(VLOOKUP($C646,sources!$A$2:$N$200,9,FALSE()),"?"))</f>
        <v>US official</v>
      </c>
    </row>
    <row r="647" spans="1:19" x14ac:dyDescent="0.2">
      <c r="A647" t="s">
        <v>3294</v>
      </c>
      <c r="B647" t="s">
        <v>408</v>
      </c>
      <c r="C647" t="s">
        <v>1198</v>
      </c>
      <c r="D647" t="s">
        <v>1585</v>
      </c>
      <c r="E647" t="s">
        <v>409</v>
      </c>
      <c r="F647" t="s">
        <v>1612</v>
      </c>
      <c r="I647" t="s">
        <v>1077</v>
      </c>
      <c r="K647">
        <v>1909</v>
      </c>
      <c r="L647">
        <v>1909</v>
      </c>
      <c r="M647" t="s">
        <v>222</v>
      </c>
      <c r="N647" t="s">
        <v>222</v>
      </c>
      <c r="O647" t="s">
        <v>3268</v>
      </c>
      <c r="P647" t="s">
        <v>3295</v>
      </c>
      <c r="Q647" t="str">
        <f>IF($C647="","",IFERROR(VLOOKUP($C647,sources!$A$2:$N$200,2,FALSE()),"?"))</f>
        <v>Map</v>
      </c>
      <c r="S647" t="str">
        <f>IF($C647="","",IFERROR(VLOOKUP($C647,sources!$A$2:$N$200,9,FALSE()),"?"))</f>
        <v>US official</v>
      </c>
    </row>
    <row r="648" spans="1:19" x14ac:dyDescent="0.2">
      <c r="A648" t="s">
        <v>3296</v>
      </c>
      <c r="B648" t="s">
        <v>213</v>
      </c>
      <c r="C648" t="s">
        <v>1198</v>
      </c>
      <c r="D648" t="s">
        <v>1666</v>
      </c>
      <c r="E648" t="s">
        <v>214</v>
      </c>
      <c r="F648" t="s">
        <v>1612</v>
      </c>
      <c r="I648" t="s">
        <v>1077</v>
      </c>
      <c r="K648">
        <v>1909</v>
      </c>
      <c r="L648">
        <v>1909</v>
      </c>
      <c r="M648" t="s">
        <v>228</v>
      </c>
      <c r="N648" t="s">
        <v>222</v>
      </c>
      <c r="O648" t="s">
        <v>3297</v>
      </c>
      <c r="P648" t="s">
        <v>3298</v>
      </c>
      <c r="Q648" t="str">
        <f>IF($C648="","",IFERROR(VLOOKUP($C648,sources!$A$2:$N$200,2,FALSE()),"?"))</f>
        <v>Map</v>
      </c>
      <c r="S648" t="str">
        <f>IF($C648="","",IFERROR(VLOOKUP($C648,sources!$A$2:$N$200,9,FALSE()),"?"))</f>
        <v>US official</v>
      </c>
    </row>
    <row r="649" spans="1:19" x14ac:dyDescent="0.2">
      <c r="A649" t="s">
        <v>3299</v>
      </c>
      <c r="B649" t="s">
        <v>230</v>
      </c>
      <c r="C649" t="s">
        <v>1198</v>
      </c>
      <c r="D649" t="s">
        <v>1666</v>
      </c>
      <c r="E649" t="s">
        <v>231</v>
      </c>
      <c r="F649" t="s">
        <v>1612</v>
      </c>
      <c r="I649" t="s">
        <v>1077</v>
      </c>
      <c r="K649">
        <v>1909</v>
      </c>
      <c r="L649">
        <v>1909</v>
      </c>
      <c r="M649" t="s">
        <v>228</v>
      </c>
      <c r="N649" t="s">
        <v>222</v>
      </c>
      <c r="O649" t="s">
        <v>3297</v>
      </c>
      <c r="P649" t="s">
        <v>3300</v>
      </c>
      <c r="Q649" t="str">
        <f>IF($C649="","",IFERROR(VLOOKUP($C649,sources!$A$2:$N$200,2,FALSE()),"?"))</f>
        <v>Map</v>
      </c>
      <c r="S649" t="str">
        <f>IF($C649="","",IFERROR(VLOOKUP($C649,sources!$A$2:$N$200,9,FALSE()),"?"))</f>
        <v>US official</v>
      </c>
    </row>
    <row r="650" spans="1:19" x14ac:dyDescent="0.2">
      <c r="A650" t="s">
        <v>3301</v>
      </c>
      <c r="B650" t="s">
        <v>236</v>
      </c>
      <c r="C650" t="s">
        <v>1198</v>
      </c>
      <c r="D650" t="s">
        <v>1666</v>
      </c>
      <c r="E650" t="s">
        <v>237</v>
      </c>
      <c r="F650" t="s">
        <v>1612</v>
      </c>
      <c r="I650" t="s">
        <v>1077</v>
      </c>
      <c r="K650">
        <v>1909</v>
      </c>
      <c r="L650">
        <v>1909</v>
      </c>
      <c r="M650" t="s">
        <v>228</v>
      </c>
      <c r="N650" t="s">
        <v>222</v>
      </c>
      <c r="O650" t="s">
        <v>3297</v>
      </c>
      <c r="P650" t="s">
        <v>3302</v>
      </c>
      <c r="Q650" t="str">
        <f>IF($C650="","",IFERROR(VLOOKUP($C650,sources!$A$2:$N$200,2,FALSE()),"?"))</f>
        <v>Map</v>
      </c>
      <c r="S650" t="str">
        <f>IF($C650="","",IFERROR(VLOOKUP($C650,sources!$A$2:$N$200,9,FALSE()),"?"))</f>
        <v>US official</v>
      </c>
    </row>
    <row r="651" spans="1:19" x14ac:dyDescent="0.2">
      <c r="A651" t="s">
        <v>3303</v>
      </c>
      <c r="B651" t="s">
        <v>245</v>
      </c>
      <c r="C651" t="s">
        <v>1198</v>
      </c>
      <c r="D651" t="s">
        <v>1666</v>
      </c>
      <c r="E651" t="s">
        <v>246</v>
      </c>
      <c r="F651" t="s">
        <v>1612</v>
      </c>
      <c r="I651" t="s">
        <v>1077</v>
      </c>
      <c r="K651">
        <v>1909</v>
      </c>
      <c r="L651">
        <v>1909</v>
      </c>
      <c r="M651" t="s">
        <v>228</v>
      </c>
      <c r="N651" t="s">
        <v>228</v>
      </c>
      <c r="O651" t="s">
        <v>3297</v>
      </c>
      <c r="P651" t="s">
        <v>3304</v>
      </c>
      <c r="Q651" t="str">
        <f>IF($C651="","",IFERROR(VLOOKUP($C651,sources!$A$2:$N$200,2,FALSE()),"?"))</f>
        <v>Map</v>
      </c>
      <c r="S651" t="str">
        <f>IF($C651="","",IFERROR(VLOOKUP($C651,sources!$A$2:$N$200,9,FALSE()),"?"))</f>
        <v>US official</v>
      </c>
    </row>
    <row r="652" spans="1:19" x14ac:dyDescent="0.2">
      <c r="A652" t="s">
        <v>3305</v>
      </c>
      <c r="B652" t="s">
        <v>411</v>
      </c>
      <c r="C652" t="s">
        <v>1198</v>
      </c>
      <c r="D652" t="s">
        <v>1666</v>
      </c>
      <c r="E652" t="s">
        <v>412</v>
      </c>
      <c r="F652" t="s">
        <v>1612</v>
      </c>
      <c r="I652" t="s">
        <v>1077</v>
      </c>
      <c r="K652">
        <v>1909</v>
      </c>
      <c r="L652">
        <v>1909</v>
      </c>
      <c r="M652" t="s">
        <v>228</v>
      </c>
      <c r="N652" t="s">
        <v>222</v>
      </c>
      <c r="O652" t="s">
        <v>3297</v>
      </c>
      <c r="P652" t="s">
        <v>3306</v>
      </c>
      <c r="Q652" t="str">
        <f>IF($C652="","",IFERROR(VLOOKUP($C652,sources!$A$2:$N$200,2,FALSE()),"?"))</f>
        <v>Map</v>
      </c>
      <c r="S652" t="str">
        <f>IF($C652="","",IFERROR(VLOOKUP($C652,sources!$A$2:$N$200,9,FALSE()),"?"))</f>
        <v>US official</v>
      </c>
    </row>
    <row r="653" spans="1:19" x14ac:dyDescent="0.2">
      <c r="A653" t="s">
        <v>3307</v>
      </c>
      <c r="B653" t="s">
        <v>414</v>
      </c>
      <c r="C653" t="s">
        <v>1198</v>
      </c>
      <c r="D653" t="s">
        <v>1666</v>
      </c>
      <c r="E653" t="s">
        <v>415</v>
      </c>
      <c r="F653" t="s">
        <v>1612</v>
      </c>
      <c r="I653" t="s">
        <v>1077</v>
      </c>
      <c r="K653">
        <v>1909</v>
      </c>
      <c r="L653">
        <v>1909</v>
      </c>
      <c r="M653" t="s">
        <v>228</v>
      </c>
      <c r="N653" t="s">
        <v>222</v>
      </c>
      <c r="O653" t="s">
        <v>3297</v>
      </c>
      <c r="P653" t="s">
        <v>3308</v>
      </c>
      <c r="Q653" t="str">
        <f>IF($C653="","",IFERROR(VLOOKUP($C653,sources!$A$2:$N$200,2,FALSE()),"?"))</f>
        <v>Map</v>
      </c>
      <c r="S653" t="str">
        <f>IF($C653="","",IFERROR(VLOOKUP($C653,sources!$A$2:$N$200,9,FALSE()),"?"))</f>
        <v>US official</v>
      </c>
    </row>
    <row r="654" spans="1:19" x14ac:dyDescent="0.2">
      <c r="A654" t="s">
        <v>3309</v>
      </c>
      <c r="B654" t="s">
        <v>448</v>
      </c>
      <c r="C654" t="s">
        <v>1198</v>
      </c>
      <c r="D654" t="s">
        <v>1666</v>
      </c>
      <c r="E654" t="s">
        <v>449</v>
      </c>
      <c r="F654" t="s">
        <v>1612</v>
      </c>
      <c r="I654" t="s">
        <v>1077</v>
      </c>
      <c r="K654">
        <v>1909</v>
      </c>
      <c r="L654">
        <v>1909</v>
      </c>
      <c r="M654" t="s">
        <v>228</v>
      </c>
      <c r="N654" t="s">
        <v>222</v>
      </c>
      <c r="O654" t="s">
        <v>3297</v>
      </c>
      <c r="P654" t="s">
        <v>3310</v>
      </c>
      <c r="Q654" t="str">
        <f>IF($C654="","",IFERROR(VLOOKUP($C654,sources!$A$2:$N$200,2,FALSE()),"?"))</f>
        <v>Map</v>
      </c>
      <c r="S654" t="str">
        <f>IF($C654="","",IFERROR(VLOOKUP($C654,sources!$A$2:$N$200,9,FALSE()),"?"))</f>
        <v>US official</v>
      </c>
    </row>
    <row r="655" spans="1:19" x14ac:dyDescent="0.2">
      <c r="A655" t="s">
        <v>3311</v>
      </c>
      <c r="B655" t="s">
        <v>455</v>
      </c>
      <c r="C655" t="s">
        <v>1198</v>
      </c>
      <c r="D655" t="s">
        <v>1666</v>
      </c>
      <c r="E655" t="s">
        <v>456</v>
      </c>
      <c r="F655" t="s">
        <v>1612</v>
      </c>
      <c r="I655" t="s">
        <v>1077</v>
      </c>
      <c r="K655">
        <v>1909</v>
      </c>
      <c r="L655">
        <v>1909</v>
      </c>
      <c r="M655" t="s">
        <v>228</v>
      </c>
      <c r="N655" t="s">
        <v>222</v>
      </c>
      <c r="O655" t="s">
        <v>3297</v>
      </c>
      <c r="P655" t="s">
        <v>3312</v>
      </c>
      <c r="Q655" t="str">
        <f>IF($C655="","",IFERROR(VLOOKUP($C655,sources!$A$2:$N$200,2,FALSE()),"?"))</f>
        <v>Map</v>
      </c>
      <c r="S655" t="str">
        <f>IF($C655="","",IFERROR(VLOOKUP($C655,sources!$A$2:$N$200,9,FALSE()),"?"))</f>
        <v>US official</v>
      </c>
    </row>
    <row r="656" spans="1:19" x14ac:dyDescent="0.2">
      <c r="A656" t="s">
        <v>3313</v>
      </c>
      <c r="B656" t="s">
        <v>466</v>
      </c>
      <c r="C656" t="s">
        <v>1198</v>
      </c>
      <c r="D656" t="s">
        <v>1666</v>
      </c>
      <c r="E656" t="s">
        <v>467</v>
      </c>
      <c r="F656" t="s">
        <v>1612</v>
      </c>
      <c r="I656" t="s">
        <v>1077</v>
      </c>
      <c r="K656">
        <v>1909</v>
      </c>
      <c r="L656">
        <v>1909</v>
      </c>
      <c r="M656" t="s">
        <v>228</v>
      </c>
      <c r="N656" t="s">
        <v>222</v>
      </c>
      <c r="O656" t="s">
        <v>3297</v>
      </c>
      <c r="P656" t="s">
        <v>3314</v>
      </c>
      <c r="Q656" t="str">
        <f>IF($C656="","",IFERROR(VLOOKUP($C656,sources!$A$2:$N$200,2,FALSE()),"?"))</f>
        <v>Map</v>
      </c>
      <c r="S656" t="str">
        <f>IF($C656="","",IFERROR(VLOOKUP($C656,sources!$A$2:$N$200,9,FALSE()),"?"))</f>
        <v>US official</v>
      </c>
    </row>
    <row r="657" spans="1:19" x14ac:dyDescent="0.2">
      <c r="A657" t="s">
        <v>3315</v>
      </c>
      <c r="B657" t="s">
        <v>484</v>
      </c>
      <c r="C657" t="s">
        <v>1198</v>
      </c>
      <c r="D657" t="s">
        <v>1666</v>
      </c>
      <c r="E657" t="s">
        <v>485</v>
      </c>
      <c r="F657" t="s">
        <v>1612</v>
      </c>
      <c r="I657" t="s">
        <v>1077</v>
      </c>
      <c r="K657">
        <v>1909</v>
      </c>
      <c r="L657">
        <v>1909</v>
      </c>
      <c r="M657" t="s">
        <v>228</v>
      </c>
      <c r="N657" t="s">
        <v>222</v>
      </c>
      <c r="O657" t="s">
        <v>3297</v>
      </c>
      <c r="P657" t="s">
        <v>3316</v>
      </c>
      <c r="Q657" t="str">
        <f>IF($C657="","",IFERROR(VLOOKUP($C657,sources!$A$2:$N$200,2,FALSE()),"?"))</f>
        <v>Map</v>
      </c>
      <c r="S657" t="str">
        <f>IF($C657="","",IFERROR(VLOOKUP($C657,sources!$A$2:$N$200,9,FALSE()),"?"))</f>
        <v>US official</v>
      </c>
    </row>
    <row r="658" spans="1:19" x14ac:dyDescent="0.2">
      <c r="A658" t="s">
        <v>3317</v>
      </c>
      <c r="B658" t="s">
        <v>499</v>
      </c>
      <c r="C658" t="s">
        <v>1198</v>
      </c>
      <c r="D658" t="s">
        <v>1666</v>
      </c>
      <c r="E658" t="s">
        <v>500</v>
      </c>
      <c r="F658" t="s">
        <v>1612</v>
      </c>
      <c r="I658" t="s">
        <v>1077</v>
      </c>
      <c r="K658">
        <v>1909</v>
      </c>
      <c r="L658">
        <v>1909</v>
      </c>
      <c r="M658" t="s">
        <v>228</v>
      </c>
      <c r="N658" t="s">
        <v>222</v>
      </c>
      <c r="O658" t="s">
        <v>3297</v>
      </c>
      <c r="P658" t="s">
        <v>3318</v>
      </c>
      <c r="Q658" t="str">
        <f>IF($C658="","",IFERROR(VLOOKUP($C658,sources!$A$2:$N$200,2,FALSE()),"?"))</f>
        <v>Map</v>
      </c>
      <c r="S658" t="str">
        <f>IF($C658="","",IFERROR(VLOOKUP($C658,sources!$A$2:$N$200,9,FALSE()),"?"))</f>
        <v>US official</v>
      </c>
    </row>
    <row r="659" spans="1:19" x14ac:dyDescent="0.2">
      <c r="A659" t="s">
        <v>3319</v>
      </c>
      <c r="B659" t="s">
        <v>503</v>
      </c>
      <c r="C659" t="s">
        <v>1198</v>
      </c>
      <c r="D659" t="s">
        <v>1666</v>
      </c>
      <c r="E659" t="s">
        <v>504</v>
      </c>
      <c r="F659" t="s">
        <v>1612</v>
      </c>
      <c r="I659" t="s">
        <v>1077</v>
      </c>
      <c r="K659">
        <v>1909</v>
      </c>
      <c r="L659">
        <v>1909</v>
      </c>
      <c r="M659" t="s">
        <v>228</v>
      </c>
      <c r="N659" t="s">
        <v>222</v>
      </c>
      <c r="O659" t="s">
        <v>3297</v>
      </c>
      <c r="P659" t="s">
        <v>3320</v>
      </c>
      <c r="Q659" t="str">
        <f>IF($C659="","",IFERROR(VLOOKUP($C659,sources!$A$2:$N$200,2,FALSE()),"?"))</f>
        <v>Map</v>
      </c>
      <c r="S659" t="str">
        <f>IF($C659="","",IFERROR(VLOOKUP($C659,sources!$A$2:$N$200,9,FALSE()),"?"))</f>
        <v>US official</v>
      </c>
    </row>
    <row r="660" spans="1:19" x14ac:dyDescent="0.2">
      <c r="A660" t="s">
        <v>3321</v>
      </c>
      <c r="B660" t="s">
        <v>506</v>
      </c>
      <c r="C660" t="s">
        <v>1198</v>
      </c>
      <c r="D660" t="s">
        <v>1666</v>
      </c>
      <c r="E660" t="s">
        <v>507</v>
      </c>
      <c r="F660" t="s">
        <v>1612</v>
      </c>
      <c r="I660" t="s">
        <v>1077</v>
      </c>
      <c r="K660">
        <v>1909</v>
      </c>
      <c r="L660">
        <v>1909</v>
      </c>
      <c r="M660" t="s">
        <v>228</v>
      </c>
      <c r="N660" t="s">
        <v>222</v>
      </c>
      <c r="O660" t="s">
        <v>3297</v>
      </c>
      <c r="P660" t="s">
        <v>3322</v>
      </c>
      <c r="Q660" t="str">
        <f>IF($C660="","",IFERROR(VLOOKUP($C660,sources!$A$2:$N$200,2,FALSE()),"?"))</f>
        <v>Map</v>
      </c>
      <c r="S660" t="str">
        <f>IF($C660="","",IFERROR(VLOOKUP($C660,sources!$A$2:$N$200,9,FALSE()),"?"))</f>
        <v>US official</v>
      </c>
    </row>
    <row r="661" spans="1:19" x14ac:dyDescent="0.2">
      <c r="A661" t="s">
        <v>3323</v>
      </c>
      <c r="B661" t="s">
        <v>514</v>
      </c>
      <c r="C661" t="s">
        <v>1198</v>
      </c>
      <c r="D661" t="s">
        <v>1666</v>
      </c>
      <c r="E661" t="s">
        <v>515</v>
      </c>
      <c r="F661" t="s">
        <v>1612</v>
      </c>
      <c r="I661" t="s">
        <v>1077</v>
      </c>
      <c r="K661">
        <v>1909</v>
      </c>
      <c r="L661">
        <v>1909</v>
      </c>
      <c r="M661" t="s">
        <v>228</v>
      </c>
      <c r="N661" t="s">
        <v>222</v>
      </c>
      <c r="O661" t="s">
        <v>3297</v>
      </c>
      <c r="P661" t="s">
        <v>3324</v>
      </c>
      <c r="Q661" t="str">
        <f>IF($C661="","",IFERROR(VLOOKUP($C661,sources!$A$2:$N$200,2,FALSE()),"?"))</f>
        <v>Map</v>
      </c>
      <c r="S661" t="str">
        <f>IF($C661="","",IFERROR(VLOOKUP($C661,sources!$A$2:$N$200,9,FALSE()),"?"))</f>
        <v>US official</v>
      </c>
    </row>
    <row r="662" spans="1:19" x14ac:dyDescent="0.2">
      <c r="A662" t="s">
        <v>3325</v>
      </c>
      <c r="B662" t="s">
        <v>529</v>
      </c>
      <c r="C662" t="s">
        <v>1198</v>
      </c>
      <c r="D662" t="s">
        <v>1666</v>
      </c>
      <c r="E662" t="s">
        <v>530</v>
      </c>
      <c r="F662" t="s">
        <v>1612</v>
      </c>
      <c r="I662" t="s">
        <v>1077</v>
      </c>
      <c r="K662">
        <v>1909</v>
      </c>
      <c r="L662">
        <v>1909</v>
      </c>
      <c r="M662" t="s">
        <v>228</v>
      </c>
      <c r="N662" t="s">
        <v>222</v>
      </c>
      <c r="O662" t="s">
        <v>3297</v>
      </c>
      <c r="P662" t="s">
        <v>3326</v>
      </c>
      <c r="Q662" t="str">
        <f>IF($C662="","",IFERROR(VLOOKUP($C662,sources!$A$2:$N$200,2,FALSE()),"?"))</f>
        <v>Map</v>
      </c>
      <c r="S662" t="str">
        <f>IF($C662="","",IFERROR(VLOOKUP($C662,sources!$A$2:$N$200,9,FALSE()),"?"))</f>
        <v>US official</v>
      </c>
    </row>
    <row r="663" spans="1:19" x14ac:dyDescent="0.2">
      <c r="A663" t="s">
        <v>3327</v>
      </c>
      <c r="B663" t="s">
        <v>584</v>
      </c>
      <c r="C663" t="s">
        <v>1198</v>
      </c>
      <c r="D663" t="s">
        <v>1666</v>
      </c>
      <c r="E663" t="s">
        <v>585</v>
      </c>
      <c r="F663" t="s">
        <v>1612</v>
      </c>
      <c r="I663" t="s">
        <v>1077</v>
      </c>
      <c r="K663">
        <v>1909</v>
      </c>
      <c r="L663">
        <v>1909</v>
      </c>
      <c r="M663" t="s">
        <v>228</v>
      </c>
      <c r="N663" t="s">
        <v>222</v>
      </c>
      <c r="O663" t="s">
        <v>3297</v>
      </c>
      <c r="P663" t="s">
        <v>3328</v>
      </c>
      <c r="Q663" t="str">
        <f>IF($C663="","",IFERROR(VLOOKUP($C663,sources!$A$2:$N$200,2,FALSE()),"?"))</f>
        <v>Map</v>
      </c>
      <c r="S663" t="str">
        <f>IF($C663="","",IFERROR(VLOOKUP($C663,sources!$A$2:$N$200,9,FALSE()),"?"))</f>
        <v>US official</v>
      </c>
    </row>
    <row r="664" spans="1:19" x14ac:dyDescent="0.2">
      <c r="A664" t="s">
        <v>3329</v>
      </c>
      <c r="B664" t="s">
        <v>589</v>
      </c>
      <c r="C664" t="s">
        <v>1198</v>
      </c>
      <c r="D664" t="s">
        <v>1666</v>
      </c>
      <c r="E664" t="s">
        <v>590</v>
      </c>
      <c r="F664" t="s">
        <v>1612</v>
      </c>
      <c r="I664" t="s">
        <v>1077</v>
      </c>
      <c r="K664">
        <v>1909</v>
      </c>
      <c r="L664">
        <v>1909</v>
      </c>
      <c r="M664" t="s">
        <v>228</v>
      </c>
      <c r="N664" t="s">
        <v>228</v>
      </c>
      <c r="O664" t="s">
        <v>3297</v>
      </c>
      <c r="P664" t="s">
        <v>3330</v>
      </c>
      <c r="Q664" t="str">
        <f>IF($C664="","",IFERROR(VLOOKUP($C664,sources!$A$2:$N$200,2,FALSE()),"?"))</f>
        <v>Map</v>
      </c>
      <c r="S664" t="str">
        <f>IF($C664="","",IFERROR(VLOOKUP($C664,sources!$A$2:$N$200,9,FALSE()),"?"))</f>
        <v>US official</v>
      </c>
    </row>
    <row r="665" spans="1:19" x14ac:dyDescent="0.2">
      <c r="A665" t="s">
        <v>3331</v>
      </c>
      <c r="B665" t="s">
        <v>594</v>
      </c>
      <c r="C665" t="s">
        <v>1198</v>
      </c>
      <c r="D665" t="s">
        <v>1666</v>
      </c>
      <c r="E665" t="s">
        <v>595</v>
      </c>
      <c r="F665" t="s">
        <v>1612</v>
      </c>
      <c r="I665" t="s">
        <v>1077</v>
      </c>
      <c r="K665">
        <v>1909</v>
      </c>
      <c r="L665">
        <v>1909</v>
      </c>
      <c r="M665" t="s">
        <v>228</v>
      </c>
      <c r="N665" t="s">
        <v>222</v>
      </c>
      <c r="O665" t="s">
        <v>3297</v>
      </c>
      <c r="P665" t="s">
        <v>3332</v>
      </c>
      <c r="Q665" t="str">
        <f>IF($C665="","",IFERROR(VLOOKUP($C665,sources!$A$2:$N$200,2,FALSE()),"?"))</f>
        <v>Map</v>
      </c>
      <c r="S665" t="str">
        <f>IF($C665="","",IFERROR(VLOOKUP($C665,sources!$A$2:$N$200,9,FALSE()),"?"))</f>
        <v>US official</v>
      </c>
    </row>
    <row r="666" spans="1:19" x14ac:dyDescent="0.2">
      <c r="A666" t="s">
        <v>3333</v>
      </c>
      <c r="B666" t="s">
        <v>603</v>
      </c>
      <c r="C666" t="s">
        <v>1198</v>
      </c>
      <c r="D666" t="s">
        <v>1666</v>
      </c>
      <c r="E666" t="s">
        <v>604</v>
      </c>
      <c r="F666" t="s">
        <v>1612</v>
      </c>
      <c r="I666" t="s">
        <v>1077</v>
      </c>
      <c r="K666">
        <v>1909</v>
      </c>
      <c r="L666">
        <v>1909</v>
      </c>
      <c r="M666" t="s">
        <v>228</v>
      </c>
      <c r="N666" t="s">
        <v>222</v>
      </c>
      <c r="O666" t="s">
        <v>3297</v>
      </c>
      <c r="P666" t="s">
        <v>3334</v>
      </c>
      <c r="Q666" t="str">
        <f>IF($C666="","",IFERROR(VLOOKUP($C666,sources!$A$2:$N$200,2,FALSE()),"?"))</f>
        <v>Map</v>
      </c>
      <c r="S666" t="str">
        <f>IF($C666="","",IFERROR(VLOOKUP($C666,sources!$A$2:$N$200,9,FALSE()),"?"))</f>
        <v>US official</v>
      </c>
    </row>
    <row r="667" spans="1:19" x14ac:dyDescent="0.2">
      <c r="A667" t="s">
        <v>3335</v>
      </c>
      <c r="B667" t="s">
        <v>611</v>
      </c>
      <c r="C667" t="s">
        <v>1198</v>
      </c>
      <c r="D667" t="s">
        <v>1666</v>
      </c>
      <c r="E667" t="s">
        <v>612</v>
      </c>
      <c r="F667" t="s">
        <v>1612</v>
      </c>
      <c r="I667" t="s">
        <v>1077</v>
      </c>
      <c r="K667">
        <v>1909</v>
      </c>
      <c r="L667">
        <v>1909</v>
      </c>
      <c r="M667" t="s">
        <v>228</v>
      </c>
      <c r="N667" t="s">
        <v>222</v>
      </c>
      <c r="O667" t="s">
        <v>3297</v>
      </c>
      <c r="P667" t="s">
        <v>3336</v>
      </c>
      <c r="Q667" t="str">
        <f>IF($C667="","",IFERROR(VLOOKUP($C667,sources!$A$2:$N$200,2,FALSE()),"?"))</f>
        <v>Map</v>
      </c>
      <c r="S667" t="str">
        <f>IF($C667="","",IFERROR(VLOOKUP($C667,sources!$A$2:$N$200,9,FALSE()),"?"))</f>
        <v>US official</v>
      </c>
    </row>
    <row r="668" spans="1:19" x14ac:dyDescent="0.2">
      <c r="A668" t="s">
        <v>3337</v>
      </c>
      <c r="B668" t="s">
        <v>618</v>
      </c>
      <c r="C668" t="s">
        <v>1198</v>
      </c>
      <c r="D668" t="s">
        <v>1666</v>
      </c>
      <c r="E668" t="s">
        <v>619</v>
      </c>
      <c r="F668" t="s">
        <v>1612</v>
      </c>
      <c r="I668" t="s">
        <v>1077</v>
      </c>
      <c r="K668">
        <v>1909</v>
      </c>
      <c r="L668">
        <v>1909</v>
      </c>
      <c r="M668" t="s">
        <v>228</v>
      </c>
      <c r="N668" t="s">
        <v>222</v>
      </c>
      <c r="O668" t="s">
        <v>3297</v>
      </c>
      <c r="P668" t="s">
        <v>3338</v>
      </c>
      <c r="Q668" t="str">
        <f>IF($C668="","",IFERROR(VLOOKUP($C668,sources!$A$2:$N$200,2,FALSE()),"?"))</f>
        <v>Map</v>
      </c>
      <c r="S668" t="str">
        <f>IF($C668="","",IFERROR(VLOOKUP($C668,sources!$A$2:$N$200,9,FALSE()),"?"))</f>
        <v>US official</v>
      </c>
    </row>
    <row r="669" spans="1:19" x14ac:dyDescent="0.2">
      <c r="A669" t="s">
        <v>3339</v>
      </c>
      <c r="B669" t="s">
        <v>630</v>
      </c>
      <c r="C669" t="s">
        <v>1198</v>
      </c>
      <c r="D669" t="s">
        <v>1666</v>
      </c>
      <c r="E669" t="s">
        <v>3340</v>
      </c>
      <c r="F669" t="s">
        <v>1612</v>
      </c>
      <c r="I669" t="s">
        <v>1077</v>
      </c>
      <c r="K669">
        <v>1909</v>
      </c>
      <c r="L669">
        <v>1909</v>
      </c>
      <c r="M669" t="s">
        <v>228</v>
      </c>
      <c r="N669" t="s">
        <v>209</v>
      </c>
      <c r="O669" t="s">
        <v>3297</v>
      </c>
      <c r="P669" t="s">
        <v>3341</v>
      </c>
      <c r="Q669" t="str">
        <f>IF($C669="","",IFERROR(VLOOKUP($C669,sources!$A$2:$N$200,2,FALSE()),"?"))</f>
        <v>Map</v>
      </c>
      <c r="S669" t="str">
        <f>IF($C669="","",IFERROR(VLOOKUP($C669,sources!$A$2:$N$200,9,FALSE()),"?"))</f>
        <v>US official</v>
      </c>
    </row>
    <row r="670" spans="1:19" x14ac:dyDescent="0.2">
      <c r="A670" t="s">
        <v>3342</v>
      </c>
      <c r="B670" t="s">
        <v>634</v>
      </c>
      <c r="C670" t="s">
        <v>1198</v>
      </c>
      <c r="D670" t="s">
        <v>1666</v>
      </c>
      <c r="E670" t="s">
        <v>524</v>
      </c>
      <c r="F670" t="s">
        <v>1612</v>
      </c>
      <c r="I670" t="s">
        <v>1077</v>
      </c>
      <c r="K670">
        <v>1909</v>
      </c>
      <c r="L670">
        <v>1909</v>
      </c>
      <c r="M670" t="s">
        <v>228</v>
      </c>
      <c r="N670" t="s">
        <v>209</v>
      </c>
      <c r="O670" t="s">
        <v>3297</v>
      </c>
      <c r="P670" t="s">
        <v>3343</v>
      </c>
      <c r="Q670" t="str">
        <f>IF($C670="","",IFERROR(VLOOKUP($C670,sources!$A$2:$N$200,2,FALSE()),"?"))</f>
        <v>Map</v>
      </c>
      <c r="S670" t="str">
        <f>IF($C670="","",IFERROR(VLOOKUP($C670,sources!$A$2:$N$200,9,FALSE()),"?"))</f>
        <v>US official</v>
      </c>
    </row>
    <row r="671" spans="1:19" x14ac:dyDescent="0.2">
      <c r="A671" t="s">
        <v>3344</v>
      </c>
      <c r="B671" t="s">
        <v>295</v>
      </c>
      <c r="C671" t="s">
        <v>1198</v>
      </c>
      <c r="D671" t="s">
        <v>1666</v>
      </c>
      <c r="E671" t="s">
        <v>296</v>
      </c>
      <c r="F671" t="s">
        <v>1612</v>
      </c>
      <c r="I671" t="s">
        <v>1077</v>
      </c>
      <c r="K671">
        <v>1909</v>
      </c>
      <c r="L671">
        <v>1909</v>
      </c>
      <c r="M671" t="s">
        <v>228</v>
      </c>
      <c r="N671" t="s">
        <v>222</v>
      </c>
      <c r="O671" t="s">
        <v>3297</v>
      </c>
      <c r="P671" t="s">
        <v>3345</v>
      </c>
      <c r="Q671" t="str">
        <f>IF($C671="","",IFERROR(VLOOKUP($C671,sources!$A$2:$N$200,2,FALSE()),"?"))</f>
        <v>Map</v>
      </c>
      <c r="S671" t="str">
        <f>IF($C671="","",IFERROR(VLOOKUP($C671,sources!$A$2:$N$200,9,FALSE()),"?"))</f>
        <v>US official</v>
      </c>
    </row>
    <row r="672" spans="1:19" x14ac:dyDescent="0.2">
      <c r="A672" t="s">
        <v>3346</v>
      </c>
      <c r="B672" t="s">
        <v>696</v>
      </c>
      <c r="C672" t="s">
        <v>1198</v>
      </c>
      <c r="D672" t="s">
        <v>1666</v>
      </c>
      <c r="E672" t="s">
        <v>300</v>
      </c>
      <c r="F672" t="s">
        <v>1612</v>
      </c>
      <c r="I672" t="s">
        <v>1077</v>
      </c>
      <c r="K672">
        <v>1909</v>
      </c>
      <c r="L672">
        <v>1909</v>
      </c>
      <c r="M672" t="s">
        <v>228</v>
      </c>
      <c r="N672" t="s">
        <v>222</v>
      </c>
      <c r="O672" t="s">
        <v>3297</v>
      </c>
      <c r="P672" t="s">
        <v>3347</v>
      </c>
      <c r="Q672" t="str">
        <f>IF($C672="","",IFERROR(VLOOKUP($C672,sources!$A$2:$N$200,2,FALSE()),"?"))</f>
        <v>Map</v>
      </c>
      <c r="S672" t="str">
        <f>IF($C672="","",IFERROR(VLOOKUP($C672,sources!$A$2:$N$200,9,FALSE()),"?"))</f>
        <v>US official</v>
      </c>
    </row>
    <row r="673" spans="1:19" x14ac:dyDescent="0.2">
      <c r="A673" t="s">
        <v>3348</v>
      </c>
      <c r="B673" t="s">
        <v>313</v>
      </c>
      <c r="C673" t="s">
        <v>1198</v>
      </c>
      <c r="D673" t="s">
        <v>1666</v>
      </c>
      <c r="E673" t="s">
        <v>314</v>
      </c>
      <c r="F673" t="s">
        <v>1612</v>
      </c>
      <c r="I673" t="s">
        <v>1077</v>
      </c>
      <c r="K673">
        <v>1909</v>
      </c>
      <c r="L673">
        <v>1909</v>
      </c>
      <c r="M673" t="s">
        <v>228</v>
      </c>
      <c r="N673" t="s">
        <v>222</v>
      </c>
      <c r="O673" t="s">
        <v>3297</v>
      </c>
      <c r="P673" t="s">
        <v>3349</v>
      </c>
      <c r="Q673" t="str">
        <f>IF($C673="","",IFERROR(VLOOKUP($C673,sources!$A$2:$N$200,2,FALSE()),"?"))</f>
        <v>Map</v>
      </c>
      <c r="S673" t="str">
        <f>IF($C673="","",IFERROR(VLOOKUP($C673,sources!$A$2:$N$200,9,FALSE()),"?"))</f>
        <v>US official</v>
      </c>
    </row>
    <row r="674" spans="1:19" x14ac:dyDescent="0.2">
      <c r="A674" t="s">
        <v>3350</v>
      </c>
      <c r="B674" t="s">
        <v>336</v>
      </c>
      <c r="C674" t="s">
        <v>1198</v>
      </c>
      <c r="D674" t="s">
        <v>1666</v>
      </c>
      <c r="E674" t="s">
        <v>337</v>
      </c>
      <c r="F674" t="s">
        <v>1612</v>
      </c>
      <c r="I674" t="s">
        <v>1077</v>
      </c>
      <c r="K674">
        <v>1909</v>
      </c>
      <c r="L674">
        <v>1909</v>
      </c>
      <c r="M674" t="s">
        <v>228</v>
      </c>
      <c r="N674" t="s">
        <v>222</v>
      </c>
      <c r="O674" t="s">
        <v>3297</v>
      </c>
      <c r="P674" t="s">
        <v>3351</v>
      </c>
      <c r="Q674" t="str">
        <f>IF($C674="","",IFERROR(VLOOKUP($C674,sources!$A$2:$N$200,2,FALSE()),"?"))</f>
        <v>Map</v>
      </c>
      <c r="S674" t="str">
        <f>IF($C674="","",IFERROR(VLOOKUP($C674,sources!$A$2:$N$200,9,FALSE()),"?"))</f>
        <v>US official</v>
      </c>
    </row>
    <row r="675" spans="1:19" x14ac:dyDescent="0.2">
      <c r="A675" t="s">
        <v>3352</v>
      </c>
      <c r="B675" t="s">
        <v>345</v>
      </c>
      <c r="C675" t="s">
        <v>1198</v>
      </c>
      <c r="D675" t="s">
        <v>1666</v>
      </c>
      <c r="E675" t="s">
        <v>346</v>
      </c>
      <c r="F675" t="s">
        <v>1612</v>
      </c>
      <c r="I675" t="s">
        <v>1077</v>
      </c>
      <c r="K675">
        <v>1909</v>
      </c>
      <c r="L675">
        <v>1909</v>
      </c>
      <c r="M675" t="s">
        <v>228</v>
      </c>
      <c r="N675" t="s">
        <v>222</v>
      </c>
      <c r="O675" t="s">
        <v>3297</v>
      </c>
      <c r="P675" t="s">
        <v>3353</v>
      </c>
      <c r="Q675" t="str">
        <f>IF($C675="","",IFERROR(VLOOKUP($C675,sources!$A$2:$N$200,2,FALSE()),"?"))</f>
        <v>Map</v>
      </c>
      <c r="S675" t="str">
        <f>IF($C675="","",IFERROR(VLOOKUP($C675,sources!$A$2:$N$200,9,FALSE()),"?"))</f>
        <v>US official</v>
      </c>
    </row>
    <row r="676" spans="1:19" x14ac:dyDescent="0.2">
      <c r="A676" t="s">
        <v>3354</v>
      </c>
      <c r="B676" t="s">
        <v>367</v>
      </c>
      <c r="C676" t="s">
        <v>1198</v>
      </c>
      <c r="D676" t="s">
        <v>1666</v>
      </c>
      <c r="E676" t="s">
        <v>368</v>
      </c>
      <c r="F676" t="s">
        <v>1612</v>
      </c>
      <c r="I676" t="s">
        <v>1077</v>
      </c>
      <c r="K676">
        <v>1909</v>
      </c>
      <c r="L676">
        <v>1909</v>
      </c>
      <c r="M676" t="s">
        <v>228</v>
      </c>
      <c r="N676" t="s">
        <v>222</v>
      </c>
      <c r="O676" t="s">
        <v>3297</v>
      </c>
      <c r="P676" t="s">
        <v>3355</v>
      </c>
      <c r="Q676" t="str">
        <f>IF($C676="","",IFERROR(VLOOKUP($C676,sources!$A$2:$N$200,2,FALSE()),"?"))</f>
        <v>Map</v>
      </c>
      <c r="S676" t="str">
        <f>IF($C676="","",IFERROR(VLOOKUP($C676,sources!$A$2:$N$200,9,FALSE()),"?"))</f>
        <v>US official</v>
      </c>
    </row>
    <row r="677" spans="1:19" x14ac:dyDescent="0.2">
      <c r="A677" t="s">
        <v>3356</v>
      </c>
      <c r="B677" t="s">
        <v>224</v>
      </c>
      <c r="C677" t="s">
        <v>1187</v>
      </c>
      <c r="D677" t="s">
        <v>1594</v>
      </c>
      <c r="E677" t="s">
        <v>3357</v>
      </c>
      <c r="F677" t="s">
        <v>1587</v>
      </c>
      <c r="G677">
        <v>9.2157</v>
      </c>
      <c r="H677">
        <v>-79.903199999999998</v>
      </c>
      <c r="I677" t="s">
        <v>1595</v>
      </c>
      <c r="J677">
        <v>350</v>
      </c>
      <c r="K677">
        <v>1911</v>
      </c>
      <c r="L677">
        <v>1911</v>
      </c>
      <c r="M677" t="s">
        <v>222</v>
      </c>
      <c r="N677" t="s">
        <v>228</v>
      </c>
      <c r="O677" t="s">
        <v>3358</v>
      </c>
      <c r="P677" t="s">
        <v>3359</v>
      </c>
      <c r="Q677" t="str">
        <f>IF($C677="","",IFERROR(VLOOKUP($C677,sources!$A$2:$N$200,2,FALSE()),"?"))</f>
        <v>Map</v>
      </c>
      <c r="S677" t="str">
        <f>IF($C677="","",IFERROR(VLOOKUP($C677,sources!$A$2:$N$200,9,FALSE()),"?"))</f>
        <v>US official</v>
      </c>
    </row>
    <row r="678" spans="1:19" x14ac:dyDescent="0.2">
      <c r="A678" t="s">
        <v>3360</v>
      </c>
      <c r="B678" t="s">
        <v>232</v>
      </c>
      <c r="C678" t="s">
        <v>1187</v>
      </c>
      <c r="D678" t="s">
        <v>1594</v>
      </c>
      <c r="E678" t="s">
        <v>3361</v>
      </c>
      <c r="F678" t="s">
        <v>1587</v>
      </c>
      <c r="G678">
        <v>9.1168800000000001</v>
      </c>
      <c r="H678">
        <v>-79.698210000000003</v>
      </c>
      <c r="I678" t="s">
        <v>1595</v>
      </c>
      <c r="J678">
        <v>300</v>
      </c>
      <c r="K678">
        <v>1911</v>
      </c>
      <c r="L678">
        <v>1911</v>
      </c>
      <c r="M678" t="s">
        <v>222</v>
      </c>
      <c r="N678" t="s">
        <v>222</v>
      </c>
      <c r="O678" t="s">
        <v>3358</v>
      </c>
      <c r="P678" t="s">
        <v>3362</v>
      </c>
      <c r="Q678" t="str">
        <f>IF($C678="","",IFERROR(VLOOKUP($C678,sources!$A$2:$N$200,2,FALSE()),"?"))</f>
        <v>Map</v>
      </c>
      <c r="S678" t="str">
        <f>IF($C678="","",IFERROR(VLOOKUP($C678,sources!$A$2:$N$200,9,FALSE()),"?"))</f>
        <v>US official</v>
      </c>
    </row>
    <row r="679" spans="1:19" x14ac:dyDescent="0.2">
      <c r="A679" t="s">
        <v>3363</v>
      </c>
      <c r="B679" t="s">
        <v>245</v>
      </c>
      <c r="C679" t="s">
        <v>1187</v>
      </c>
      <c r="D679" t="s">
        <v>1594</v>
      </c>
      <c r="E679" t="s">
        <v>3364</v>
      </c>
      <c r="F679" t="s">
        <v>1612</v>
      </c>
      <c r="G679">
        <v>9.2731100000000009</v>
      </c>
      <c r="H679">
        <v>-79.915570000000002</v>
      </c>
      <c r="I679" t="s">
        <v>1595</v>
      </c>
      <c r="J679">
        <v>300</v>
      </c>
      <c r="K679">
        <v>1911</v>
      </c>
      <c r="L679">
        <v>1911</v>
      </c>
      <c r="M679" t="s">
        <v>222</v>
      </c>
      <c r="N679" t="s">
        <v>222</v>
      </c>
      <c r="O679" t="s">
        <v>3358</v>
      </c>
      <c r="P679" t="s">
        <v>3365</v>
      </c>
      <c r="Q679" t="str">
        <f>IF($C679="","",IFERROR(VLOOKUP($C679,sources!$A$2:$N$200,2,FALSE()),"?"))</f>
        <v>Map</v>
      </c>
      <c r="S679" t="str">
        <f>IF($C679="","",IFERROR(VLOOKUP($C679,sources!$A$2:$N$200,9,FALSE()),"?"))</f>
        <v>US official</v>
      </c>
    </row>
    <row r="680" spans="1:19" x14ac:dyDescent="0.2">
      <c r="A680" t="s">
        <v>3366</v>
      </c>
      <c r="B680" t="s">
        <v>261</v>
      </c>
      <c r="C680" t="s">
        <v>1187</v>
      </c>
      <c r="D680" t="s">
        <v>1594</v>
      </c>
      <c r="E680" t="s">
        <v>3051</v>
      </c>
      <c r="F680" t="s">
        <v>1587</v>
      </c>
      <c r="G680">
        <v>9.1140100000000004</v>
      </c>
      <c r="H680">
        <v>-79.724149999999995</v>
      </c>
      <c r="I680" t="s">
        <v>1595</v>
      </c>
      <c r="J680">
        <v>300</v>
      </c>
      <c r="K680">
        <v>1911</v>
      </c>
      <c r="L680">
        <v>1911</v>
      </c>
      <c r="M680" t="s">
        <v>222</v>
      </c>
      <c r="N680" t="s">
        <v>228</v>
      </c>
      <c r="O680" t="s">
        <v>3358</v>
      </c>
      <c r="P680" t="s">
        <v>3367</v>
      </c>
      <c r="Q680" t="str">
        <f>IF($C680="","",IFERROR(VLOOKUP($C680,sources!$A$2:$N$200,2,FALSE()),"?"))</f>
        <v>Map</v>
      </c>
      <c r="S680" t="str">
        <f>IF($C680="","",IFERROR(VLOOKUP($C680,sources!$A$2:$N$200,9,FALSE()),"?"))</f>
        <v>US official</v>
      </c>
    </row>
    <row r="681" spans="1:19" x14ac:dyDescent="0.2">
      <c r="A681" t="s">
        <v>3368</v>
      </c>
      <c r="B681" t="s">
        <v>266</v>
      </c>
      <c r="C681" t="s">
        <v>1187</v>
      </c>
      <c r="D681" t="s">
        <v>1594</v>
      </c>
      <c r="E681" t="s">
        <v>3369</v>
      </c>
      <c r="F681" t="s">
        <v>1587</v>
      </c>
      <c r="G681">
        <v>9.0408399999999993</v>
      </c>
      <c r="H681">
        <v>-79.648539999999997</v>
      </c>
      <c r="I681" t="s">
        <v>1595</v>
      </c>
      <c r="J681">
        <v>400</v>
      </c>
      <c r="K681">
        <v>1911</v>
      </c>
      <c r="L681">
        <v>1911</v>
      </c>
      <c r="M681" t="s">
        <v>222</v>
      </c>
      <c r="N681" t="s">
        <v>228</v>
      </c>
      <c r="O681" t="s">
        <v>3358</v>
      </c>
      <c r="P681" t="s">
        <v>3370</v>
      </c>
      <c r="Q681" t="str">
        <f>IF($C681="","",IFERROR(VLOOKUP($C681,sources!$A$2:$N$200,2,FALSE()),"?"))</f>
        <v>Map</v>
      </c>
      <c r="S681" t="str">
        <f>IF($C681="","",IFERROR(VLOOKUP($C681,sources!$A$2:$N$200,9,FALSE()),"?"))</f>
        <v>US official</v>
      </c>
    </row>
    <row r="682" spans="1:19" x14ac:dyDescent="0.2">
      <c r="A682" t="s">
        <v>3371</v>
      </c>
      <c r="B682" t="s">
        <v>359</v>
      </c>
      <c r="C682" t="s">
        <v>1187</v>
      </c>
      <c r="D682" t="s">
        <v>1594</v>
      </c>
      <c r="E682" t="s">
        <v>3372</v>
      </c>
      <c r="F682" t="s">
        <v>1587</v>
      </c>
      <c r="G682">
        <v>9.0322300000000002</v>
      </c>
      <c r="H682">
        <v>-79.662390000000002</v>
      </c>
      <c r="I682" t="s">
        <v>1595</v>
      </c>
      <c r="J682">
        <v>300</v>
      </c>
      <c r="K682">
        <v>1911</v>
      </c>
      <c r="L682">
        <v>1911</v>
      </c>
      <c r="M682" t="s">
        <v>222</v>
      </c>
      <c r="N682" t="s">
        <v>228</v>
      </c>
      <c r="O682" t="s">
        <v>3358</v>
      </c>
      <c r="P682" t="s">
        <v>3373</v>
      </c>
      <c r="Q682" t="str">
        <f>IF($C682="","",IFERROR(VLOOKUP($C682,sources!$A$2:$N$200,2,FALSE()),"?"))</f>
        <v>Map</v>
      </c>
      <c r="S682" t="str">
        <f>IF($C682="","",IFERROR(VLOOKUP($C682,sources!$A$2:$N$200,9,FALSE()),"?"))</f>
        <v>US official</v>
      </c>
    </row>
    <row r="683" spans="1:19" x14ac:dyDescent="0.2">
      <c r="A683" t="s">
        <v>3374</v>
      </c>
      <c r="B683" t="s">
        <v>363</v>
      </c>
      <c r="C683" t="s">
        <v>1187</v>
      </c>
      <c r="D683" t="s">
        <v>1594</v>
      </c>
      <c r="E683" t="s">
        <v>3375</v>
      </c>
      <c r="F683" t="s">
        <v>1587</v>
      </c>
      <c r="G683">
        <v>9.0237800000000004</v>
      </c>
      <c r="H683">
        <v>-79.601070000000007</v>
      </c>
      <c r="I683" t="s">
        <v>1595</v>
      </c>
      <c r="J683">
        <v>400</v>
      </c>
      <c r="K683">
        <v>1911</v>
      </c>
      <c r="L683">
        <v>1911</v>
      </c>
      <c r="M683" t="s">
        <v>222</v>
      </c>
      <c r="N683" t="s">
        <v>228</v>
      </c>
      <c r="O683" t="s">
        <v>3358</v>
      </c>
      <c r="P683" t="s">
        <v>3376</v>
      </c>
      <c r="Q683" t="str">
        <f>IF($C683="","",IFERROR(VLOOKUP($C683,sources!$A$2:$N$200,2,FALSE()),"?"))</f>
        <v>Map</v>
      </c>
      <c r="S683" t="str">
        <f>IF($C683="","",IFERROR(VLOOKUP($C683,sources!$A$2:$N$200,9,FALSE()),"?"))</f>
        <v>US official</v>
      </c>
    </row>
    <row r="684" spans="1:19" x14ac:dyDescent="0.2">
      <c r="A684" t="s">
        <v>3377</v>
      </c>
      <c r="B684" t="s">
        <v>376</v>
      </c>
      <c r="C684" t="s">
        <v>1187</v>
      </c>
      <c r="D684" t="s">
        <v>1594</v>
      </c>
      <c r="E684" t="s">
        <v>3378</v>
      </c>
      <c r="F684" t="s">
        <v>1587</v>
      </c>
      <c r="G684">
        <v>9.0269700000000004</v>
      </c>
      <c r="H684">
        <v>-79.624989999999997</v>
      </c>
      <c r="I684" t="s">
        <v>1595</v>
      </c>
      <c r="J684">
        <v>250</v>
      </c>
      <c r="K684">
        <v>1911</v>
      </c>
      <c r="L684">
        <v>1911</v>
      </c>
      <c r="M684" t="s">
        <v>222</v>
      </c>
      <c r="N684" t="s">
        <v>222</v>
      </c>
      <c r="O684" t="s">
        <v>3358</v>
      </c>
      <c r="P684" t="s">
        <v>3379</v>
      </c>
      <c r="Q684" t="str">
        <f>IF($C684="","",IFERROR(VLOOKUP($C684,sources!$A$2:$N$200,2,FALSE()),"?"))</f>
        <v>Map</v>
      </c>
      <c r="S684" t="str">
        <f>IF($C684="","",IFERROR(VLOOKUP($C684,sources!$A$2:$N$200,9,FALSE()),"?"))</f>
        <v>US official</v>
      </c>
    </row>
    <row r="685" spans="1:19" x14ac:dyDescent="0.2">
      <c r="A685" t="s">
        <v>3380</v>
      </c>
      <c r="B685" t="s">
        <v>417</v>
      </c>
      <c r="C685" t="s">
        <v>1187</v>
      </c>
      <c r="D685" t="s">
        <v>1599</v>
      </c>
      <c r="E685" t="s">
        <v>3381</v>
      </c>
      <c r="F685" t="s">
        <v>1587</v>
      </c>
      <c r="G685">
        <v>9.0966699999999996</v>
      </c>
      <c r="H685">
        <v>-79.699809999999999</v>
      </c>
      <c r="I685" t="s">
        <v>1595</v>
      </c>
      <c r="J685">
        <v>350</v>
      </c>
      <c r="K685">
        <v>1911</v>
      </c>
      <c r="L685">
        <v>1911</v>
      </c>
      <c r="M685" t="s">
        <v>222</v>
      </c>
      <c r="N685" t="s">
        <v>228</v>
      </c>
      <c r="O685" t="s">
        <v>3358</v>
      </c>
      <c r="P685" t="s">
        <v>3382</v>
      </c>
      <c r="Q685" t="str">
        <f>IF($C685="","",IFERROR(VLOOKUP($C685,sources!$A$2:$N$200,2,FALSE()),"?"))</f>
        <v>Map</v>
      </c>
      <c r="S685" t="str">
        <f>IF($C685="","",IFERROR(VLOOKUP($C685,sources!$A$2:$N$200,9,FALSE()),"?"))</f>
        <v>US official</v>
      </c>
    </row>
    <row r="686" spans="1:19" x14ac:dyDescent="0.2">
      <c r="A686" t="s">
        <v>3383</v>
      </c>
      <c r="B686" t="s">
        <v>426</v>
      </c>
      <c r="C686" t="s">
        <v>1187</v>
      </c>
      <c r="D686" t="s">
        <v>1594</v>
      </c>
      <c r="E686" t="s">
        <v>3384</v>
      </c>
      <c r="F686" t="s">
        <v>1612</v>
      </c>
      <c r="G686">
        <v>9.3695500000000003</v>
      </c>
      <c r="H686">
        <v>-79.947069999999997</v>
      </c>
      <c r="I686" t="s">
        <v>1595</v>
      </c>
      <c r="J686">
        <v>200</v>
      </c>
      <c r="K686">
        <v>1911</v>
      </c>
      <c r="L686">
        <v>1911</v>
      </c>
      <c r="M686" t="s">
        <v>222</v>
      </c>
      <c r="N686" t="s">
        <v>222</v>
      </c>
      <c r="O686" t="s">
        <v>3358</v>
      </c>
      <c r="P686" t="s">
        <v>3385</v>
      </c>
      <c r="Q686" t="str">
        <f>IF($C686="","",IFERROR(VLOOKUP($C686,sources!$A$2:$N$200,2,FALSE()),"?"))</f>
        <v>Map</v>
      </c>
      <c r="S686" t="str">
        <f>IF($C686="","",IFERROR(VLOOKUP($C686,sources!$A$2:$N$200,9,FALSE()),"?"))</f>
        <v>US official</v>
      </c>
    </row>
    <row r="687" spans="1:19" x14ac:dyDescent="0.2">
      <c r="A687" t="s">
        <v>3386</v>
      </c>
      <c r="B687" t="s">
        <v>448</v>
      </c>
      <c r="C687" t="s">
        <v>1187</v>
      </c>
      <c r="D687" t="s">
        <v>1594</v>
      </c>
      <c r="E687" t="s">
        <v>3387</v>
      </c>
      <c r="F687" t="s">
        <v>1587</v>
      </c>
      <c r="G687">
        <v>9.2063000000000006</v>
      </c>
      <c r="H687">
        <v>-79.605099999999993</v>
      </c>
      <c r="I687" t="s">
        <v>1595</v>
      </c>
      <c r="J687">
        <v>800</v>
      </c>
      <c r="K687">
        <v>1911</v>
      </c>
      <c r="L687">
        <v>1911</v>
      </c>
      <c r="M687" t="s">
        <v>222</v>
      </c>
      <c r="N687" t="s">
        <v>228</v>
      </c>
      <c r="O687" t="s">
        <v>3358</v>
      </c>
      <c r="P687" t="s">
        <v>3388</v>
      </c>
      <c r="Q687" t="str">
        <f>IF($C687="","",IFERROR(VLOOKUP($C687,sources!$A$2:$N$200,2,FALSE()),"?"))</f>
        <v>Map</v>
      </c>
      <c r="S687" t="str">
        <f>IF($C687="","",IFERROR(VLOOKUP($C687,sources!$A$2:$N$200,9,FALSE()),"?"))</f>
        <v>US official</v>
      </c>
    </row>
    <row r="688" spans="1:19" x14ac:dyDescent="0.2">
      <c r="A688" t="s">
        <v>3389</v>
      </c>
      <c r="B688" t="s">
        <v>484</v>
      </c>
      <c r="C688" t="s">
        <v>1187</v>
      </c>
      <c r="D688" t="s">
        <v>1594</v>
      </c>
      <c r="E688" t="s">
        <v>3390</v>
      </c>
      <c r="F688" t="s">
        <v>1587</v>
      </c>
      <c r="G688">
        <v>9.0516000000000005</v>
      </c>
      <c r="H688">
        <v>-79.663319999999999</v>
      </c>
      <c r="I688" t="s">
        <v>1595</v>
      </c>
      <c r="J688">
        <v>350</v>
      </c>
      <c r="K688">
        <v>1911</v>
      </c>
      <c r="L688">
        <v>1911</v>
      </c>
      <c r="M688" t="s">
        <v>222</v>
      </c>
      <c r="N688" t="s">
        <v>222</v>
      </c>
      <c r="O688" t="s">
        <v>3358</v>
      </c>
      <c r="P688" t="s">
        <v>3391</v>
      </c>
      <c r="Q688" t="str">
        <f>IF($C688="","",IFERROR(VLOOKUP($C688,sources!$A$2:$N$200,2,FALSE()),"?"))</f>
        <v>Map</v>
      </c>
      <c r="S688" t="str">
        <f>IF($C688="","",IFERROR(VLOOKUP($C688,sources!$A$2:$N$200,9,FALSE()),"?"))</f>
        <v>US official</v>
      </c>
    </row>
    <row r="689" spans="1:19" x14ac:dyDescent="0.2">
      <c r="A689" t="s">
        <v>3392</v>
      </c>
      <c r="B689" t="s">
        <v>503</v>
      </c>
      <c r="C689" t="s">
        <v>1187</v>
      </c>
      <c r="D689" t="s">
        <v>1594</v>
      </c>
      <c r="E689" t="s">
        <v>3393</v>
      </c>
      <c r="F689" t="s">
        <v>1587</v>
      </c>
      <c r="G689">
        <v>9.1664999999999992</v>
      </c>
      <c r="H689">
        <v>-79.6477</v>
      </c>
      <c r="I689" t="s">
        <v>1595</v>
      </c>
      <c r="J689">
        <v>400</v>
      </c>
      <c r="K689">
        <v>1911</v>
      </c>
      <c r="L689">
        <v>1911</v>
      </c>
      <c r="M689" t="s">
        <v>222</v>
      </c>
      <c r="N689" t="s">
        <v>228</v>
      </c>
      <c r="O689" t="s">
        <v>3358</v>
      </c>
      <c r="P689" t="s">
        <v>3394</v>
      </c>
      <c r="Q689" t="str">
        <f>IF($C689="","",IFERROR(VLOOKUP($C689,sources!$A$2:$N$200,2,FALSE()),"?"))</f>
        <v>Map</v>
      </c>
      <c r="S689" t="str">
        <f>IF($C689="","",IFERROR(VLOOKUP($C689,sources!$A$2:$N$200,9,FALSE()),"?"))</f>
        <v>US official</v>
      </c>
    </row>
    <row r="690" spans="1:19" x14ac:dyDescent="0.2">
      <c r="A690" t="s">
        <v>3395</v>
      </c>
      <c r="B690" t="s">
        <v>509</v>
      </c>
      <c r="C690" t="s">
        <v>1187</v>
      </c>
      <c r="D690" t="s">
        <v>1594</v>
      </c>
      <c r="E690" t="s">
        <v>3396</v>
      </c>
      <c r="F690" t="s">
        <v>1612</v>
      </c>
      <c r="G690">
        <v>9.0784099999999999</v>
      </c>
      <c r="H690">
        <v>-79.679720000000003</v>
      </c>
      <c r="I690" t="s">
        <v>1595</v>
      </c>
      <c r="J690">
        <v>350</v>
      </c>
      <c r="K690">
        <v>1911</v>
      </c>
      <c r="L690">
        <v>1911</v>
      </c>
      <c r="M690" t="s">
        <v>222</v>
      </c>
      <c r="N690" t="s">
        <v>228</v>
      </c>
      <c r="O690" t="s">
        <v>3358</v>
      </c>
      <c r="P690" t="s">
        <v>3397</v>
      </c>
      <c r="Q690" t="str">
        <f>IF($C690="","",IFERROR(VLOOKUP($C690,sources!$A$2:$N$200,2,FALSE()),"?"))</f>
        <v>Map</v>
      </c>
      <c r="S690" t="str">
        <f>IF($C690="","",IFERROR(VLOOKUP($C690,sources!$A$2:$N$200,9,FALSE()),"?"))</f>
        <v>US official</v>
      </c>
    </row>
    <row r="691" spans="1:19" x14ac:dyDescent="0.2">
      <c r="A691" t="s">
        <v>3398</v>
      </c>
      <c r="B691" t="s">
        <v>517</v>
      </c>
      <c r="C691" t="s">
        <v>1187</v>
      </c>
      <c r="D691" t="s">
        <v>1594</v>
      </c>
      <c r="E691" t="s">
        <v>3399</v>
      </c>
      <c r="F691" t="s">
        <v>1587</v>
      </c>
      <c r="G691">
        <v>9.1789000000000005</v>
      </c>
      <c r="H691">
        <v>-79.870339999999999</v>
      </c>
      <c r="I691" t="s">
        <v>1595</v>
      </c>
      <c r="J691">
        <v>350</v>
      </c>
      <c r="K691">
        <v>1911</v>
      </c>
      <c r="L691">
        <v>1911</v>
      </c>
      <c r="M691" t="s">
        <v>222</v>
      </c>
      <c r="N691" t="s">
        <v>228</v>
      </c>
      <c r="O691" t="s">
        <v>3358</v>
      </c>
      <c r="P691" t="s">
        <v>3400</v>
      </c>
      <c r="Q691" t="str">
        <f>IF($C691="","",IFERROR(VLOOKUP($C691,sources!$A$2:$N$200,2,FALSE()),"?"))</f>
        <v>Map</v>
      </c>
      <c r="S691" t="str">
        <f>IF($C691="","",IFERROR(VLOOKUP($C691,sources!$A$2:$N$200,9,FALSE()),"?"))</f>
        <v>US official</v>
      </c>
    </row>
    <row r="692" spans="1:19" x14ac:dyDescent="0.2">
      <c r="A692" t="s">
        <v>3401</v>
      </c>
      <c r="B692" t="s">
        <v>522</v>
      </c>
      <c r="C692" t="s">
        <v>1187</v>
      </c>
      <c r="D692" t="s">
        <v>1594</v>
      </c>
      <c r="E692" t="s">
        <v>3402</v>
      </c>
      <c r="F692" t="s">
        <v>1587</v>
      </c>
      <c r="G692">
        <v>9.0227380000000004</v>
      </c>
      <c r="H692">
        <v>-79.627855999999994</v>
      </c>
      <c r="I692" t="s">
        <v>1595</v>
      </c>
      <c r="J692">
        <v>350</v>
      </c>
      <c r="K692">
        <v>1911</v>
      </c>
      <c r="L692">
        <v>1911</v>
      </c>
      <c r="M692" t="s">
        <v>222</v>
      </c>
      <c r="N692" t="s">
        <v>228</v>
      </c>
      <c r="O692" t="s">
        <v>3358</v>
      </c>
      <c r="P692" t="s">
        <v>3403</v>
      </c>
      <c r="Q692" t="str">
        <f>IF($C692="","",IFERROR(VLOOKUP($C692,sources!$A$2:$N$200,2,FALSE()),"?"))</f>
        <v>Map</v>
      </c>
      <c r="S692" t="str">
        <f>IF($C692="","",IFERROR(VLOOKUP($C692,sources!$A$2:$N$200,9,FALSE()),"?"))</f>
        <v>US official</v>
      </c>
    </row>
    <row r="693" spans="1:19" x14ac:dyDescent="0.2">
      <c r="A693" t="s">
        <v>3404</v>
      </c>
      <c r="B693" t="s">
        <v>526</v>
      </c>
      <c r="C693" t="s">
        <v>1187</v>
      </c>
      <c r="D693" t="s">
        <v>1594</v>
      </c>
      <c r="E693" t="s">
        <v>3405</v>
      </c>
      <c r="F693" t="s">
        <v>1587</v>
      </c>
      <c r="G693">
        <v>9.1405999999999992</v>
      </c>
      <c r="H693">
        <v>-79.668899999999994</v>
      </c>
      <c r="I693" t="s">
        <v>1595</v>
      </c>
      <c r="J693">
        <v>400</v>
      </c>
      <c r="K693">
        <v>1911</v>
      </c>
      <c r="L693">
        <v>1911</v>
      </c>
      <c r="M693" t="s">
        <v>222</v>
      </c>
      <c r="N693" t="s">
        <v>228</v>
      </c>
      <c r="O693" t="s">
        <v>3358</v>
      </c>
      <c r="P693" t="s">
        <v>3406</v>
      </c>
      <c r="Q693" t="str">
        <f>IF($C693="","",IFERROR(VLOOKUP($C693,sources!$A$2:$N$200,2,FALSE()),"?"))</f>
        <v>Map</v>
      </c>
      <c r="S693" t="str">
        <f>IF($C693="","",IFERROR(VLOOKUP($C693,sources!$A$2:$N$200,9,FALSE()),"?"))</f>
        <v>US official</v>
      </c>
    </row>
    <row r="694" spans="1:19" x14ac:dyDescent="0.2">
      <c r="A694" t="s">
        <v>3407</v>
      </c>
      <c r="B694" t="s">
        <v>584</v>
      </c>
      <c r="C694" t="s">
        <v>1187</v>
      </c>
      <c r="D694" t="s">
        <v>1594</v>
      </c>
      <c r="E694" t="s">
        <v>3408</v>
      </c>
      <c r="F694" t="s">
        <v>3285</v>
      </c>
      <c r="G694">
        <v>9.0977189999999997</v>
      </c>
      <c r="H694">
        <v>-79.685924</v>
      </c>
      <c r="I694" t="s">
        <v>1595</v>
      </c>
      <c r="J694">
        <v>350</v>
      </c>
      <c r="K694">
        <v>1911</v>
      </c>
      <c r="L694">
        <v>1911</v>
      </c>
      <c r="M694" t="s">
        <v>222</v>
      </c>
      <c r="N694" t="s">
        <v>228</v>
      </c>
      <c r="O694" t="s">
        <v>3358</v>
      </c>
      <c r="P694" t="s">
        <v>3409</v>
      </c>
      <c r="Q694" t="str">
        <f>IF($C694="","",IFERROR(VLOOKUP($C694,sources!$A$2:$N$200,2,FALSE()),"?"))</f>
        <v>Map</v>
      </c>
      <c r="S694" t="str">
        <f>IF($C694="","",IFERROR(VLOOKUP($C694,sources!$A$2:$N$200,9,FALSE()),"?"))</f>
        <v>US official</v>
      </c>
    </row>
    <row r="695" spans="1:19" x14ac:dyDescent="0.2">
      <c r="A695" t="s">
        <v>3410</v>
      </c>
      <c r="B695" t="s">
        <v>599</v>
      </c>
      <c r="C695" t="s">
        <v>1187</v>
      </c>
      <c r="D695" t="s">
        <v>1594</v>
      </c>
      <c r="E695" t="s">
        <v>3411</v>
      </c>
      <c r="F695" t="s">
        <v>3285</v>
      </c>
      <c r="G695">
        <v>9.0670999999999999</v>
      </c>
      <c r="H695">
        <v>-79.673699999999997</v>
      </c>
      <c r="I695" t="s">
        <v>1595</v>
      </c>
      <c r="J695">
        <v>400</v>
      </c>
      <c r="K695">
        <v>1911</v>
      </c>
      <c r="L695">
        <v>1911</v>
      </c>
      <c r="M695" t="s">
        <v>222</v>
      </c>
      <c r="N695" t="s">
        <v>228</v>
      </c>
      <c r="O695" t="s">
        <v>3358</v>
      </c>
      <c r="P695" t="s">
        <v>3412</v>
      </c>
      <c r="Q695" t="str">
        <f>IF($C695="","",IFERROR(VLOOKUP($C695,sources!$A$2:$N$200,2,FALSE()),"?"))</f>
        <v>Map</v>
      </c>
      <c r="S695" t="str">
        <f>IF($C695="","",IFERROR(VLOOKUP($C695,sources!$A$2:$N$200,9,FALSE()),"?"))</f>
        <v>US official</v>
      </c>
    </row>
    <row r="696" spans="1:19" x14ac:dyDescent="0.2">
      <c r="A696" t="s">
        <v>3413</v>
      </c>
      <c r="B696" t="s">
        <v>603</v>
      </c>
      <c r="C696" t="s">
        <v>1187</v>
      </c>
      <c r="D696" t="s">
        <v>1594</v>
      </c>
      <c r="E696" t="s">
        <v>3414</v>
      </c>
      <c r="F696" t="s">
        <v>1587</v>
      </c>
      <c r="G696">
        <v>9.0574100000000008</v>
      </c>
      <c r="H696">
        <v>-79.674409999999995</v>
      </c>
      <c r="I696" t="s">
        <v>1595</v>
      </c>
      <c r="J696">
        <v>400</v>
      </c>
      <c r="K696">
        <v>1911</v>
      </c>
      <c r="L696">
        <v>1911</v>
      </c>
      <c r="M696" t="s">
        <v>222</v>
      </c>
      <c r="N696" t="s">
        <v>228</v>
      </c>
      <c r="O696" t="s">
        <v>3358</v>
      </c>
      <c r="P696" t="s">
        <v>3415</v>
      </c>
      <c r="Q696" t="str">
        <f>IF($C696="","",IFERROR(VLOOKUP($C696,sources!$A$2:$N$200,2,FALSE()),"?"))</f>
        <v>Map</v>
      </c>
      <c r="S696" t="str">
        <f>IF($C696="","",IFERROR(VLOOKUP($C696,sources!$A$2:$N$200,9,FALSE()),"?"))</f>
        <v>US official</v>
      </c>
    </row>
    <row r="697" spans="1:19" x14ac:dyDescent="0.2">
      <c r="A697" t="s">
        <v>3416</v>
      </c>
      <c r="B697" t="s">
        <v>607</v>
      </c>
      <c r="C697" t="s">
        <v>1187</v>
      </c>
      <c r="D697" t="s">
        <v>1594</v>
      </c>
      <c r="E697" t="s">
        <v>3417</v>
      </c>
      <c r="F697" t="s">
        <v>1587</v>
      </c>
      <c r="G697">
        <v>9.0529650000000004</v>
      </c>
      <c r="H697">
        <v>-79.656103999999999</v>
      </c>
      <c r="I697" t="s">
        <v>1595</v>
      </c>
      <c r="J697">
        <v>300</v>
      </c>
      <c r="K697">
        <v>1911</v>
      </c>
      <c r="L697">
        <v>1911</v>
      </c>
      <c r="M697" t="s">
        <v>222</v>
      </c>
      <c r="N697" t="s">
        <v>222</v>
      </c>
      <c r="O697" t="s">
        <v>3358</v>
      </c>
      <c r="P697" t="s">
        <v>3418</v>
      </c>
      <c r="Q697" t="str">
        <f>IF($C697="","",IFERROR(VLOOKUP($C697,sources!$A$2:$N$200,2,FALSE()),"?"))</f>
        <v>Map</v>
      </c>
      <c r="S697" t="str">
        <f>IF($C697="","",IFERROR(VLOOKUP($C697,sources!$A$2:$N$200,9,FALSE()),"?"))</f>
        <v>US official</v>
      </c>
    </row>
    <row r="698" spans="1:19" x14ac:dyDescent="0.2">
      <c r="A698" t="s">
        <v>3419</v>
      </c>
      <c r="B698" t="s">
        <v>611</v>
      </c>
      <c r="C698" t="s">
        <v>1187</v>
      </c>
      <c r="D698" t="s">
        <v>1594</v>
      </c>
      <c r="E698" t="s">
        <v>3420</v>
      </c>
      <c r="F698" t="s">
        <v>1587</v>
      </c>
      <c r="G698">
        <v>9.1164400000000008</v>
      </c>
      <c r="H698">
        <v>-79.733369999999994</v>
      </c>
      <c r="I698" t="s">
        <v>1595</v>
      </c>
      <c r="J698">
        <v>350</v>
      </c>
      <c r="K698">
        <v>1911</v>
      </c>
      <c r="L698">
        <v>1911</v>
      </c>
      <c r="M698" t="s">
        <v>222</v>
      </c>
      <c r="N698" t="s">
        <v>228</v>
      </c>
      <c r="O698" t="s">
        <v>3358</v>
      </c>
      <c r="P698" t="s">
        <v>3421</v>
      </c>
      <c r="Q698" t="str">
        <f>IF($C698="","",IFERROR(VLOOKUP($C698,sources!$A$2:$N$200,2,FALSE()),"?"))</f>
        <v>Map</v>
      </c>
      <c r="S698" t="str">
        <f>IF($C698="","",IFERROR(VLOOKUP($C698,sources!$A$2:$N$200,9,FALSE()),"?"))</f>
        <v>US official</v>
      </c>
    </row>
    <row r="699" spans="1:19" x14ac:dyDescent="0.2">
      <c r="A699" t="s">
        <v>3422</v>
      </c>
      <c r="B699" t="s">
        <v>622</v>
      </c>
      <c r="C699" t="s">
        <v>1187</v>
      </c>
      <c r="D699" t="s">
        <v>1594</v>
      </c>
      <c r="E699" t="s">
        <v>3423</v>
      </c>
      <c r="F699" t="s">
        <v>1587</v>
      </c>
      <c r="G699">
        <v>9.2022200000000005</v>
      </c>
      <c r="H699">
        <v>-79.894170000000003</v>
      </c>
      <c r="I699" t="s">
        <v>1595</v>
      </c>
      <c r="J699">
        <v>350</v>
      </c>
      <c r="K699">
        <v>1911</v>
      </c>
      <c r="L699">
        <v>1911</v>
      </c>
      <c r="M699" t="s">
        <v>222</v>
      </c>
      <c r="N699" t="s">
        <v>228</v>
      </c>
      <c r="O699" t="s">
        <v>3358</v>
      </c>
      <c r="P699" t="s">
        <v>3424</v>
      </c>
      <c r="Q699" t="str">
        <f>IF($C699="","",IFERROR(VLOOKUP($C699,sources!$A$2:$N$200,2,FALSE()),"?"))</f>
        <v>Map</v>
      </c>
      <c r="S699" t="str">
        <f>IF($C699="","",IFERROR(VLOOKUP($C699,sources!$A$2:$N$200,9,FALSE()),"?"))</f>
        <v>US official</v>
      </c>
    </row>
    <row r="700" spans="1:19" x14ac:dyDescent="0.2">
      <c r="A700" t="s">
        <v>3425</v>
      </c>
      <c r="B700" t="s">
        <v>626</v>
      </c>
      <c r="C700" t="s">
        <v>1187</v>
      </c>
      <c r="D700" t="s">
        <v>1594</v>
      </c>
      <c r="E700" t="s">
        <v>3426</v>
      </c>
      <c r="F700" t="s">
        <v>1587</v>
      </c>
      <c r="G700">
        <v>9.1985600000000005</v>
      </c>
      <c r="H700">
        <v>-79.895020000000002</v>
      </c>
      <c r="I700" t="s">
        <v>1595</v>
      </c>
      <c r="J700">
        <v>350</v>
      </c>
      <c r="K700">
        <v>1911</v>
      </c>
      <c r="L700">
        <v>1911</v>
      </c>
      <c r="M700" t="s">
        <v>222</v>
      </c>
      <c r="N700" t="s">
        <v>228</v>
      </c>
      <c r="O700" t="s">
        <v>3358</v>
      </c>
      <c r="P700" t="s">
        <v>3427</v>
      </c>
      <c r="Q700" t="str">
        <f>IF($C700="","",IFERROR(VLOOKUP($C700,sources!$A$2:$N$200,2,FALSE()),"?"))</f>
        <v>Map</v>
      </c>
      <c r="S700" t="str">
        <f>IF($C700="","",IFERROR(VLOOKUP($C700,sources!$A$2:$N$200,9,FALSE()),"?"))</f>
        <v>US official</v>
      </c>
    </row>
    <row r="701" spans="1:19" x14ac:dyDescent="0.2">
      <c r="A701" t="s">
        <v>3428</v>
      </c>
      <c r="B701" t="s">
        <v>236</v>
      </c>
      <c r="C701" t="s">
        <v>1187</v>
      </c>
      <c r="D701" t="s">
        <v>1666</v>
      </c>
      <c r="E701" t="s">
        <v>237</v>
      </c>
      <c r="F701" t="s">
        <v>1612</v>
      </c>
      <c r="I701" t="s">
        <v>1077</v>
      </c>
      <c r="K701">
        <v>1911</v>
      </c>
      <c r="L701">
        <v>1911</v>
      </c>
      <c r="M701" t="s">
        <v>228</v>
      </c>
      <c r="N701" t="s">
        <v>222</v>
      </c>
      <c r="O701" t="s">
        <v>3297</v>
      </c>
      <c r="P701" t="s">
        <v>3429</v>
      </c>
      <c r="Q701" t="str">
        <f>IF($C701="","",IFERROR(VLOOKUP($C701,sources!$A$2:$N$200,2,FALSE()),"?"))</f>
        <v>Map</v>
      </c>
      <c r="S701" t="str">
        <f>IF($C701="","",IFERROR(VLOOKUP($C701,sources!$A$2:$N$200,9,FALSE()),"?"))</f>
        <v>US official</v>
      </c>
    </row>
    <row r="702" spans="1:19" x14ac:dyDescent="0.2">
      <c r="A702" t="s">
        <v>3430</v>
      </c>
      <c r="B702" t="s">
        <v>236</v>
      </c>
      <c r="C702" t="s">
        <v>1187</v>
      </c>
      <c r="D702" t="s">
        <v>1585</v>
      </c>
      <c r="E702" t="s">
        <v>3431</v>
      </c>
      <c r="F702" t="s">
        <v>1587</v>
      </c>
      <c r="I702" t="s">
        <v>1077</v>
      </c>
      <c r="K702">
        <v>1911</v>
      </c>
      <c r="L702">
        <v>1911</v>
      </c>
      <c r="M702" t="s">
        <v>222</v>
      </c>
      <c r="N702" t="s">
        <v>222</v>
      </c>
      <c r="O702" t="s">
        <v>3358</v>
      </c>
      <c r="P702" t="s">
        <v>3432</v>
      </c>
      <c r="Q702" t="str">
        <f>IF($C702="","",IFERROR(VLOOKUP($C702,sources!$A$2:$N$200,2,FALSE()),"?"))</f>
        <v>Map</v>
      </c>
      <c r="S702" t="str">
        <f>IF($C702="","",IFERROR(VLOOKUP($C702,sources!$A$2:$N$200,9,FALSE()),"?"))</f>
        <v>US official</v>
      </c>
    </row>
    <row r="703" spans="1:19" x14ac:dyDescent="0.2">
      <c r="A703" t="s">
        <v>3433</v>
      </c>
      <c r="B703" t="s">
        <v>238</v>
      </c>
      <c r="C703" t="s">
        <v>1187</v>
      </c>
      <c r="D703" t="s">
        <v>1666</v>
      </c>
      <c r="E703" t="s">
        <v>239</v>
      </c>
      <c r="F703" t="s">
        <v>1612</v>
      </c>
      <c r="I703" t="s">
        <v>1077</v>
      </c>
      <c r="K703">
        <v>1911</v>
      </c>
      <c r="L703">
        <v>1911</v>
      </c>
      <c r="M703" t="s">
        <v>228</v>
      </c>
      <c r="N703" t="s">
        <v>222</v>
      </c>
      <c r="O703" t="s">
        <v>3297</v>
      </c>
      <c r="P703" t="s">
        <v>3434</v>
      </c>
      <c r="Q703" t="str">
        <f>IF($C703="","",IFERROR(VLOOKUP($C703,sources!$A$2:$N$200,2,FALSE()),"?"))</f>
        <v>Map</v>
      </c>
      <c r="S703" t="str">
        <f>IF($C703="","",IFERROR(VLOOKUP($C703,sources!$A$2:$N$200,9,FALSE()),"?"))</f>
        <v>US official</v>
      </c>
    </row>
    <row r="704" spans="1:19" x14ac:dyDescent="0.2">
      <c r="A704" t="s">
        <v>3435</v>
      </c>
      <c r="B704" t="s">
        <v>284</v>
      </c>
      <c r="C704" t="s">
        <v>1187</v>
      </c>
      <c r="D704" t="s">
        <v>1666</v>
      </c>
      <c r="E704" t="s">
        <v>285</v>
      </c>
      <c r="F704" t="s">
        <v>1612</v>
      </c>
      <c r="I704" t="s">
        <v>1077</v>
      </c>
      <c r="K704">
        <v>1911</v>
      </c>
      <c r="L704">
        <v>1911</v>
      </c>
      <c r="M704" t="s">
        <v>228</v>
      </c>
      <c r="N704" t="s">
        <v>222</v>
      </c>
      <c r="O704" t="s">
        <v>3297</v>
      </c>
      <c r="P704" t="s">
        <v>3436</v>
      </c>
      <c r="Q704" t="str">
        <f>IF($C704="","",IFERROR(VLOOKUP($C704,sources!$A$2:$N$200,2,FALSE()),"?"))</f>
        <v>Map</v>
      </c>
      <c r="S704" t="str">
        <f>IF($C704="","",IFERROR(VLOOKUP($C704,sources!$A$2:$N$200,9,FALSE()),"?"))</f>
        <v>US official</v>
      </c>
    </row>
    <row r="705" spans="1:19" x14ac:dyDescent="0.2">
      <c r="A705" t="s">
        <v>3437</v>
      </c>
      <c r="B705" t="s">
        <v>284</v>
      </c>
      <c r="C705" t="s">
        <v>1187</v>
      </c>
      <c r="D705" t="s">
        <v>1585</v>
      </c>
      <c r="E705" t="s">
        <v>3438</v>
      </c>
      <c r="F705" t="s">
        <v>1587</v>
      </c>
      <c r="I705" t="s">
        <v>1077</v>
      </c>
      <c r="K705">
        <v>1911</v>
      </c>
      <c r="L705">
        <v>1911</v>
      </c>
      <c r="M705" t="s">
        <v>222</v>
      </c>
      <c r="N705" t="s">
        <v>222</v>
      </c>
      <c r="O705" t="s">
        <v>3358</v>
      </c>
      <c r="P705" t="s">
        <v>3439</v>
      </c>
      <c r="Q705" t="str">
        <f>IF($C705="","",IFERROR(VLOOKUP($C705,sources!$A$2:$N$200,2,FALSE()),"?"))</f>
        <v>Map</v>
      </c>
      <c r="S705" t="str">
        <f>IF($C705="","",IFERROR(VLOOKUP($C705,sources!$A$2:$N$200,9,FALSE()),"?"))</f>
        <v>US official</v>
      </c>
    </row>
    <row r="706" spans="1:19" x14ac:dyDescent="0.2">
      <c r="A706" t="s">
        <v>3440</v>
      </c>
      <c r="B706" t="s">
        <v>397</v>
      </c>
      <c r="C706" t="s">
        <v>1187</v>
      </c>
      <c r="D706" t="s">
        <v>1666</v>
      </c>
      <c r="E706" t="s">
        <v>398</v>
      </c>
      <c r="F706" t="s">
        <v>1612</v>
      </c>
      <c r="I706" t="s">
        <v>1077</v>
      </c>
      <c r="K706">
        <v>1911</v>
      </c>
      <c r="L706">
        <v>1911</v>
      </c>
      <c r="M706" t="s">
        <v>228</v>
      </c>
      <c r="N706" t="s">
        <v>222</v>
      </c>
      <c r="O706" t="s">
        <v>3297</v>
      </c>
      <c r="P706" t="s">
        <v>3441</v>
      </c>
      <c r="Q706" t="str">
        <f>IF($C706="","",IFERROR(VLOOKUP($C706,sources!$A$2:$N$200,2,FALSE()),"?"))</f>
        <v>Map</v>
      </c>
      <c r="S706" t="str">
        <f>IF($C706="","",IFERROR(VLOOKUP($C706,sources!$A$2:$N$200,9,FALSE()),"?"))</f>
        <v>US official</v>
      </c>
    </row>
    <row r="707" spans="1:19" x14ac:dyDescent="0.2">
      <c r="A707" t="s">
        <v>3442</v>
      </c>
      <c r="B707" t="s">
        <v>411</v>
      </c>
      <c r="C707" t="s">
        <v>1187</v>
      </c>
      <c r="D707" t="s">
        <v>1666</v>
      </c>
      <c r="E707" t="s">
        <v>412</v>
      </c>
      <c r="F707" t="s">
        <v>1612</v>
      </c>
      <c r="I707" t="s">
        <v>1077</v>
      </c>
      <c r="K707">
        <v>1911</v>
      </c>
      <c r="L707">
        <v>1911</v>
      </c>
      <c r="M707" t="s">
        <v>228</v>
      </c>
      <c r="N707" t="s">
        <v>222</v>
      </c>
      <c r="O707" t="s">
        <v>3297</v>
      </c>
      <c r="P707" t="s">
        <v>3443</v>
      </c>
      <c r="Q707" t="str">
        <f>IF($C707="","",IFERROR(VLOOKUP($C707,sources!$A$2:$N$200,2,FALSE()),"?"))</f>
        <v>Map</v>
      </c>
      <c r="S707" t="str">
        <f>IF($C707="","",IFERROR(VLOOKUP($C707,sources!$A$2:$N$200,9,FALSE()),"?"))</f>
        <v>US official</v>
      </c>
    </row>
    <row r="708" spans="1:19" x14ac:dyDescent="0.2">
      <c r="A708" t="s">
        <v>3444</v>
      </c>
      <c r="B708" t="s">
        <v>455</v>
      </c>
      <c r="C708" t="s">
        <v>1187</v>
      </c>
      <c r="D708" t="s">
        <v>1666</v>
      </c>
      <c r="E708" t="s">
        <v>456</v>
      </c>
      <c r="F708" t="s">
        <v>1612</v>
      </c>
      <c r="I708" t="s">
        <v>1077</v>
      </c>
      <c r="K708">
        <v>1911</v>
      </c>
      <c r="L708">
        <v>1911</v>
      </c>
      <c r="M708" t="s">
        <v>228</v>
      </c>
      <c r="N708" t="s">
        <v>222</v>
      </c>
      <c r="O708" t="s">
        <v>3297</v>
      </c>
      <c r="P708" t="s">
        <v>3445</v>
      </c>
      <c r="Q708" t="str">
        <f>IF($C708="","",IFERROR(VLOOKUP($C708,sources!$A$2:$N$200,2,FALSE()),"?"))</f>
        <v>Map</v>
      </c>
      <c r="S708" t="str">
        <f>IF($C708="","",IFERROR(VLOOKUP($C708,sources!$A$2:$N$200,9,FALSE()),"?"))</f>
        <v>US official</v>
      </c>
    </row>
    <row r="709" spans="1:19" x14ac:dyDescent="0.2">
      <c r="A709" t="s">
        <v>3446</v>
      </c>
      <c r="B709" t="s">
        <v>466</v>
      </c>
      <c r="C709" t="s">
        <v>1187</v>
      </c>
      <c r="D709" t="s">
        <v>1666</v>
      </c>
      <c r="E709" t="s">
        <v>3447</v>
      </c>
      <c r="F709" t="s">
        <v>1612</v>
      </c>
      <c r="I709" t="s">
        <v>1077</v>
      </c>
      <c r="K709">
        <v>1911</v>
      </c>
      <c r="L709">
        <v>1911</v>
      </c>
      <c r="M709" t="s">
        <v>228</v>
      </c>
      <c r="N709" t="s">
        <v>222</v>
      </c>
      <c r="O709" t="s">
        <v>3297</v>
      </c>
      <c r="P709" t="s">
        <v>3448</v>
      </c>
      <c r="Q709" t="str">
        <f>IF($C709="","",IFERROR(VLOOKUP($C709,sources!$A$2:$N$200,2,FALSE()),"?"))</f>
        <v>Map</v>
      </c>
      <c r="S709" t="str">
        <f>IF($C709="","",IFERROR(VLOOKUP($C709,sources!$A$2:$N$200,9,FALSE()),"?"))</f>
        <v>US official</v>
      </c>
    </row>
    <row r="710" spans="1:19" x14ac:dyDescent="0.2">
      <c r="A710" t="s">
        <v>3449</v>
      </c>
      <c r="B710" t="s">
        <v>466</v>
      </c>
      <c r="C710" t="s">
        <v>1187</v>
      </c>
      <c r="D710" t="s">
        <v>1585</v>
      </c>
      <c r="E710" t="s">
        <v>3450</v>
      </c>
      <c r="F710" t="s">
        <v>1587</v>
      </c>
      <c r="I710" t="s">
        <v>1077</v>
      </c>
      <c r="K710">
        <v>1911</v>
      </c>
      <c r="L710">
        <v>1911</v>
      </c>
      <c r="M710" t="s">
        <v>222</v>
      </c>
      <c r="N710" t="s">
        <v>222</v>
      </c>
      <c r="O710" t="s">
        <v>3358</v>
      </c>
      <c r="P710" t="s">
        <v>3451</v>
      </c>
      <c r="Q710" t="str">
        <f>IF($C710="","",IFERROR(VLOOKUP($C710,sources!$A$2:$N$200,2,FALSE()),"?"))</f>
        <v>Map</v>
      </c>
      <c r="S710" t="str">
        <f>IF($C710="","",IFERROR(VLOOKUP($C710,sources!$A$2:$N$200,9,FALSE()),"?"))</f>
        <v>US official</v>
      </c>
    </row>
    <row r="711" spans="1:19" x14ac:dyDescent="0.2">
      <c r="A711" t="s">
        <v>3452</v>
      </c>
      <c r="B711" t="s">
        <v>491</v>
      </c>
      <c r="C711" t="s">
        <v>1187</v>
      </c>
      <c r="D711" t="s">
        <v>1666</v>
      </c>
      <c r="E711" t="s">
        <v>492</v>
      </c>
      <c r="F711" t="s">
        <v>1612</v>
      </c>
      <c r="I711" t="s">
        <v>1077</v>
      </c>
      <c r="K711">
        <v>1911</v>
      </c>
      <c r="L711">
        <v>1911</v>
      </c>
      <c r="M711" t="s">
        <v>228</v>
      </c>
      <c r="N711" t="s">
        <v>228</v>
      </c>
      <c r="O711" t="s">
        <v>3297</v>
      </c>
      <c r="P711" t="s">
        <v>3453</v>
      </c>
      <c r="Q711" t="str">
        <f>IF($C711="","",IFERROR(VLOOKUP($C711,sources!$A$2:$N$200,2,FALSE()),"?"))</f>
        <v>Map</v>
      </c>
      <c r="S711" t="str">
        <f>IF($C711="","",IFERROR(VLOOKUP($C711,sources!$A$2:$N$200,9,FALSE()),"?"))</f>
        <v>US official</v>
      </c>
    </row>
    <row r="712" spans="1:19" x14ac:dyDescent="0.2">
      <c r="A712" t="s">
        <v>3454</v>
      </c>
      <c r="B712" t="s">
        <v>494</v>
      </c>
      <c r="C712" t="s">
        <v>1187</v>
      </c>
      <c r="D712" t="s">
        <v>1666</v>
      </c>
      <c r="E712" t="s">
        <v>495</v>
      </c>
      <c r="F712" t="s">
        <v>1612</v>
      </c>
      <c r="I712" t="s">
        <v>1077</v>
      </c>
      <c r="K712">
        <v>1911</v>
      </c>
      <c r="L712">
        <v>1911</v>
      </c>
      <c r="M712" t="s">
        <v>228</v>
      </c>
      <c r="N712" t="s">
        <v>222</v>
      </c>
      <c r="O712" t="s">
        <v>3297</v>
      </c>
      <c r="P712" t="s">
        <v>3455</v>
      </c>
      <c r="Q712" t="str">
        <f>IF($C712="","",IFERROR(VLOOKUP($C712,sources!$A$2:$N$200,2,FALSE()),"?"))</f>
        <v>Map</v>
      </c>
      <c r="S712" t="str">
        <f>IF($C712="","",IFERROR(VLOOKUP($C712,sources!$A$2:$N$200,9,FALSE()),"?"))</f>
        <v>US official</v>
      </c>
    </row>
    <row r="713" spans="1:19" x14ac:dyDescent="0.2">
      <c r="A713" t="s">
        <v>3456</v>
      </c>
      <c r="B713" t="s">
        <v>499</v>
      </c>
      <c r="C713" t="s">
        <v>1187</v>
      </c>
      <c r="D713" t="s">
        <v>1666</v>
      </c>
      <c r="E713" t="s">
        <v>500</v>
      </c>
      <c r="F713" t="s">
        <v>1612</v>
      </c>
      <c r="I713" t="s">
        <v>1077</v>
      </c>
      <c r="K713">
        <v>1911</v>
      </c>
      <c r="L713">
        <v>1911</v>
      </c>
      <c r="M713" t="s">
        <v>228</v>
      </c>
      <c r="N713" t="s">
        <v>222</v>
      </c>
      <c r="O713" t="s">
        <v>3297</v>
      </c>
      <c r="P713" t="s">
        <v>3457</v>
      </c>
      <c r="Q713" t="str">
        <f>IF($C713="","",IFERROR(VLOOKUP($C713,sources!$A$2:$N$200,2,FALSE()),"?"))</f>
        <v>Map</v>
      </c>
      <c r="S713" t="str">
        <f>IF($C713="","",IFERROR(VLOOKUP($C713,sources!$A$2:$N$200,9,FALSE()),"?"))</f>
        <v>US official</v>
      </c>
    </row>
    <row r="714" spans="1:19" x14ac:dyDescent="0.2">
      <c r="A714" t="s">
        <v>3458</v>
      </c>
      <c r="B714" t="s">
        <v>514</v>
      </c>
      <c r="C714" t="s">
        <v>1187</v>
      </c>
      <c r="D714" t="s">
        <v>1666</v>
      </c>
      <c r="E714" t="s">
        <v>515</v>
      </c>
      <c r="F714" t="s">
        <v>1612</v>
      </c>
      <c r="I714" t="s">
        <v>1077</v>
      </c>
      <c r="K714">
        <v>1911</v>
      </c>
      <c r="L714">
        <v>1911</v>
      </c>
      <c r="M714" t="s">
        <v>228</v>
      </c>
      <c r="N714" t="s">
        <v>222</v>
      </c>
      <c r="O714" t="s">
        <v>3297</v>
      </c>
      <c r="P714" t="s">
        <v>3459</v>
      </c>
      <c r="Q714" t="str">
        <f>IF($C714="","",IFERROR(VLOOKUP($C714,sources!$A$2:$N$200,2,FALSE()),"?"))</f>
        <v>Map</v>
      </c>
      <c r="S714" t="str">
        <f>IF($C714="","",IFERROR(VLOOKUP($C714,sources!$A$2:$N$200,9,FALSE()),"?"))</f>
        <v>US official</v>
      </c>
    </row>
    <row r="715" spans="1:19" x14ac:dyDescent="0.2">
      <c r="A715" t="s">
        <v>3460</v>
      </c>
      <c r="B715" t="s">
        <v>514</v>
      </c>
      <c r="C715" t="s">
        <v>1187</v>
      </c>
      <c r="D715" t="s">
        <v>1585</v>
      </c>
      <c r="E715" t="s">
        <v>3461</v>
      </c>
      <c r="F715" t="s">
        <v>1587</v>
      </c>
      <c r="I715" t="s">
        <v>1077</v>
      </c>
      <c r="K715">
        <v>1911</v>
      </c>
      <c r="L715">
        <v>1911</v>
      </c>
      <c r="M715" t="s">
        <v>222</v>
      </c>
      <c r="N715" t="s">
        <v>222</v>
      </c>
      <c r="O715" t="s">
        <v>3358</v>
      </c>
      <c r="P715" t="s">
        <v>3462</v>
      </c>
      <c r="Q715" t="str">
        <f>IF($C715="","",IFERROR(VLOOKUP($C715,sources!$A$2:$N$200,2,FALSE()),"?"))</f>
        <v>Map</v>
      </c>
      <c r="S715" t="str">
        <f>IF($C715="","",IFERROR(VLOOKUP($C715,sources!$A$2:$N$200,9,FALSE()),"?"))</f>
        <v>US official</v>
      </c>
    </row>
    <row r="716" spans="1:19" x14ac:dyDescent="0.2">
      <c r="A716" t="s">
        <v>3463</v>
      </c>
      <c r="B716" t="s">
        <v>589</v>
      </c>
      <c r="C716" t="s">
        <v>1187</v>
      </c>
      <c r="D716" t="s">
        <v>1666</v>
      </c>
      <c r="E716" t="s">
        <v>590</v>
      </c>
      <c r="F716" t="s">
        <v>1612</v>
      </c>
      <c r="I716" t="s">
        <v>1077</v>
      </c>
      <c r="K716">
        <v>1911</v>
      </c>
      <c r="L716">
        <v>1911</v>
      </c>
      <c r="M716" t="s">
        <v>228</v>
      </c>
      <c r="N716" t="s">
        <v>228</v>
      </c>
      <c r="O716" t="s">
        <v>3297</v>
      </c>
      <c r="P716" t="s">
        <v>3330</v>
      </c>
      <c r="Q716" t="str">
        <f>IF($C716="","",IFERROR(VLOOKUP($C716,sources!$A$2:$N$200,2,FALSE()),"?"))</f>
        <v>Map</v>
      </c>
      <c r="S716" t="str">
        <f>IF($C716="","",IFERROR(VLOOKUP($C716,sources!$A$2:$N$200,9,FALSE()),"?"))</f>
        <v>US official</v>
      </c>
    </row>
    <row r="717" spans="1:19" x14ac:dyDescent="0.2">
      <c r="A717" t="s">
        <v>3464</v>
      </c>
      <c r="B717" t="s">
        <v>594</v>
      </c>
      <c r="C717" t="s">
        <v>1187</v>
      </c>
      <c r="D717" t="s">
        <v>1666</v>
      </c>
      <c r="E717" t="s">
        <v>595</v>
      </c>
      <c r="F717" t="s">
        <v>1612</v>
      </c>
      <c r="I717" t="s">
        <v>1077</v>
      </c>
      <c r="K717">
        <v>1911</v>
      </c>
      <c r="L717">
        <v>1911</v>
      </c>
      <c r="M717" t="s">
        <v>228</v>
      </c>
      <c r="N717" t="s">
        <v>222</v>
      </c>
      <c r="O717" t="s">
        <v>3297</v>
      </c>
      <c r="P717" t="s">
        <v>3465</v>
      </c>
      <c r="Q717" t="str">
        <f>IF($C717="","",IFERROR(VLOOKUP($C717,sources!$A$2:$N$200,2,FALSE()),"?"))</f>
        <v>Map</v>
      </c>
      <c r="S717" t="str">
        <f>IF($C717="","",IFERROR(VLOOKUP($C717,sources!$A$2:$N$200,9,FALSE()),"?"))</f>
        <v>US official</v>
      </c>
    </row>
    <row r="718" spans="1:19" x14ac:dyDescent="0.2">
      <c r="A718" t="s">
        <v>3466</v>
      </c>
      <c r="B718" t="s">
        <v>630</v>
      </c>
      <c r="C718" t="s">
        <v>1187</v>
      </c>
      <c r="D718" t="s">
        <v>1666</v>
      </c>
      <c r="E718" t="s">
        <v>3340</v>
      </c>
      <c r="F718" t="s">
        <v>1612</v>
      </c>
      <c r="I718" t="s">
        <v>1077</v>
      </c>
      <c r="K718">
        <v>1911</v>
      </c>
      <c r="L718">
        <v>1911</v>
      </c>
      <c r="M718" t="s">
        <v>228</v>
      </c>
      <c r="N718" t="s">
        <v>209</v>
      </c>
      <c r="O718" t="s">
        <v>3297</v>
      </c>
      <c r="P718" t="s">
        <v>3341</v>
      </c>
      <c r="Q718" t="str">
        <f>IF($C718="","",IFERROR(VLOOKUP($C718,sources!$A$2:$N$200,2,FALSE()),"?"))</f>
        <v>Map</v>
      </c>
      <c r="S718" t="str">
        <f>IF($C718="","",IFERROR(VLOOKUP($C718,sources!$A$2:$N$200,9,FALSE()),"?"))</f>
        <v>US official</v>
      </c>
    </row>
    <row r="719" spans="1:19" x14ac:dyDescent="0.2">
      <c r="A719" t="s">
        <v>3467</v>
      </c>
      <c r="B719" t="s">
        <v>634</v>
      </c>
      <c r="C719" t="s">
        <v>1187</v>
      </c>
      <c r="D719" t="s">
        <v>1666</v>
      </c>
      <c r="E719" t="s">
        <v>524</v>
      </c>
      <c r="F719" t="s">
        <v>1612</v>
      </c>
      <c r="I719" t="s">
        <v>1077</v>
      </c>
      <c r="K719">
        <v>1911</v>
      </c>
      <c r="L719">
        <v>1911</v>
      </c>
      <c r="M719" t="s">
        <v>228</v>
      </c>
      <c r="N719" t="s">
        <v>209</v>
      </c>
      <c r="O719" t="s">
        <v>3297</v>
      </c>
      <c r="P719" t="s">
        <v>3343</v>
      </c>
      <c r="Q719" t="str">
        <f>IF($C719="","",IFERROR(VLOOKUP($C719,sources!$A$2:$N$200,2,FALSE()),"?"))</f>
        <v>Map</v>
      </c>
      <c r="S719" t="str">
        <f>IF($C719="","",IFERROR(VLOOKUP($C719,sources!$A$2:$N$200,9,FALSE()),"?"))</f>
        <v>US official</v>
      </c>
    </row>
    <row r="720" spans="1:19" x14ac:dyDescent="0.2">
      <c r="A720" t="s">
        <v>3468</v>
      </c>
      <c r="B720" t="s">
        <v>288</v>
      </c>
      <c r="C720" t="s">
        <v>1187</v>
      </c>
      <c r="D720" t="s">
        <v>1666</v>
      </c>
      <c r="E720" t="s">
        <v>289</v>
      </c>
      <c r="F720" t="s">
        <v>1612</v>
      </c>
      <c r="I720" t="s">
        <v>1077</v>
      </c>
      <c r="K720">
        <v>1911</v>
      </c>
      <c r="L720">
        <v>1911</v>
      </c>
      <c r="M720" t="s">
        <v>228</v>
      </c>
      <c r="N720" t="s">
        <v>222</v>
      </c>
      <c r="O720" t="s">
        <v>3297</v>
      </c>
      <c r="P720" t="s">
        <v>3469</v>
      </c>
      <c r="Q720" t="str">
        <f>IF($C720="","",IFERROR(VLOOKUP($C720,sources!$A$2:$N$200,2,FALSE()),"?"))</f>
        <v>Map</v>
      </c>
      <c r="S720" t="str">
        <f>IF($C720="","",IFERROR(VLOOKUP($C720,sources!$A$2:$N$200,9,FALSE()),"?"))</f>
        <v>US official</v>
      </c>
    </row>
    <row r="721" spans="1:19" x14ac:dyDescent="0.2">
      <c r="A721" t="s">
        <v>3470</v>
      </c>
      <c r="B721" t="s">
        <v>295</v>
      </c>
      <c r="C721" t="s">
        <v>1187</v>
      </c>
      <c r="D721" t="s">
        <v>1666</v>
      </c>
      <c r="E721" t="s">
        <v>296</v>
      </c>
      <c r="F721" t="s">
        <v>1612</v>
      </c>
      <c r="I721" t="s">
        <v>1077</v>
      </c>
      <c r="K721">
        <v>1911</v>
      </c>
      <c r="L721">
        <v>1911</v>
      </c>
      <c r="M721" t="s">
        <v>228</v>
      </c>
      <c r="N721" t="s">
        <v>222</v>
      </c>
      <c r="O721" t="s">
        <v>3297</v>
      </c>
      <c r="P721" t="s">
        <v>3469</v>
      </c>
      <c r="Q721" t="str">
        <f>IF($C721="","",IFERROR(VLOOKUP($C721,sources!$A$2:$N$200,2,FALSE()),"?"))</f>
        <v>Map</v>
      </c>
      <c r="S721" t="str">
        <f>IF($C721="","",IFERROR(VLOOKUP($C721,sources!$A$2:$N$200,9,FALSE()),"?"))</f>
        <v>US official</v>
      </c>
    </row>
    <row r="722" spans="1:19" x14ac:dyDescent="0.2">
      <c r="A722" t="s">
        <v>3471</v>
      </c>
      <c r="B722" t="s">
        <v>696</v>
      </c>
      <c r="C722" t="s">
        <v>1187</v>
      </c>
      <c r="D722" t="s">
        <v>1666</v>
      </c>
      <c r="E722" t="s">
        <v>300</v>
      </c>
      <c r="F722" t="s">
        <v>1612</v>
      </c>
      <c r="I722" t="s">
        <v>1077</v>
      </c>
      <c r="K722">
        <v>1911</v>
      </c>
      <c r="L722">
        <v>1911</v>
      </c>
      <c r="M722" t="s">
        <v>228</v>
      </c>
      <c r="N722" t="s">
        <v>222</v>
      </c>
      <c r="O722" t="s">
        <v>3297</v>
      </c>
      <c r="P722" t="s">
        <v>3472</v>
      </c>
      <c r="Q722" t="str">
        <f>IF($C722="","",IFERROR(VLOOKUP($C722,sources!$A$2:$N$200,2,FALSE()),"?"))</f>
        <v>Map</v>
      </c>
      <c r="S722" t="str">
        <f>IF($C722="","",IFERROR(VLOOKUP($C722,sources!$A$2:$N$200,9,FALSE()),"?"))</f>
        <v>US official</v>
      </c>
    </row>
    <row r="723" spans="1:19" x14ac:dyDescent="0.2">
      <c r="A723" t="s">
        <v>3473</v>
      </c>
      <c r="B723" t="s">
        <v>306</v>
      </c>
      <c r="C723" t="s">
        <v>1187</v>
      </c>
      <c r="D723" t="s">
        <v>1666</v>
      </c>
      <c r="E723" t="s">
        <v>307</v>
      </c>
      <c r="F723" t="s">
        <v>1612</v>
      </c>
      <c r="I723" t="s">
        <v>1077</v>
      </c>
      <c r="K723">
        <v>1911</v>
      </c>
      <c r="L723">
        <v>1911</v>
      </c>
      <c r="M723" t="s">
        <v>228</v>
      </c>
      <c r="N723" t="s">
        <v>222</v>
      </c>
      <c r="O723" t="s">
        <v>3297</v>
      </c>
      <c r="P723" t="s">
        <v>3469</v>
      </c>
      <c r="Q723" t="str">
        <f>IF($C723="","",IFERROR(VLOOKUP($C723,sources!$A$2:$N$200,2,FALSE()),"?"))</f>
        <v>Map</v>
      </c>
      <c r="S723" t="str">
        <f>IF($C723="","",IFERROR(VLOOKUP($C723,sources!$A$2:$N$200,9,FALSE()),"?"))</f>
        <v>US official</v>
      </c>
    </row>
    <row r="724" spans="1:19" x14ac:dyDescent="0.2">
      <c r="A724" t="s">
        <v>3474</v>
      </c>
      <c r="B724" t="s">
        <v>679</v>
      </c>
      <c r="C724" t="s">
        <v>1187</v>
      </c>
      <c r="D724" t="s">
        <v>1666</v>
      </c>
      <c r="E724" t="s">
        <v>317</v>
      </c>
      <c r="F724" t="s">
        <v>1612</v>
      </c>
      <c r="I724" t="s">
        <v>1077</v>
      </c>
      <c r="K724">
        <v>1911</v>
      </c>
      <c r="L724">
        <v>1911</v>
      </c>
      <c r="M724" t="s">
        <v>228</v>
      </c>
      <c r="N724" t="s">
        <v>222</v>
      </c>
      <c r="O724" t="s">
        <v>3297</v>
      </c>
      <c r="P724" t="s">
        <v>3475</v>
      </c>
      <c r="Q724" t="str">
        <f>IF($C724="","",IFERROR(VLOOKUP($C724,sources!$A$2:$N$200,2,FALSE()),"?"))</f>
        <v>Map</v>
      </c>
      <c r="S724" t="str">
        <f>IF($C724="","",IFERROR(VLOOKUP($C724,sources!$A$2:$N$200,9,FALSE()),"?"))</f>
        <v>US official</v>
      </c>
    </row>
    <row r="725" spans="1:19" x14ac:dyDescent="0.2">
      <c r="A725" t="s">
        <v>3476</v>
      </c>
      <c r="B725" t="s">
        <v>336</v>
      </c>
      <c r="C725" t="s">
        <v>1187</v>
      </c>
      <c r="D725" t="s">
        <v>1666</v>
      </c>
      <c r="E725" t="s">
        <v>337</v>
      </c>
      <c r="F725" t="s">
        <v>1612</v>
      </c>
      <c r="I725" t="s">
        <v>1077</v>
      </c>
      <c r="K725">
        <v>1911</v>
      </c>
      <c r="L725">
        <v>1911</v>
      </c>
      <c r="M725" t="s">
        <v>228</v>
      </c>
      <c r="N725" t="s">
        <v>222</v>
      </c>
      <c r="O725" t="s">
        <v>3297</v>
      </c>
      <c r="P725" t="s">
        <v>3469</v>
      </c>
      <c r="Q725" t="str">
        <f>IF($C725="","",IFERROR(VLOOKUP($C725,sources!$A$2:$N$200,2,FALSE()),"?"))</f>
        <v>Map</v>
      </c>
      <c r="S725" t="str">
        <f>IF($C725="","",IFERROR(VLOOKUP($C725,sources!$A$2:$N$200,9,FALSE()),"?"))</f>
        <v>US official</v>
      </c>
    </row>
    <row r="726" spans="1:19" x14ac:dyDescent="0.2">
      <c r="A726" t="s">
        <v>3477</v>
      </c>
      <c r="B726" t="s">
        <v>341</v>
      </c>
      <c r="C726" t="s">
        <v>1187</v>
      </c>
      <c r="D726" t="s">
        <v>1666</v>
      </c>
      <c r="E726" t="s">
        <v>342</v>
      </c>
      <c r="F726" t="s">
        <v>1612</v>
      </c>
      <c r="I726" t="s">
        <v>1077</v>
      </c>
      <c r="K726">
        <v>1911</v>
      </c>
      <c r="L726">
        <v>1911</v>
      </c>
      <c r="M726" t="s">
        <v>228</v>
      </c>
      <c r="N726" t="s">
        <v>222</v>
      </c>
      <c r="O726" t="s">
        <v>3297</v>
      </c>
      <c r="P726" t="s">
        <v>3469</v>
      </c>
      <c r="Q726" t="str">
        <f>IF($C726="","",IFERROR(VLOOKUP($C726,sources!$A$2:$N$200,2,FALSE()),"?"))</f>
        <v>Map</v>
      </c>
      <c r="S726" t="str">
        <f>IF($C726="","",IFERROR(VLOOKUP($C726,sources!$A$2:$N$200,9,FALSE()),"?"))</f>
        <v>US official</v>
      </c>
    </row>
    <row r="727" spans="1:19" x14ac:dyDescent="0.2">
      <c r="A727" t="s">
        <v>3478</v>
      </c>
      <c r="B727" t="s">
        <v>345</v>
      </c>
      <c r="C727" t="s">
        <v>1187</v>
      </c>
      <c r="D727" t="s">
        <v>1666</v>
      </c>
      <c r="E727" t="s">
        <v>346</v>
      </c>
      <c r="F727" t="s">
        <v>1612</v>
      </c>
      <c r="I727" t="s">
        <v>1077</v>
      </c>
      <c r="K727">
        <v>1911</v>
      </c>
      <c r="L727">
        <v>1911</v>
      </c>
      <c r="M727" t="s">
        <v>228</v>
      </c>
      <c r="N727" t="s">
        <v>222</v>
      </c>
      <c r="O727" t="s">
        <v>3297</v>
      </c>
      <c r="P727" t="s">
        <v>3469</v>
      </c>
      <c r="Q727" t="str">
        <f>IF($C727="","",IFERROR(VLOOKUP($C727,sources!$A$2:$N$200,2,FALSE()),"?"))</f>
        <v>Map</v>
      </c>
      <c r="S727" t="str">
        <f>IF($C727="","",IFERROR(VLOOKUP($C727,sources!$A$2:$N$200,9,FALSE()),"?"))</f>
        <v>US official</v>
      </c>
    </row>
    <row r="728" spans="1:19" x14ac:dyDescent="0.2">
      <c r="A728" t="s">
        <v>3479</v>
      </c>
      <c r="B728" t="s">
        <v>349</v>
      </c>
      <c r="C728" t="s">
        <v>1375</v>
      </c>
      <c r="D728" t="s">
        <v>1594</v>
      </c>
      <c r="E728" t="s">
        <v>3480</v>
      </c>
      <c r="F728" t="s">
        <v>1612</v>
      </c>
      <c r="G728">
        <v>9.3558900000000005</v>
      </c>
      <c r="H728">
        <v>-79.900599999999997</v>
      </c>
      <c r="I728" t="s">
        <v>1595</v>
      </c>
      <c r="J728">
        <v>300</v>
      </c>
      <c r="K728">
        <v>1947</v>
      </c>
      <c r="L728">
        <v>1947</v>
      </c>
      <c r="M728" t="s">
        <v>222</v>
      </c>
      <c r="N728" t="s">
        <v>222</v>
      </c>
      <c r="O728" t="s">
        <v>3481</v>
      </c>
      <c r="P728" t="s">
        <v>3482</v>
      </c>
      <c r="Q728" t="str">
        <f>IF($C728="","",IFERROR(VLOOKUP($C728,sources!$A$2:$N$200,2,FALSE()),"?"))</f>
        <v>Map</v>
      </c>
      <c r="S728" t="str">
        <f>IF($C728="","",IFERROR(VLOOKUP($C728,sources!$A$2:$N$200,9,FALSE()),"?"))</f>
        <v>US official</v>
      </c>
    </row>
    <row r="729" spans="1:19" x14ac:dyDescent="0.2">
      <c r="A729" t="s">
        <v>3483</v>
      </c>
      <c r="B729" t="s">
        <v>354</v>
      </c>
      <c r="C729" t="s">
        <v>1375</v>
      </c>
      <c r="D729" t="s">
        <v>1594</v>
      </c>
      <c r="E729" t="s">
        <v>3484</v>
      </c>
      <c r="F729" t="s">
        <v>1612</v>
      </c>
      <c r="G729">
        <v>8.9594100000000001</v>
      </c>
      <c r="H729">
        <v>-79.561989999999994</v>
      </c>
      <c r="I729" t="s">
        <v>1595</v>
      </c>
      <c r="J729">
        <v>300</v>
      </c>
      <c r="K729">
        <v>1947</v>
      </c>
      <c r="L729">
        <v>1947</v>
      </c>
      <c r="M729" t="s">
        <v>222</v>
      </c>
      <c r="N729" t="s">
        <v>222</v>
      </c>
      <c r="O729" t="s">
        <v>3481</v>
      </c>
      <c r="P729" t="s">
        <v>3485</v>
      </c>
      <c r="Q729" t="str">
        <f>IF($C729="","",IFERROR(VLOOKUP($C729,sources!$A$2:$N$200,2,FALSE()),"?"))</f>
        <v>Map</v>
      </c>
      <c r="S729" t="str">
        <f>IF($C729="","",IFERROR(VLOOKUP($C729,sources!$A$2:$N$200,9,FALSE()),"?"))</f>
        <v>US official</v>
      </c>
    </row>
    <row r="730" spans="1:19" x14ac:dyDescent="0.2">
      <c r="A730" t="s">
        <v>3486</v>
      </c>
      <c r="B730" t="s">
        <v>363</v>
      </c>
      <c r="C730" t="s">
        <v>1375</v>
      </c>
      <c r="D730" t="s">
        <v>1594</v>
      </c>
      <c r="E730" t="s">
        <v>364</v>
      </c>
      <c r="F730" t="s">
        <v>1612</v>
      </c>
      <c r="G730">
        <v>9.0237800000000004</v>
      </c>
      <c r="H730">
        <v>-79.601070000000007</v>
      </c>
      <c r="I730" t="s">
        <v>1595</v>
      </c>
      <c r="J730">
        <v>300</v>
      </c>
      <c r="K730">
        <v>1947</v>
      </c>
      <c r="L730">
        <v>1947</v>
      </c>
      <c r="M730" t="s">
        <v>222</v>
      </c>
      <c r="N730" t="s">
        <v>222</v>
      </c>
      <c r="O730" t="s">
        <v>3481</v>
      </c>
      <c r="P730" t="s">
        <v>3487</v>
      </c>
      <c r="Q730" t="str">
        <f>IF($C730="","",IFERROR(VLOOKUP($C730,sources!$A$2:$N$200,2,FALSE()),"?"))</f>
        <v>Map</v>
      </c>
      <c r="S730" t="str">
        <f>IF($C730="","",IFERROR(VLOOKUP($C730,sources!$A$2:$N$200,9,FALSE()),"?"))</f>
        <v>US official</v>
      </c>
    </row>
    <row r="731" spans="1:19" x14ac:dyDescent="0.2">
      <c r="A731" t="s">
        <v>3488</v>
      </c>
      <c r="B731" t="s">
        <v>370</v>
      </c>
      <c r="C731" t="s">
        <v>1375</v>
      </c>
      <c r="D731" t="s">
        <v>1594</v>
      </c>
      <c r="E731" t="s">
        <v>3489</v>
      </c>
      <c r="F731" t="s">
        <v>1612</v>
      </c>
      <c r="G731">
        <v>8.9853769999999997</v>
      </c>
      <c r="H731">
        <v>-79.575430999999995</v>
      </c>
      <c r="I731" t="s">
        <v>1595</v>
      </c>
      <c r="J731">
        <v>200</v>
      </c>
      <c r="K731">
        <v>1947</v>
      </c>
      <c r="L731">
        <v>1947</v>
      </c>
      <c r="M731" t="s">
        <v>222</v>
      </c>
      <c r="N731" t="s">
        <v>222</v>
      </c>
      <c r="O731" t="s">
        <v>3481</v>
      </c>
      <c r="P731" t="s">
        <v>3490</v>
      </c>
      <c r="Q731" t="str">
        <f>IF($C731="","",IFERROR(VLOOKUP($C731,sources!$A$2:$N$200,2,FALSE()),"?"))</f>
        <v>Map</v>
      </c>
      <c r="S731" t="str">
        <f>IF($C731="","",IFERROR(VLOOKUP($C731,sources!$A$2:$N$200,9,FALSE()),"?"))</f>
        <v>US official</v>
      </c>
    </row>
    <row r="732" spans="1:19" x14ac:dyDescent="0.2">
      <c r="A732" t="s">
        <v>3491</v>
      </c>
      <c r="B732" t="s">
        <v>376</v>
      </c>
      <c r="C732" t="s">
        <v>1375</v>
      </c>
      <c r="D732" t="s">
        <v>1594</v>
      </c>
      <c r="E732" t="s">
        <v>377</v>
      </c>
      <c r="F732" t="s">
        <v>1612</v>
      </c>
      <c r="G732">
        <v>9.0269700000000004</v>
      </c>
      <c r="H732">
        <v>-79.624989999999997</v>
      </c>
      <c r="I732" t="s">
        <v>1595</v>
      </c>
      <c r="J732">
        <v>250</v>
      </c>
      <c r="K732">
        <v>1947</v>
      </c>
      <c r="L732">
        <v>1947</v>
      </c>
      <c r="M732" t="s">
        <v>222</v>
      </c>
      <c r="N732" t="s">
        <v>222</v>
      </c>
      <c r="O732" t="s">
        <v>3481</v>
      </c>
      <c r="P732" t="s">
        <v>3492</v>
      </c>
      <c r="Q732" t="str">
        <f>IF($C732="","",IFERROR(VLOOKUP($C732,sources!$A$2:$N$200,2,FALSE()),"?"))</f>
        <v>Map</v>
      </c>
      <c r="S732" t="str">
        <f>IF($C732="","",IFERROR(VLOOKUP($C732,sources!$A$2:$N$200,9,FALSE()),"?"))</f>
        <v>US official</v>
      </c>
    </row>
    <row r="733" spans="1:19" x14ac:dyDescent="0.2">
      <c r="A733" t="s">
        <v>3493</v>
      </c>
      <c r="B733" t="s">
        <v>388</v>
      </c>
      <c r="C733" t="s">
        <v>1375</v>
      </c>
      <c r="D733" t="s">
        <v>1594</v>
      </c>
      <c r="E733" t="s">
        <v>389</v>
      </c>
      <c r="F733" t="s">
        <v>1612</v>
      </c>
      <c r="G733">
        <v>9.1204079999999994</v>
      </c>
      <c r="H733">
        <v>-79.705160000000006</v>
      </c>
      <c r="I733" t="s">
        <v>1595</v>
      </c>
      <c r="J733">
        <v>200</v>
      </c>
      <c r="K733">
        <v>1947</v>
      </c>
      <c r="L733">
        <v>1947</v>
      </c>
      <c r="M733" t="s">
        <v>222</v>
      </c>
      <c r="N733" t="s">
        <v>222</v>
      </c>
      <c r="O733" t="s">
        <v>3481</v>
      </c>
      <c r="P733" t="s">
        <v>3494</v>
      </c>
      <c r="Q733" t="str">
        <f>IF($C733="","",IFERROR(VLOOKUP($C733,sources!$A$2:$N$200,2,FALSE()),"?"))</f>
        <v>Map</v>
      </c>
      <c r="S733" t="str">
        <f>IF($C733="","",IFERROR(VLOOKUP($C733,sources!$A$2:$N$200,9,FALSE()),"?"))</f>
        <v>US official</v>
      </c>
    </row>
    <row r="734" spans="1:19" x14ac:dyDescent="0.2">
      <c r="A734" t="s">
        <v>3495</v>
      </c>
      <c r="B734" t="s">
        <v>422</v>
      </c>
      <c r="C734" t="s">
        <v>1375</v>
      </c>
      <c r="D734" t="s">
        <v>1594</v>
      </c>
      <c r="E734" t="s">
        <v>423</v>
      </c>
      <c r="F734" t="s">
        <v>1612</v>
      </c>
      <c r="G734">
        <v>9.2376000000000005</v>
      </c>
      <c r="H734">
        <v>-79.860399999999998</v>
      </c>
      <c r="I734" t="s">
        <v>1595</v>
      </c>
      <c r="J734">
        <v>250</v>
      </c>
      <c r="K734">
        <v>1947</v>
      </c>
      <c r="L734">
        <v>1947</v>
      </c>
      <c r="M734" t="s">
        <v>222</v>
      </c>
      <c r="N734" t="s">
        <v>228</v>
      </c>
      <c r="O734" t="s">
        <v>3481</v>
      </c>
      <c r="P734" t="s">
        <v>3496</v>
      </c>
      <c r="Q734" t="str">
        <f>IF($C734="","",IFERROR(VLOOKUP($C734,sources!$A$2:$N$200,2,FALSE()),"?"))</f>
        <v>Map</v>
      </c>
      <c r="S734" t="str">
        <f>IF($C734="","",IFERROR(VLOOKUP($C734,sources!$A$2:$N$200,9,FALSE()),"?"))</f>
        <v>US official</v>
      </c>
    </row>
    <row r="735" spans="1:19" x14ac:dyDescent="0.2">
      <c r="A735" t="s">
        <v>3497</v>
      </c>
      <c r="B735" t="s">
        <v>430</v>
      </c>
      <c r="C735" t="s">
        <v>1375</v>
      </c>
      <c r="D735" t="s">
        <v>1594</v>
      </c>
      <c r="E735" t="s">
        <v>3498</v>
      </c>
      <c r="F735" t="s">
        <v>1612</v>
      </c>
      <c r="G735">
        <v>8.9633000000000003</v>
      </c>
      <c r="H735">
        <v>-79.572900000000004</v>
      </c>
      <c r="I735" t="s">
        <v>1595</v>
      </c>
      <c r="J735">
        <v>300</v>
      </c>
      <c r="K735">
        <v>1947</v>
      </c>
      <c r="L735">
        <v>1947</v>
      </c>
      <c r="M735" t="s">
        <v>222</v>
      </c>
      <c r="N735" t="s">
        <v>222</v>
      </c>
      <c r="O735" t="s">
        <v>3481</v>
      </c>
      <c r="P735" t="s">
        <v>3499</v>
      </c>
      <c r="Q735" t="str">
        <f>IF($C735="","",IFERROR(VLOOKUP($C735,sources!$A$2:$N$200,2,FALSE()),"?"))</f>
        <v>Map</v>
      </c>
      <c r="S735" t="str">
        <f>IF($C735="","",IFERROR(VLOOKUP($C735,sources!$A$2:$N$200,9,FALSE()),"?"))</f>
        <v>US official</v>
      </c>
    </row>
    <row r="736" spans="1:19" x14ac:dyDescent="0.2">
      <c r="A736" t="s">
        <v>3500</v>
      </c>
      <c r="B736" t="s">
        <v>434</v>
      </c>
      <c r="C736" t="s">
        <v>1375</v>
      </c>
      <c r="D736" t="s">
        <v>1594</v>
      </c>
      <c r="E736" t="s">
        <v>3501</v>
      </c>
      <c r="F736" t="s">
        <v>1612</v>
      </c>
      <c r="G736">
        <v>9.3409750000000003</v>
      </c>
      <c r="H736">
        <v>-79.908527000000007</v>
      </c>
      <c r="I736" t="s">
        <v>1595</v>
      </c>
      <c r="J736">
        <v>250</v>
      </c>
      <c r="K736">
        <v>1947</v>
      </c>
      <c r="L736">
        <v>1947</v>
      </c>
      <c r="M736" t="s">
        <v>222</v>
      </c>
      <c r="N736" t="s">
        <v>222</v>
      </c>
      <c r="O736" t="s">
        <v>3481</v>
      </c>
      <c r="P736" t="s">
        <v>3502</v>
      </c>
      <c r="Q736" t="str">
        <f>IF($C736="","",IFERROR(VLOOKUP($C736,sources!$A$2:$N$200,2,FALSE()),"?"))</f>
        <v>Map</v>
      </c>
      <c r="S736" t="str">
        <f>IF($C736="","",IFERROR(VLOOKUP($C736,sources!$A$2:$N$200,9,FALSE()),"?"))</f>
        <v>US official</v>
      </c>
    </row>
    <row r="737" spans="1:19" x14ac:dyDescent="0.2">
      <c r="A737" t="s">
        <v>3503</v>
      </c>
      <c r="B737" t="s">
        <v>487</v>
      </c>
      <c r="C737" t="s">
        <v>1375</v>
      </c>
      <c r="D737" t="s">
        <v>1594</v>
      </c>
      <c r="E737" t="s">
        <v>3504</v>
      </c>
      <c r="F737" t="s">
        <v>1612</v>
      </c>
      <c r="G737">
        <v>8.9151000000000007</v>
      </c>
      <c r="H737">
        <v>-79.532480000000007</v>
      </c>
      <c r="I737" t="s">
        <v>1595</v>
      </c>
      <c r="J737">
        <v>250</v>
      </c>
      <c r="K737">
        <v>1947</v>
      </c>
      <c r="L737">
        <v>1947</v>
      </c>
      <c r="M737" t="s">
        <v>222</v>
      </c>
      <c r="N737" t="s">
        <v>222</v>
      </c>
      <c r="O737" t="s">
        <v>3481</v>
      </c>
      <c r="P737" t="s">
        <v>3505</v>
      </c>
      <c r="Q737" t="str">
        <f>IF($C737="","",IFERROR(VLOOKUP($C737,sources!$A$2:$N$200,2,FALSE()),"?"))</f>
        <v>Map</v>
      </c>
      <c r="S737" t="str">
        <f>IF($C737="","",IFERROR(VLOOKUP($C737,sources!$A$2:$N$200,9,FALSE()),"?"))</f>
        <v>US official</v>
      </c>
    </row>
    <row r="738" spans="1:19" x14ac:dyDescent="0.2">
      <c r="A738" t="s">
        <v>3506</v>
      </c>
      <c r="B738" t="s">
        <v>272</v>
      </c>
      <c r="C738" t="s">
        <v>1375</v>
      </c>
      <c r="D738" t="s">
        <v>1666</v>
      </c>
      <c r="E738" t="s">
        <v>273</v>
      </c>
      <c r="F738" t="s">
        <v>1612</v>
      </c>
      <c r="I738" t="s">
        <v>1077</v>
      </c>
      <c r="K738">
        <v>1947</v>
      </c>
      <c r="L738">
        <v>1947</v>
      </c>
      <c r="M738" t="s">
        <v>228</v>
      </c>
      <c r="N738" t="s">
        <v>222</v>
      </c>
      <c r="O738" t="s">
        <v>3297</v>
      </c>
      <c r="P738" t="s">
        <v>3507</v>
      </c>
      <c r="Q738" t="str">
        <f>IF($C738="","",IFERROR(VLOOKUP($C738,sources!$A$2:$N$200,2,FALSE()),"?"))</f>
        <v>Map</v>
      </c>
      <c r="S738" t="str">
        <f>IF($C738="","",IFERROR(VLOOKUP($C738,sources!$A$2:$N$200,9,FALSE()),"?"))</f>
        <v>US official</v>
      </c>
    </row>
    <row r="739" spans="1:19" x14ac:dyDescent="0.2">
      <c r="A739" t="s">
        <v>3508</v>
      </c>
      <c r="B739" t="s">
        <v>280</v>
      </c>
      <c r="C739" t="s">
        <v>1375</v>
      </c>
      <c r="D739" t="s">
        <v>1666</v>
      </c>
      <c r="E739" t="s">
        <v>281</v>
      </c>
      <c r="F739" t="s">
        <v>1612</v>
      </c>
      <c r="I739" t="s">
        <v>1077</v>
      </c>
      <c r="K739">
        <v>1947</v>
      </c>
      <c r="L739">
        <v>1947</v>
      </c>
      <c r="M739" t="s">
        <v>228</v>
      </c>
      <c r="N739" t="s">
        <v>222</v>
      </c>
      <c r="O739" t="s">
        <v>3297</v>
      </c>
      <c r="P739" t="s">
        <v>3509</v>
      </c>
      <c r="Q739" t="str">
        <f>IF($C739="","",IFERROR(VLOOKUP($C739,sources!$A$2:$N$200,2,FALSE()),"?"))</f>
        <v>Map</v>
      </c>
      <c r="S739" t="str">
        <f>IF($C739="","",IFERROR(VLOOKUP($C739,sources!$A$2:$N$200,9,FALSE()),"?"))</f>
        <v>US official</v>
      </c>
    </row>
    <row r="740" spans="1:19" x14ac:dyDescent="0.2">
      <c r="A740" t="s">
        <v>3510</v>
      </c>
      <c r="B740" t="s">
        <v>284</v>
      </c>
      <c r="C740" t="s">
        <v>1375</v>
      </c>
      <c r="D740" t="s">
        <v>1666</v>
      </c>
      <c r="E740" t="s">
        <v>285</v>
      </c>
      <c r="F740" t="s">
        <v>1612</v>
      </c>
      <c r="I740" t="s">
        <v>1077</v>
      </c>
      <c r="K740">
        <v>1947</v>
      </c>
      <c r="L740">
        <v>1947</v>
      </c>
      <c r="M740" t="s">
        <v>228</v>
      </c>
      <c r="N740" t="s">
        <v>222</v>
      </c>
      <c r="O740" t="s">
        <v>3297</v>
      </c>
      <c r="P740" t="s">
        <v>3511</v>
      </c>
      <c r="Q740" t="str">
        <f>IF($C740="","",IFERROR(VLOOKUP($C740,sources!$A$2:$N$200,2,FALSE()),"?"))</f>
        <v>Map</v>
      </c>
      <c r="S740" t="str">
        <f>IF($C740="","",IFERROR(VLOOKUP($C740,sources!$A$2:$N$200,9,FALSE()),"?"))</f>
        <v>US official</v>
      </c>
    </row>
    <row r="741" spans="1:19" x14ac:dyDescent="0.2">
      <c r="A741" t="s">
        <v>3512</v>
      </c>
      <c r="B741" t="s">
        <v>402</v>
      </c>
      <c r="C741" t="s">
        <v>1375</v>
      </c>
      <c r="D741" t="s">
        <v>1666</v>
      </c>
      <c r="E741" t="s">
        <v>403</v>
      </c>
      <c r="F741" t="s">
        <v>1612</v>
      </c>
      <c r="I741" t="s">
        <v>1077</v>
      </c>
      <c r="K741">
        <v>1947</v>
      </c>
      <c r="L741">
        <v>1947</v>
      </c>
      <c r="M741" t="s">
        <v>228</v>
      </c>
      <c r="N741" t="s">
        <v>222</v>
      </c>
      <c r="O741" t="s">
        <v>3297</v>
      </c>
      <c r="P741" t="s">
        <v>3513</v>
      </c>
      <c r="Q741" t="str">
        <f>IF($C741="","",IFERROR(VLOOKUP($C741,sources!$A$2:$N$200,2,FALSE()),"?"))</f>
        <v>Map</v>
      </c>
      <c r="S741" t="str">
        <f>IF($C741="","",IFERROR(VLOOKUP($C741,sources!$A$2:$N$200,9,FALSE()),"?"))</f>
        <v>US official</v>
      </c>
    </row>
    <row r="742" spans="1:19" x14ac:dyDescent="0.2">
      <c r="A742" t="s">
        <v>3514</v>
      </c>
      <c r="B742" t="s">
        <v>426</v>
      </c>
      <c r="C742" t="s">
        <v>1375</v>
      </c>
      <c r="D742" t="s">
        <v>1666</v>
      </c>
      <c r="E742" t="s">
        <v>427</v>
      </c>
      <c r="F742" t="s">
        <v>1612</v>
      </c>
      <c r="I742" t="s">
        <v>1077</v>
      </c>
      <c r="K742">
        <v>1947</v>
      </c>
      <c r="L742">
        <v>1947</v>
      </c>
      <c r="M742" t="s">
        <v>228</v>
      </c>
      <c r="N742" t="s">
        <v>228</v>
      </c>
      <c r="O742" t="s">
        <v>3297</v>
      </c>
      <c r="P742" t="s">
        <v>3515</v>
      </c>
      <c r="Q742" t="str">
        <f>IF($C742="","",IFERROR(VLOOKUP($C742,sources!$A$2:$N$200,2,FALSE()),"?"))</f>
        <v>Map</v>
      </c>
      <c r="S742" t="str">
        <f>IF($C742="","",IFERROR(VLOOKUP($C742,sources!$A$2:$N$200,9,FALSE()),"?"))</f>
        <v>US official</v>
      </c>
    </row>
    <row r="743" spans="1:19" x14ac:dyDescent="0.2">
      <c r="A743" t="s">
        <v>3516</v>
      </c>
      <c r="B743" t="s">
        <v>448</v>
      </c>
      <c r="C743" t="s">
        <v>1375</v>
      </c>
      <c r="D743" t="s">
        <v>1666</v>
      </c>
      <c r="E743" t="s">
        <v>449</v>
      </c>
      <c r="F743" t="s">
        <v>1612</v>
      </c>
      <c r="I743" t="s">
        <v>1077</v>
      </c>
      <c r="K743">
        <v>1947</v>
      </c>
      <c r="L743">
        <v>1947</v>
      </c>
      <c r="M743" t="s">
        <v>228</v>
      </c>
      <c r="N743" t="s">
        <v>222</v>
      </c>
      <c r="O743" t="s">
        <v>3297</v>
      </c>
      <c r="P743" t="s">
        <v>3517</v>
      </c>
      <c r="Q743" t="str">
        <f>IF($C743="","",IFERROR(VLOOKUP($C743,sources!$A$2:$N$200,2,FALSE()),"?"))</f>
        <v>Map</v>
      </c>
      <c r="S743" t="str">
        <f>IF($C743="","",IFERROR(VLOOKUP($C743,sources!$A$2:$N$200,9,FALSE()),"?"))</f>
        <v>US official</v>
      </c>
    </row>
    <row r="744" spans="1:19" x14ac:dyDescent="0.2">
      <c r="A744" t="s">
        <v>3518</v>
      </c>
      <c r="B744" t="s">
        <v>452</v>
      </c>
      <c r="C744" t="s">
        <v>1375</v>
      </c>
      <c r="D744" t="s">
        <v>1666</v>
      </c>
      <c r="E744" t="s">
        <v>453</v>
      </c>
      <c r="F744" t="s">
        <v>1612</v>
      </c>
      <c r="I744" t="s">
        <v>1077</v>
      </c>
      <c r="K744">
        <v>1947</v>
      </c>
      <c r="L744">
        <v>1947</v>
      </c>
      <c r="M744" t="s">
        <v>228</v>
      </c>
      <c r="N744" t="s">
        <v>222</v>
      </c>
      <c r="O744" t="s">
        <v>3297</v>
      </c>
      <c r="P744" t="s">
        <v>3519</v>
      </c>
      <c r="Q744" t="str">
        <f>IF($C744="","",IFERROR(VLOOKUP($C744,sources!$A$2:$N$200,2,FALSE()),"?"))</f>
        <v>Map</v>
      </c>
      <c r="S744" t="str">
        <f>IF($C744="","",IFERROR(VLOOKUP($C744,sources!$A$2:$N$200,9,FALSE()),"?"))</f>
        <v>US official</v>
      </c>
    </row>
    <row r="745" spans="1:19" x14ac:dyDescent="0.2">
      <c r="A745" t="s">
        <v>3520</v>
      </c>
      <c r="B745" t="s">
        <v>455</v>
      </c>
      <c r="C745" t="s">
        <v>1375</v>
      </c>
      <c r="D745" t="s">
        <v>1666</v>
      </c>
      <c r="E745" t="s">
        <v>456</v>
      </c>
      <c r="F745" t="s">
        <v>1612</v>
      </c>
      <c r="I745" t="s">
        <v>1077</v>
      </c>
      <c r="K745">
        <v>1947</v>
      </c>
      <c r="L745">
        <v>1947</v>
      </c>
      <c r="M745" t="s">
        <v>228</v>
      </c>
      <c r="N745" t="s">
        <v>222</v>
      </c>
      <c r="O745" t="s">
        <v>3297</v>
      </c>
      <c r="P745" t="s">
        <v>3521</v>
      </c>
      <c r="Q745" t="str">
        <f>IF($C745="","",IFERROR(VLOOKUP($C745,sources!$A$2:$N$200,2,FALSE()),"?"))</f>
        <v>Map</v>
      </c>
      <c r="S745" t="str">
        <f>IF($C745="","",IFERROR(VLOOKUP($C745,sources!$A$2:$N$200,9,FALSE()),"?"))</f>
        <v>US official</v>
      </c>
    </row>
    <row r="746" spans="1:19" x14ac:dyDescent="0.2">
      <c r="A746" t="s">
        <v>3522</v>
      </c>
      <c r="B746" t="s">
        <v>458</v>
      </c>
      <c r="C746" t="s">
        <v>1375</v>
      </c>
      <c r="D746" t="s">
        <v>1666</v>
      </c>
      <c r="E746" t="s">
        <v>459</v>
      </c>
      <c r="F746" t="s">
        <v>1612</v>
      </c>
      <c r="I746" t="s">
        <v>1077</v>
      </c>
      <c r="K746">
        <v>1947</v>
      </c>
      <c r="L746">
        <v>1947</v>
      </c>
      <c r="M746" t="s">
        <v>228</v>
      </c>
      <c r="N746" t="s">
        <v>222</v>
      </c>
      <c r="O746" t="s">
        <v>3297</v>
      </c>
      <c r="P746" t="s">
        <v>3523</v>
      </c>
      <c r="Q746" t="str">
        <f>IF($C746="","",IFERROR(VLOOKUP($C746,sources!$A$2:$N$200,2,FALSE()),"?"))</f>
        <v>Map</v>
      </c>
      <c r="S746" t="str">
        <f>IF($C746="","",IFERROR(VLOOKUP($C746,sources!$A$2:$N$200,9,FALSE()),"?"))</f>
        <v>US official</v>
      </c>
    </row>
    <row r="747" spans="1:19" x14ac:dyDescent="0.2">
      <c r="A747" t="s">
        <v>3524</v>
      </c>
      <c r="B747" t="s">
        <v>484</v>
      </c>
      <c r="C747" t="s">
        <v>1375</v>
      </c>
      <c r="D747" t="s">
        <v>1666</v>
      </c>
      <c r="E747" t="s">
        <v>485</v>
      </c>
      <c r="F747" t="s">
        <v>1612</v>
      </c>
      <c r="I747" t="s">
        <v>1077</v>
      </c>
      <c r="K747">
        <v>1947</v>
      </c>
      <c r="L747">
        <v>1947</v>
      </c>
      <c r="M747" t="s">
        <v>228</v>
      </c>
      <c r="N747" t="s">
        <v>222</v>
      </c>
      <c r="O747" t="s">
        <v>3297</v>
      </c>
      <c r="P747" t="s">
        <v>3525</v>
      </c>
      <c r="Q747" t="str">
        <f>IF($C747="","",IFERROR(VLOOKUP($C747,sources!$A$2:$N$200,2,FALSE()),"?"))</f>
        <v>Map</v>
      </c>
      <c r="S747" t="str">
        <f>IF($C747="","",IFERROR(VLOOKUP($C747,sources!$A$2:$N$200,9,FALSE()),"?"))</f>
        <v>US official</v>
      </c>
    </row>
    <row r="748" spans="1:19" x14ac:dyDescent="0.2">
      <c r="A748" t="s">
        <v>3526</v>
      </c>
      <c r="B748" t="s">
        <v>491</v>
      </c>
      <c r="C748" t="s">
        <v>1375</v>
      </c>
      <c r="D748" t="s">
        <v>1666</v>
      </c>
      <c r="E748" t="s">
        <v>492</v>
      </c>
      <c r="F748" t="s">
        <v>1612</v>
      </c>
      <c r="I748" t="s">
        <v>1077</v>
      </c>
      <c r="K748">
        <v>1947</v>
      </c>
      <c r="L748">
        <v>1947</v>
      </c>
      <c r="M748" t="s">
        <v>228</v>
      </c>
      <c r="N748" t="s">
        <v>222</v>
      </c>
      <c r="O748" t="s">
        <v>3297</v>
      </c>
      <c r="P748" t="s">
        <v>3527</v>
      </c>
      <c r="Q748" t="str">
        <f>IF($C748="","",IFERROR(VLOOKUP($C748,sources!$A$2:$N$200,2,FALSE()),"?"))</f>
        <v>Map</v>
      </c>
      <c r="S748" t="str">
        <f>IF($C748="","",IFERROR(VLOOKUP($C748,sources!$A$2:$N$200,9,FALSE()),"?"))</f>
        <v>US official</v>
      </c>
    </row>
    <row r="749" spans="1:19" x14ac:dyDescent="0.2">
      <c r="A749" t="s">
        <v>3528</v>
      </c>
      <c r="B749" t="s">
        <v>503</v>
      </c>
      <c r="C749" t="s">
        <v>1375</v>
      </c>
      <c r="D749" t="s">
        <v>1666</v>
      </c>
      <c r="E749" t="s">
        <v>504</v>
      </c>
      <c r="F749" t="s">
        <v>1612</v>
      </c>
      <c r="I749" t="s">
        <v>1077</v>
      </c>
      <c r="K749">
        <v>1947</v>
      </c>
      <c r="L749">
        <v>1947</v>
      </c>
      <c r="M749" t="s">
        <v>228</v>
      </c>
      <c r="N749" t="s">
        <v>222</v>
      </c>
      <c r="O749" t="s">
        <v>3297</v>
      </c>
      <c r="P749" t="s">
        <v>3529</v>
      </c>
      <c r="Q749" t="str">
        <f>IF($C749="","",IFERROR(VLOOKUP($C749,sources!$A$2:$N$200,2,FALSE()),"?"))</f>
        <v>Map</v>
      </c>
      <c r="S749" t="str">
        <f>IF($C749="","",IFERROR(VLOOKUP($C749,sources!$A$2:$N$200,9,FALSE()),"?"))</f>
        <v>US official</v>
      </c>
    </row>
    <row r="750" spans="1:19" x14ac:dyDescent="0.2">
      <c r="A750" t="s">
        <v>3530</v>
      </c>
      <c r="B750" t="s">
        <v>506</v>
      </c>
      <c r="C750" t="s">
        <v>1375</v>
      </c>
      <c r="D750" t="s">
        <v>1666</v>
      </c>
      <c r="E750" t="s">
        <v>507</v>
      </c>
      <c r="F750" t="s">
        <v>1612</v>
      </c>
      <c r="I750" t="s">
        <v>1077</v>
      </c>
      <c r="K750">
        <v>1947</v>
      </c>
      <c r="L750">
        <v>1947</v>
      </c>
      <c r="M750" t="s">
        <v>228</v>
      </c>
      <c r="N750" t="s">
        <v>222</v>
      </c>
      <c r="O750" t="s">
        <v>3297</v>
      </c>
      <c r="P750" t="s">
        <v>3531</v>
      </c>
      <c r="Q750" t="str">
        <f>IF($C750="","",IFERROR(VLOOKUP($C750,sources!$A$2:$N$200,2,FALSE()),"?"))</f>
        <v>Map</v>
      </c>
      <c r="S750" t="str">
        <f>IF($C750="","",IFERROR(VLOOKUP($C750,sources!$A$2:$N$200,9,FALSE()),"?"))</f>
        <v>US official</v>
      </c>
    </row>
    <row r="751" spans="1:19" x14ac:dyDescent="0.2">
      <c r="A751" t="s">
        <v>3532</v>
      </c>
      <c r="B751" t="s">
        <v>509</v>
      </c>
      <c r="C751" t="s">
        <v>1375</v>
      </c>
      <c r="D751" t="s">
        <v>1666</v>
      </c>
      <c r="E751" t="s">
        <v>510</v>
      </c>
      <c r="F751" t="s">
        <v>1612</v>
      </c>
      <c r="I751" t="s">
        <v>1077</v>
      </c>
      <c r="K751">
        <v>1947</v>
      </c>
      <c r="L751">
        <v>1947</v>
      </c>
      <c r="M751" t="s">
        <v>228</v>
      </c>
      <c r="N751" t="s">
        <v>222</v>
      </c>
      <c r="O751" t="s">
        <v>3297</v>
      </c>
      <c r="P751" t="s">
        <v>3533</v>
      </c>
      <c r="Q751" t="str">
        <f>IF($C751="","",IFERROR(VLOOKUP($C751,sources!$A$2:$N$200,2,FALSE()),"?"))</f>
        <v>Map</v>
      </c>
      <c r="S751" t="str">
        <f>IF($C751="","",IFERROR(VLOOKUP($C751,sources!$A$2:$N$200,9,FALSE()),"?"))</f>
        <v>US official</v>
      </c>
    </row>
    <row r="752" spans="1:19" x14ac:dyDescent="0.2">
      <c r="A752" t="s">
        <v>3534</v>
      </c>
      <c r="B752" t="s">
        <v>522</v>
      </c>
      <c r="C752" t="s">
        <v>1375</v>
      </c>
      <c r="D752" t="s">
        <v>1666</v>
      </c>
      <c r="E752" t="s">
        <v>523</v>
      </c>
      <c r="F752" t="s">
        <v>1612</v>
      </c>
      <c r="I752" t="s">
        <v>1077</v>
      </c>
      <c r="K752">
        <v>1947</v>
      </c>
      <c r="L752">
        <v>1947</v>
      </c>
      <c r="M752" t="s">
        <v>228</v>
      </c>
      <c r="N752" t="s">
        <v>222</v>
      </c>
      <c r="O752" t="s">
        <v>3297</v>
      </c>
      <c r="P752" t="s">
        <v>3535</v>
      </c>
      <c r="Q752" t="str">
        <f>IF($C752="","",IFERROR(VLOOKUP($C752,sources!$A$2:$N$200,2,FALSE()),"?"))</f>
        <v>Map</v>
      </c>
      <c r="S752" t="str">
        <f>IF($C752="","",IFERROR(VLOOKUP($C752,sources!$A$2:$N$200,9,FALSE()),"?"))</f>
        <v>US official</v>
      </c>
    </row>
    <row r="753" spans="1:19" x14ac:dyDescent="0.2">
      <c r="A753" t="s">
        <v>3536</v>
      </c>
      <c r="B753" t="s">
        <v>526</v>
      </c>
      <c r="C753" t="s">
        <v>1375</v>
      </c>
      <c r="D753" t="s">
        <v>1666</v>
      </c>
      <c r="E753" t="s">
        <v>527</v>
      </c>
      <c r="F753" t="s">
        <v>1612</v>
      </c>
      <c r="I753" t="s">
        <v>1077</v>
      </c>
      <c r="K753">
        <v>1947</v>
      </c>
      <c r="L753">
        <v>1947</v>
      </c>
      <c r="M753" t="s">
        <v>228</v>
      </c>
      <c r="N753" t="s">
        <v>222</v>
      </c>
      <c r="O753" t="s">
        <v>3297</v>
      </c>
      <c r="P753" t="s">
        <v>3537</v>
      </c>
      <c r="Q753" t="str">
        <f>IF($C753="","",IFERROR(VLOOKUP($C753,sources!$A$2:$N$200,2,FALSE()),"?"))</f>
        <v>Map</v>
      </c>
      <c r="S753" t="str">
        <f>IF($C753="","",IFERROR(VLOOKUP($C753,sources!$A$2:$N$200,9,FALSE()),"?"))</f>
        <v>US official</v>
      </c>
    </row>
    <row r="754" spans="1:19" x14ac:dyDescent="0.2">
      <c r="A754" t="s">
        <v>3538</v>
      </c>
      <c r="B754" t="s">
        <v>566</v>
      </c>
      <c r="C754" t="s">
        <v>1375</v>
      </c>
      <c r="D754" t="s">
        <v>1666</v>
      </c>
      <c r="E754" t="s">
        <v>567</v>
      </c>
      <c r="F754" t="s">
        <v>1612</v>
      </c>
      <c r="I754" t="s">
        <v>1077</v>
      </c>
      <c r="K754">
        <v>1947</v>
      </c>
      <c r="L754">
        <v>1947</v>
      </c>
      <c r="M754" t="s">
        <v>228</v>
      </c>
      <c r="N754" t="s">
        <v>222</v>
      </c>
      <c r="O754" t="s">
        <v>3297</v>
      </c>
      <c r="P754" t="s">
        <v>3539</v>
      </c>
      <c r="Q754" t="str">
        <f>IF($C754="","",IFERROR(VLOOKUP($C754,sources!$A$2:$N$200,2,FALSE()),"?"))</f>
        <v>Map</v>
      </c>
      <c r="S754" t="str">
        <f>IF($C754="","",IFERROR(VLOOKUP($C754,sources!$A$2:$N$200,9,FALSE()),"?"))</f>
        <v>US official</v>
      </c>
    </row>
    <row r="755" spans="1:19" x14ac:dyDescent="0.2">
      <c r="A755" t="s">
        <v>3540</v>
      </c>
      <c r="B755" t="s">
        <v>367</v>
      </c>
      <c r="C755" t="s">
        <v>1375</v>
      </c>
      <c r="D755" t="s">
        <v>1594</v>
      </c>
      <c r="E755" t="s">
        <v>368</v>
      </c>
      <c r="F755" t="s">
        <v>1587</v>
      </c>
      <c r="G755">
        <v>8.9466280000000005</v>
      </c>
      <c r="H755">
        <v>-79.554738</v>
      </c>
      <c r="I755" t="s">
        <v>1595</v>
      </c>
      <c r="J755">
        <v>200</v>
      </c>
      <c r="K755">
        <v>1947</v>
      </c>
      <c r="L755">
        <v>1947</v>
      </c>
      <c r="M755" t="s">
        <v>222</v>
      </c>
      <c r="N755" t="s">
        <v>222</v>
      </c>
      <c r="O755" t="s">
        <v>3481</v>
      </c>
      <c r="P755" t="s">
        <v>3541</v>
      </c>
      <c r="Q755" t="str">
        <f>IF($C755="","",IFERROR(VLOOKUP($C755,sources!$A$2:$N$200,2,FALSE()),"?"))</f>
        <v>Map</v>
      </c>
      <c r="S755" t="str">
        <f>IF($C755="","",IFERROR(VLOOKUP($C755,sources!$A$2:$N$200,9,FALSE()),"?"))</f>
        <v>US official</v>
      </c>
    </row>
    <row r="756" spans="1:19" x14ac:dyDescent="0.2">
      <c r="A756" t="s">
        <v>3542</v>
      </c>
      <c r="B756" t="s">
        <v>367</v>
      </c>
      <c r="C756" t="s">
        <v>1375</v>
      </c>
      <c r="D756" t="s">
        <v>1585</v>
      </c>
      <c r="E756" t="s">
        <v>368</v>
      </c>
      <c r="F756" t="s">
        <v>1587</v>
      </c>
      <c r="I756" t="s">
        <v>1077</v>
      </c>
      <c r="K756">
        <v>1947</v>
      </c>
      <c r="L756">
        <v>1947</v>
      </c>
      <c r="M756" t="s">
        <v>222</v>
      </c>
      <c r="N756" t="s">
        <v>222</v>
      </c>
      <c r="O756" t="s">
        <v>3481</v>
      </c>
      <c r="P756" t="s">
        <v>3543</v>
      </c>
      <c r="Q756" t="str">
        <f>IF($C756="","",IFERROR(VLOOKUP($C756,sources!$A$2:$N$200,2,FALSE()),"?"))</f>
        <v>Map</v>
      </c>
      <c r="S756" t="str">
        <f>IF($C756="","",IFERROR(VLOOKUP($C756,sources!$A$2:$N$200,9,FALSE()),"?"))</f>
        <v>US official</v>
      </c>
    </row>
    <row r="757" spans="1:19" x14ac:dyDescent="0.2">
      <c r="A757" t="s">
        <v>3544</v>
      </c>
      <c r="B757" t="s">
        <v>638</v>
      </c>
      <c r="C757" t="s">
        <v>1187</v>
      </c>
      <c r="D757" t="s">
        <v>1594</v>
      </c>
      <c r="E757" t="s">
        <v>3545</v>
      </c>
      <c r="F757" t="s">
        <v>1612</v>
      </c>
      <c r="G757">
        <v>9.0296400000000006</v>
      </c>
      <c r="H757">
        <v>-79.622910000000005</v>
      </c>
      <c r="I757" t="s">
        <v>1595</v>
      </c>
      <c r="J757">
        <v>350</v>
      </c>
      <c r="K757">
        <v>1911</v>
      </c>
      <c r="L757">
        <v>1911</v>
      </c>
      <c r="M757" t="s">
        <v>222</v>
      </c>
      <c r="N757" t="s">
        <v>228</v>
      </c>
      <c r="O757" t="s">
        <v>3358</v>
      </c>
      <c r="P757" t="s">
        <v>3546</v>
      </c>
      <c r="Q757" t="str">
        <f>IF($C757="","",IFERROR(VLOOKUP($C757,sources!$A$2:$N$200,2,FALSE()),"?"))</f>
        <v>Map</v>
      </c>
      <c r="S757" t="str">
        <f>IF($C757="","",IFERROR(VLOOKUP($C757,sources!$A$2:$N$200,9,FALSE()),"?"))</f>
        <v>US official</v>
      </c>
    </row>
    <row r="758" spans="1:19" x14ac:dyDescent="0.2">
      <c r="A758" t="s">
        <v>3547</v>
      </c>
      <c r="B758" t="s">
        <v>644</v>
      </c>
      <c r="C758" t="s">
        <v>1187</v>
      </c>
      <c r="D758" t="s">
        <v>1594</v>
      </c>
      <c r="E758" t="s">
        <v>3548</v>
      </c>
      <c r="F758" t="s">
        <v>1587</v>
      </c>
      <c r="G758">
        <v>9.0556000000000001</v>
      </c>
      <c r="H758">
        <v>-79.662400000000005</v>
      </c>
      <c r="I758" t="s">
        <v>1595</v>
      </c>
      <c r="J758">
        <v>350</v>
      </c>
      <c r="K758">
        <v>1911</v>
      </c>
      <c r="L758">
        <v>1911</v>
      </c>
      <c r="M758" t="s">
        <v>222</v>
      </c>
      <c r="N758" t="s">
        <v>228</v>
      </c>
      <c r="O758" t="s">
        <v>3358</v>
      </c>
      <c r="P758" t="s">
        <v>3549</v>
      </c>
      <c r="Q758" t="str">
        <f>IF($C758="","",IFERROR(VLOOKUP($C758,sources!$A$2:$N$200,2,FALSE()),"?"))</f>
        <v>Map</v>
      </c>
      <c r="S758" t="str">
        <f>IF($C758="","",IFERROR(VLOOKUP($C758,sources!$A$2:$N$200,9,FALSE()),"?"))</f>
        <v>US official</v>
      </c>
    </row>
    <row r="759" spans="1:19" x14ac:dyDescent="0.2">
      <c r="A759" t="s">
        <v>3550</v>
      </c>
      <c r="B759" t="s">
        <v>649</v>
      </c>
      <c r="C759" t="s">
        <v>1187</v>
      </c>
      <c r="D759" t="s">
        <v>1594</v>
      </c>
      <c r="E759" t="s">
        <v>3551</v>
      </c>
      <c r="F759" t="s">
        <v>1587</v>
      </c>
      <c r="G759">
        <v>9.1045800000000003</v>
      </c>
      <c r="H759">
        <v>-79.722070000000002</v>
      </c>
      <c r="I759" t="s">
        <v>1595</v>
      </c>
      <c r="J759">
        <v>500</v>
      </c>
      <c r="K759">
        <v>1911</v>
      </c>
      <c r="L759">
        <v>1911</v>
      </c>
      <c r="M759" t="s">
        <v>222</v>
      </c>
      <c r="N759" t="s">
        <v>209</v>
      </c>
      <c r="O759" t="s">
        <v>3358</v>
      </c>
      <c r="P759" t="s">
        <v>3552</v>
      </c>
      <c r="Q759" t="str">
        <f>IF($C759="","",IFERROR(VLOOKUP($C759,sources!$A$2:$N$200,2,FALSE()),"?"))</f>
        <v>Map</v>
      </c>
      <c r="S759" t="str">
        <f>IF($C759="","",IFERROR(VLOOKUP($C759,sources!$A$2:$N$200,9,FALSE()),"?"))</f>
        <v>US official</v>
      </c>
    </row>
    <row r="760" spans="1:19" x14ac:dyDescent="0.2">
      <c r="A760" t="s">
        <v>3553</v>
      </c>
      <c r="B760" t="s">
        <v>252</v>
      </c>
      <c r="C760" t="s">
        <v>1381</v>
      </c>
      <c r="D760" t="s">
        <v>1599</v>
      </c>
      <c r="E760" t="s">
        <v>3554</v>
      </c>
      <c r="F760" t="s">
        <v>1587</v>
      </c>
      <c r="K760" t="s">
        <v>3555</v>
      </c>
      <c r="L760" t="s">
        <v>1200</v>
      </c>
      <c r="M760" t="s">
        <v>228</v>
      </c>
      <c r="N760" t="s">
        <v>228</v>
      </c>
      <c r="O760" t="s">
        <v>3556</v>
      </c>
      <c r="P760" t="s">
        <v>3557</v>
      </c>
      <c r="Q760" t="str">
        <f>IF($C760="","",IFERROR(VLOOKUP($C760,sources!$A$2:$N$200,2,FALSE()),"?"))</f>
        <v>Secondary</v>
      </c>
      <c r="S760" t="str">
        <f>IF($C760="","",IFERROR(VLOOKUP($C760,sources!$A$2:$N$200,9,FALSE()),"?"))</f>
        <v>Panamanian</v>
      </c>
    </row>
    <row r="761" spans="1:19" x14ac:dyDescent="0.2">
      <c r="A761" t="s">
        <v>3558</v>
      </c>
      <c r="B761" t="s">
        <v>261</v>
      </c>
      <c r="C761" t="s">
        <v>1381</v>
      </c>
      <c r="D761" t="s">
        <v>1599</v>
      </c>
      <c r="E761" t="s">
        <v>262</v>
      </c>
      <c r="F761" t="s">
        <v>1587</v>
      </c>
      <c r="K761" t="s">
        <v>250</v>
      </c>
      <c r="L761" t="s">
        <v>250</v>
      </c>
      <c r="M761" t="s">
        <v>222</v>
      </c>
      <c r="N761" t="s">
        <v>228</v>
      </c>
      <c r="O761" t="s">
        <v>3559</v>
      </c>
      <c r="P761" t="s">
        <v>3560</v>
      </c>
      <c r="Q761" t="str">
        <f>IF($C761="","",IFERROR(VLOOKUP($C761,sources!$A$2:$N$200,2,FALSE()),"?"))</f>
        <v>Secondary</v>
      </c>
      <c r="S761" t="str">
        <f>IF($C761="","",IFERROR(VLOOKUP($C761,sources!$A$2:$N$200,9,FALSE()),"?"))</f>
        <v>Panamanian</v>
      </c>
    </row>
    <row r="762" spans="1:19" x14ac:dyDescent="0.2">
      <c r="A762" t="s">
        <v>3561</v>
      </c>
      <c r="B762" t="s">
        <v>198</v>
      </c>
      <c r="C762" t="s">
        <v>1381</v>
      </c>
      <c r="D762" t="s">
        <v>1599</v>
      </c>
      <c r="E762" t="s">
        <v>3562</v>
      </c>
      <c r="F762" t="s">
        <v>1587</v>
      </c>
      <c r="M762" t="s">
        <v>209</v>
      </c>
      <c r="N762" t="s">
        <v>228</v>
      </c>
      <c r="O762" t="s">
        <v>3563</v>
      </c>
      <c r="P762" t="s">
        <v>3564</v>
      </c>
      <c r="Q762" t="str">
        <f>IF($C762="","",IFERROR(VLOOKUP($C762,sources!$A$2:$N$200,2,FALSE()),"?"))</f>
        <v>Secondary</v>
      </c>
      <c r="S762" t="str">
        <f>IF($C762="","",IFERROR(VLOOKUP($C762,sources!$A$2:$N$200,9,FALSE()),"?"))</f>
        <v>Panamanian</v>
      </c>
    </row>
    <row r="763" spans="1:19" x14ac:dyDescent="0.2">
      <c r="A763" t="s">
        <v>3565</v>
      </c>
      <c r="B763" t="s">
        <v>376</v>
      </c>
      <c r="C763" t="s">
        <v>1381</v>
      </c>
      <c r="D763" t="s">
        <v>1599</v>
      </c>
      <c r="E763" t="s">
        <v>3566</v>
      </c>
      <c r="F763" t="s">
        <v>1587</v>
      </c>
      <c r="M763" t="s">
        <v>209</v>
      </c>
      <c r="N763" t="s">
        <v>228</v>
      </c>
      <c r="O763" t="s">
        <v>3559</v>
      </c>
      <c r="P763" t="s">
        <v>3567</v>
      </c>
      <c r="Q763" t="str">
        <f>IF($C763="","",IFERROR(VLOOKUP($C763,sources!$A$2:$N$200,2,FALSE()),"?"))</f>
        <v>Secondary</v>
      </c>
      <c r="S763" t="str">
        <f>IF($C763="","",IFERROR(VLOOKUP($C763,sources!$A$2:$N$200,9,FALSE()),"?"))</f>
        <v>Panamanian</v>
      </c>
    </row>
    <row r="764" spans="1:19" x14ac:dyDescent="0.2">
      <c r="A764" t="s">
        <v>3568</v>
      </c>
      <c r="B764" t="s">
        <v>654</v>
      </c>
      <c r="C764" t="s">
        <v>1198</v>
      </c>
      <c r="D764" t="s">
        <v>1594</v>
      </c>
      <c r="E764" t="s">
        <v>655</v>
      </c>
      <c r="F764" t="s">
        <v>1587</v>
      </c>
      <c r="G764">
        <v>9.1839999999999993</v>
      </c>
      <c r="H764">
        <v>-79.564999999999998</v>
      </c>
      <c r="I764" t="s">
        <v>1595</v>
      </c>
      <c r="J764">
        <v>500</v>
      </c>
      <c r="K764">
        <v>1909</v>
      </c>
      <c r="L764">
        <v>1909</v>
      </c>
      <c r="M764" t="s">
        <v>222</v>
      </c>
      <c r="N764" t="s">
        <v>228</v>
      </c>
      <c r="O764" t="s">
        <v>3268</v>
      </c>
      <c r="P764" t="s">
        <v>3569</v>
      </c>
      <c r="Q764" t="str">
        <f>IF($C764="","",IFERROR(VLOOKUP($C764,sources!$A$2:$N$200,2,FALSE()),"?"))</f>
        <v>Map</v>
      </c>
      <c r="S764" t="str">
        <f>IF($C764="","",IFERROR(VLOOKUP($C764,sources!$A$2:$N$200,9,FALSE()),"?"))</f>
        <v>US official</v>
      </c>
    </row>
    <row r="765" spans="1:19" x14ac:dyDescent="0.2">
      <c r="A765" t="s">
        <v>3570</v>
      </c>
      <c r="B765" t="s">
        <v>658</v>
      </c>
      <c r="C765" t="s">
        <v>1198</v>
      </c>
      <c r="D765" t="s">
        <v>1594</v>
      </c>
      <c r="E765" t="s">
        <v>659</v>
      </c>
      <c r="F765" t="s">
        <v>1587</v>
      </c>
      <c r="G765">
        <v>9.2528000000000006</v>
      </c>
      <c r="H765">
        <v>-79.579300000000003</v>
      </c>
      <c r="I765" t="s">
        <v>1595</v>
      </c>
      <c r="J765">
        <v>600</v>
      </c>
      <c r="K765">
        <v>1909</v>
      </c>
      <c r="L765">
        <v>1909</v>
      </c>
      <c r="M765" t="s">
        <v>222</v>
      </c>
      <c r="N765" t="s">
        <v>228</v>
      </c>
      <c r="O765" t="s">
        <v>3268</v>
      </c>
      <c r="P765" t="s">
        <v>3571</v>
      </c>
      <c r="Q765" t="str">
        <f>IF($C765="","",IFERROR(VLOOKUP($C765,sources!$A$2:$N$200,2,FALSE()),"?"))</f>
        <v>Map</v>
      </c>
      <c r="S765" t="str">
        <f>IF($C765="","",IFERROR(VLOOKUP($C765,sources!$A$2:$N$200,9,FALSE()),"?"))</f>
        <v>US official</v>
      </c>
    </row>
    <row r="766" spans="1:19" x14ac:dyDescent="0.2">
      <c r="A766" t="s">
        <v>3572</v>
      </c>
      <c r="B766" t="s">
        <v>662</v>
      </c>
      <c r="C766" t="s">
        <v>1198</v>
      </c>
      <c r="D766" t="s">
        <v>1594</v>
      </c>
      <c r="E766" t="s">
        <v>663</v>
      </c>
      <c r="F766" t="s">
        <v>1587</v>
      </c>
      <c r="G766">
        <v>9.2383000000000006</v>
      </c>
      <c r="H766">
        <v>-79.566400000000002</v>
      </c>
      <c r="I766" t="s">
        <v>1595</v>
      </c>
      <c r="J766">
        <v>600</v>
      </c>
      <c r="K766">
        <v>1909</v>
      </c>
      <c r="L766">
        <v>1909</v>
      </c>
      <c r="M766" t="s">
        <v>222</v>
      </c>
      <c r="N766" t="s">
        <v>228</v>
      </c>
      <c r="O766" t="s">
        <v>3268</v>
      </c>
      <c r="P766" t="s">
        <v>3573</v>
      </c>
      <c r="Q766" t="str">
        <f>IF($C766="","",IFERROR(VLOOKUP($C766,sources!$A$2:$N$200,2,FALSE()),"?"))</f>
        <v>Map</v>
      </c>
      <c r="S766" t="str">
        <f>IF($C766="","",IFERROR(VLOOKUP($C766,sources!$A$2:$N$200,9,FALSE()),"?"))</f>
        <v>US official</v>
      </c>
    </row>
    <row r="767" spans="1:19" x14ac:dyDescent="0.2">
      <c r="A767" t="s">
        <v>3574</v>
      </c>
      <c r="B767" t="s">
        <v>665</v>
      </c>
      <c r="C767" t="s">
        <v>1198</v>
      </c>
      <c r="D767" t="s">
        <v>1594</v>
      </c>
      <c r="E767" t="s">
        <v>666</v>
      </c>
      <c r="F767" t="s">
        <v>1587</v>
      </c>
      <c r="G767">
        <v>9.2378999999999998</v>
      </c>
      <c r="H767">
        <v>-79.577699999999993</v>
      </c>
      <c r="I767" t="s">
        <v>1595</v>
      </c>
      <c r="J767">
        <v>700</v>
      </c>
      <c r="K767">
        <v>1909</v>
      </c>
      <c r="L767">
        <v>1909</v>
      </c>
      <c r="M767" t="s">
        <v>222</v>
      </c>
      <c r="N767" t="s">
        <v>209</v>
      </c>
      <c r="O767" t="s">
        <v>3268</v>
      </c>
      <c r="P767" t="s">
        <v>3575</v>
      </c>
      <c r="Q767" t="str">
        <f>IF($C767="","",IFERROR(VLOOKUP($C767,sources!$A$2:$N$200,2,FALSE()),"?"))</f>
        <v>Map</v>
      </c>
      <c r="S767" t="str">
        <f>IF($C767="","",IFERROR(VLOOKUP($C767,sources!$A$2:$N$200,9,FALSE()),"?"))</f>
        <v>US official</v>
      </c>
    </row>
    <row r="768" spans="1:19" x14ac:dyDescent="0.2">
      <c r="A768" t="s">
        <v>3576</v>
      </c>
      <c r="B768" t="s">
        <v>668</v>
      </c>
      <c r="C768" t="s">
        <v>1198</v>
      </c>
      <c r="D768" t="s">
        <v>1594</v>
      </c>
      <c r="E768" t="s">
        <v>669</v>
      </c>
      <c r="F768" t="s">
        <v>1587</v>
      </c>
      <c r="G768">
        <v>9.2248999999999999</v>
      </c>
      <c r="H768">
        <v>-79.598600000000005</v>
      </c>
      <c r="I768" t="s">
        <v>1595</v>
      </c>
      <c r="J768">
        <v>600</v>
      </c>
      <c r="K768">
        <v>1909</v>
      </c>
      <c r="L768">
        <v>1909</v>
      </c>
      <c r="M768" t="s">
        <v>222</v>
      </c>
      <c r="N768" t="s">
        <v>228</v>
      </c>
      <c r="O768" t="s">
        <v>3268</v>
      </c>
      <c r="P768" t="s">
        <v>3577</v>
      </c>
      <c r="Q768" t="str">
        <f>IF($C768="","",IFERROR(VLOOKUP($C768,sources!$A$2:$N$200,2,FALSE()),"?"))</f>
        <v>Map</v>
      </c>
      <c r="S768" t="str">
        <f>IF($C768="","",IFERROR(VLOOKUP($C768,sources!$A$2:$N$200,9,FALSE()),"?"))</f>
        <v>US official</v>
      </c>
    </row>
    <row r="769" spans="1:19" x14ac:dyDescent="0.2">
      <c r="A769" t="s">
        <v>3578</v>
      </c>
      <c r="B769" t="s">
        <v>671</v>
      </c>
      <c r="C769" t="s">
        <v>1323</v>
      </c>
      <c r="D769" t="s">
        <v>1594</v>
      </c>
      <c r="E769" t="s">
        <v>672</v>
      </c>
      <c r="G769">
        <v>9.0616920000000007</v>
      </c>
      <c r="H769">
        <v>-79.672240000000002</v>
      </c>
      <c r="I769" t="s">
        <v>1595</v>
      </c>
      <c r="J769">
        <v>200</v>
      </c>
      <c r="K769">
        <v>1907</v>
      </c>
      <c r="L769">
        <v>1907</v>
      </c>
      <c r="M769" t="s">
        <v>222</v>
      </c>
      <c r="N769" t="s">
        <v>222</v>
      </c>
      <c r="O769" t="s">
        <v>3035</v>
      </c>
      <c r="P769" t="s">
        <v>3579</v>
      </c>
      <c r="Q769" t="str">
        <f>IF($C769="","",IFERROR(VLOOKUP($C769,sources!$A$2:$N$200,2,FALSE()),"?"))</f>
        <v>Map</v>
      </c>
      <c r="S769" t="str">
        <f>IF($C769="","",IFERROR(VLOOKUP($C769,sources!$A$2:$N$200,9,FALSE()),"?"))</f>
        <v>US official</v>
      </c>
    </row>
    <row r="770" spans="1:19" x14ac:dyDescent="0.2">
      <c r="A770" t="s">
        <v>3580</v>
      </c>
      <c r="B770" t="s">
        <v>675</v>
      </c>
      <c r="C770" t="s">
        <v>1323</v>
      </c>
      <c r="D770" t="s">
        <v>1594</v>
      </c>
      <c r="E770" t="s">
        <v>676</v>
      </c>
      <c r="G770">
        <v>9.0624140000000004</v>
      </c>
      <c r="H770">
        <v>-79.671114000000003</v>
      </c>
      <c r="I770" t="s">
        <v>1595</v>
      </c>
      <c r="J770">
        <v>200</v>
      </c>
      <c r="K770">
        <v>1907</v>
      </c>
      <c r="L770">
        <v>1907</v>
      </c>
      <c r="M770" t="s">
        <v>222</v>
      </c>
      <c r="N770" t="s">
        <v>222</v>
      </c>
      <c r="O770" t="s">
        <v>3035</v>
      </c>
      <c r="P770" t="s">
        <v>3581</v>
      </c>
      <c r="Q770" t="str">
        <f>IF($C770="","",IFERROR(VLOOKUP($C770,sources!$A$2:$N$200,2,FALSE()),"?"))</f>
        <v>Map</v>
      </c>
      <c r="S770" t="str">
        <f>IF($C770="","",IFERROR(VLOOKUP($C770,sources!$A$2:$N$200,9,FALSE()),"?"))</f>
        <v>US official</v>
      </c>
    </row>
    <row r="771" spans="1:19" x14ac:dyDescent="0.2">
      <c r="A771" t="s">
        <v>3582</v>
      </c>
      <c r="B771" t="s">
        <v>679</v>
      </c>
      <c r="C771" t="s">
        <v>1323</v>
      </c>
      <c r="D771" t="s">
        <v>1594</v>
      </c>
      <c r="E771" t="s">
        <v>680</v>
      </c>
      <c r="G771">
        <v>9.0602499999999999</v>
      </c>
      <c r="H771">
        <v>-79.671850000000006</v>
      </c>
      <c r="I771" t="s">
        <v>1595</v>
      </c>
      <c r="J771">
        <v>200</v>
      </c>
      <c r="K771">
        <v>1907</v>
      </c>
      <c r="L771">
        <v>1907</v>
      </c>
      <c r="M771" t="s">
        <v>222</v>
      </c>
      <c r="N771" t="s">
        <v>222</v>
      </c>
      <c r="O771" t="s">
        <v>3035</v>
      </c>
      <c r="P771" t="s">
        <v>3583</v>
      </c>
      <c r="Q771" t="str">
        <f>IF($C771="","",IFERROR(VLOOKUP($C771,sources!$A$2:$N$200,2,FALSE()),"?"))</f>
        <v>Map</v>
      </c>
      <c r="S771" t="str">
        <f>IF($C771="","",IFERROR(VLOOKUP($C771,sources!$A$2:$N$200,9,FALSE()),"?"))</f>
        <v>US official</v>
      </c>
    </row>
    <row r="772" spans="1:19" x14ac:dyDescent="0.2">
      <c r="A772" t="s">
        <v>3584</v>
      </c>
      <c r="B772" t="s">
        <v>682</v>
      </c>
      <c r="C772" t="s">
        <v>1323</v>
      </c>
      <c r="D772" t="s">
        <v>1594</v>
      </c>
      <c r="E772" t="s">
        <v>683</v>
      </c>
      <c r="G772">
        <v>9.0620740000000009</v>
      </c>
      <c r="H772">
        <v>-79.669970000000006</v>
      </c>
      <c r="I772" t="s">
        <v>1595</v>
      </c>
      <c r="J772">
        <v>200</v>
      </c>
      <c r="K772">
        <v>1907</v>
      </c>
      <c r="L772">
        <v>1907</v>
      </c>
      <c r="M772" t="s">
        <v>222</v>
      </c>
      <c r="N772" t="s">
        <v>222</v>
      </c>
      <c r="O772" t="s">
        <v>3035</v>
      </c>
      <c r="P772" t="s">
        <v>3585</v>
      </c>
      <c r="Q772" t="str">
        <f>IF($C772="","",IFERROR(VLOOKUP($C772,sources!$A$2:$N$200,2,FALSE()),"?"))</f>
        <v>Map</v>
      </c>
      <c r="S772" t="str">
        <f>IF($C772="","",IFERROR(VLOOKUP($C772,sources!$A$2:$N$200,9,FALSE()),"?"))</f>
        <v>US official</v>
      </c>
    </row>
    <row r="773" spans="1:19" x14ac:dyDescent="0.2">
      <c r="A773" t="s">
        <v>3586</v>
      </c>
      <c r="B773" t="s">
        <v>686</v>
      </c>
      <c r="C773" t="s">
        <v>1323</v>
      </c>
      <c r="D773" t="s">
        <v>1594</v>
      </c>
      <c r="E773" t="s">
        <v>687</v>
      </c>
      <c r="G773">
        <v>9.0635519999999996</v>
      </c>
      <c r="H773">
        <v>-79.672604000000007</v>
      </c>
      <c r="I773" t="s">
        <v>1595</v>
      </c>
      <c r="J773">
        <v>200</v>
      </c>
      <c r="K773">
        <v>1907</v>
      </c>
      <c r="L773">
        <v>1907</v>
      </c>
      <c r="M773" t="s">
        <v>222</v>
      </c>
      <c r="N773" t="s">
        <v>209</v>
      </c>
      <c r="O773" t="s">
        <v>3035</v>
      </c>
      <c r="P773" t="s">
        <v>3587</v>
      </c>
      <c r="Q773" t="str">
        <f>IF($C773="","",IFERROR(VLOOKUP($C773,sources!$A$2:$N$200,2,FALSE()),"?"))</f>
        <v>Map</v>
      </c>
      <c r="S773" t="str">
        <f>IF($C773="","",IFERROR(VLOOKUP($C773,sources!$A$2:$N$200,9,FALSE()),"?"))</f>
        <v>US official</v>
      </c>
    </row>
    <row r="774" spans="1:19" x14ac:dyDescent="0.2">
      <c r="A774" t="s">
        <v>3588</v>
      </c>
      <c r="B774" t="s">
        <v>689</v>
      </c>
      <c r="C774" t="s">
        <v>1323</v>
      </c>
      <c r="D774" t="s">
        <v>1594</v>
      </c>
      <c r="E774" t="s">
        <v>690</v>
      </c>
      <c r="G774">
        <v>9.0637539999999994</v>
      </c>
      <c r="H774">
        <v>-79.673452999999995</v>
      </c>
      <c r="I774" t="s">
        <v>1595</v>
      </c>
      <c r="J774">
        <v>200</v>
      </c>
      <c r="K774">
        <v>1907</v>
      </c>
      <c r="L774">
        <v>1907</v>
      </c>
      <c r="M774" t="s">
        <v>222</v>
      </c>
      <c r="N774" t="s">
        <v>222</v>
      </c>
      <c r="O774" t="s">
        <v>3035</v>
      </c>
      <c r="P774" t="s">
        <v>3589</v>
      </c>
      <c r="Q774" t="str">
        <f>IF($C774="","",IFERROR(VLOOKUP($C774,sources!$A$2:$N$200,2,FALSE()),"?"))</f>
        <v>Map</v>
      </c>
      <c r="S774" t="str">
        <f>IF($C774="","",IFERROR(VLOOKUP($C774,sources!$A$2:$N$200,9,FALSE()),"?"))</f>
        <v>US official</v>
      </c>
    </row>
    <row r="775" spans="1:19" x14ac:dyDescent="0.2">
      <c r="A775" t="s">
        <v>3590</v>
      </c>
      <c r="B775" t="s">
        <v>692</v>
      </c>
      <c r="C775" t="s">
        <v>1323</v>
      </c>
      <c r="D775" t="s">
        <v>1594</v>
      </c>
      <c r="E775" t="s">
        <v>3591</v>
      </c>
      <c r="G775">
        <v>9.0652819999999998</v>
      </c>
      <c r="H775">
        <v>-79.671914000000001</v>
      </c>
      <c r="I775" t="s">
        <v>1595</v>
      </c>
      <c r="J775">
        <v>200</v>
      </c>
      <c r="K775">
        <v>1907</v>
      </c>
      <c r="L775">
        <v>1907</v>
      </c>
      <c r="M775" t="s">
        <v>222</v>
      </c>
      <c r="N775" t="s">
        <v>222</v>
      </c>
      <c r="O775" t="s">
        <v>3035</v>
      </c>
      <c r="P775" t="s">
        <v>3592</v>
      </c>
      <c r="Q775" t="str">
        <f>IF($C775="","",IFERROR(VLOOKUP($C775,sources!$A$2:$N$200,2,FALSE()),"?"))</f>
        <v>Map</v>
      </c>
      <c r="S775" t="str">
        <f>IF($C775="","",IFERROR(VLOOKUP($C775,sources!$A$2:$N$200,9,FALSE()),"?"))</f>
        <v>US official</v>
      </c>
    </row>
    <row r="776" spans="1:19" x14ac:dyDescent="0.2">
      <c r="A776" t="s">
        <v>3593</v>
      </c>
      <c r="B776" t="s">
        <v>692</v>
      </c>
      <c r="C776" t="s">
        <v>1323</v>
      </c>
      <c r="D776" t="s">
        <v>1594</v>
      </c>
      <c r="E776" t="s">
        <v>3594</v>
      </c>
      <c r="G776">
        <v>9.0654470000000007</v>
      </c>
      <c r="H776">
        <v>-79.671491000000003</v>
      </c>
      <c r="I776" t="s">
        <v>1595</v>
      </c>
      <c r="J776">
        <v>200</v>
      </c>
      <c r="K776">
        <v>1907</v>
      </c>
      <c r="L776">
        <v>1907</v>
      </c>
      <c r="M776" t="s">
        <v>222</v>
      </c>
      <c r="N776" t="s">
        <v>222</v>
      </c>
      <c r="O776" t="s">
        <v>3035</v>
      </c>
      <c r="P776" t="s">
        <v>3592</v>
      </c>
      <c r="Q776" t="str">
        <f>IF($C776="","",IFERROR(VLOOKUP($C776,sources!$A$2:$N$200,2,FALSE()),"?"))</f>
        <v>Map</v>
      </c>
      <c r="S776" t="str">
        <f>IF($C776="","",IFERROR(VLOOKUP($C776,sources!$A$2:$N$200,9,FALSE()),"?"))</f>
        <v>US official</v>
      </c>
    </row>
    <row r="777" spans="1:19" x14ac:dyDescent="0.2">
      <c r="A777" t="s">
        <v>3595</v>
      </c>
      <c r="B777" t="s">
        <v>692</v>
      </c>
      <c r="C777" t="s">
        <v>1323</v>
      </c>
      <c r="D777" t="s">
        <v>1594</v>
      </c>
      <c r="E777" t="s">
        <v>3596</v>
      </c>
      <c r="G777">
        <v>9.0655730000000005</v>
      </c>
      <c r="H777">
        <v>-79.671105999999995</v>
      </c>
      <c r="I777" t="s">
        <v>1595</v>
      </c>
      <c r="J777">
        <v>200</v>
      </c>
      <c r="K777">
        <v>1907</v>
      </c>
      <c r="L777">
        <v>1907</v>
      </c>
      <c r="M777" t="s">
        <v>222</v>
      </c>
      <c r="N777" t="s">
        <v>222</v>
      </c>
      <c r="O777" t="s">
        <v>3035</v>
      </c>
      <c r="P777" t="s">
        <v>3592</v>
      </c>
      <c r="Q777" t="str">
        <f>IF($C777="","",IFERROR(VLOOKUP($C777,sources!$A$2:$N$200,2,FALSE()),"?"))</f>
        <v>Map</v>
      </c>
      <c r="S777" t="str">
        <f>IF($C777="","",IFERROR(VLOOKUP($C777,sources!$A$2:$N$200,9,FALSE()),"?"))</f>
        <v>US official</v>
      </c>
    </row>
    <row r="778" spans="1:19" x14ac:dyDescent="0.2">
      <c r="A778" t="s">
        <v>3597</v>
      </c>
      <c r="B778" t="s">
        <v>692</v>
      </c>
      <c r="C778" t="s">
        <v>1323</v>
      </c>
      <c r="D778" t="s">
        <v>1594</v>
      </c>
      <c r="E778" t="s">
        <v>3598</v>
      </c>
      <c r="G778">
        <v>9.0649549999999994</v>
      </c>
      <c r="H778">
        <v>-79.671531999999999</v>
      </c>
      <c r="I778" t="s">
        <v>1595</v>
      </c>
      <c r="J778">
        <v>200</v>
      </c>
      <c r="K778">
        <v>1907</v>
      </c>
      <c r="L778">
        <v>1907</v>
      </c>
      <c r="M778" t="s">
        <v>222</v>
      </c>
      <c r="N778" t="s">
        <v>222</v>
      </c>
      <c r="O778" t="s">
        <v>3035</v>
      </c>
      <c r="P778" t="s">
        <v>3592</v>
      </c>
      <c r="Q778" t="str">
        <f>IF($C778="","",IFERROR(VLOOKUP($C778,sources!$A$2:$N$200,2,FALSE()),"?"))</f>
        <v>Map</v>
      </c>
      <c r="S778" t="str">
        <f>IF($C778="","",IFERROR(VLOOKUP($C778,sources!$A$2:$N$200,9,FALSE()),"?"))</f>
        <v>US official</v>
      </c>
    </row>
    <row r="779" spans="1:19" x14ac:dyDescent="0.2">
      <c r="A779" t="s">
        <v>3599</v>
      </c>
      <c r="B779" t="s">
        <v>692</v>
      </c>
      <c r="C779" t="s">
        <v>1323</v>
      </c>
      <c r="D779" t="s">
        <v>1594</v>
      </c>
      <c r="E779" t="s">
        <v>3600</v>
      </c>
      <c r="G779">
        <v>9.0646419999999992</v>
      </c>
      <c r="H779">
        <v>-79.671297999999993</v>
      </c>
      <c r="I779" t="s">
        <v>1595</v>
      </c>
      <c r="J779">
        <v>200</v>
      </c>
      <c r="K779">
        <v>1907</v>
      </c>
      <c r="L779">
        <v>1907</v>
      </c>
      <c r="M779" t="s">
        <v>222</v>
      </c>
      <c r="N779" t="s">
        <v>222</v>
      </c>
      <c r="O779" t="s">
        <v>3035</v>
      </c>
      <c r="P779" t="s">
        <v>3592</v>
      </c>
      <c r="Q779" t="str">
        <f>IF($C779="","",IFERROR(VLOOKUP($C779,sources!$A$2:$N$200,2,FALSE()),"?"))</f>
        <v>Map</v>
      </c>
      <c r="S779" t="str">
        <f>IF($C779="","",IFERROR(VLOOKUP($C779,sources!$A$2:$N$200,9,FALSE()),"?"))</f>
        <v>US official</v>
      </c>
    </row>
    <row r="780" spans="1:19" x14ac:dyDescent="0.2">
      <c r="A780" t="s">
        <v>3601</v>
      </c>
      <c r="B780" t="s">
        <v>692</v>
      </c>
      <c r="C780" t="s">
        <v>1323</v>
      </c>
      <c r="D780" t="s">
        <v>1594</v>
      </c>
      <c r="E780" t="s">
        <v>3602</v>
      </c>
      <c r="G780">
        <v>9.0640389999999993</v>
      </c>
      <c r="H780">
        <v>-79.671462000000005</v>
      </c>
      <c r="I780" t="s">
        <v>1595</v>
      </c>
      <c r="J780">
        <v>200</v>
      </c>
      <c r="K780">
        <v>1907</v>
      </c>
      <c r="L780">
        <v>1907</v>
      </c>
      <c r="M780" t="s">
        <v>222</v>
      </c>
      <c r="N780" t="s">
        <v>222</v>
      </c>
      <c r="O780" t="s">
        <v>3035</v>
      </c>
      <c r="P780" t="s">
        <v>3592</v>
      </c>
      <c r="Q780" t="str">
        <f>IF($C780="","",IFERROR(VLOOKUP($C780,sources!$A$2:$N$200,2,FALSE()),"?"))</f>
        <v>Map</v>
      </c>
      <c r="S780" t="str">
        <f>IF($C780="","",IFERROR(VLOOKUP($C780,sources!$A$2:$N$200,9,FALSE()),"?"))</f>
        <v>US official</v>
      </c>
    </row>
    <row r="781" spans="1:19" x14ac:dyDescent="0.2">
      <c r="A781" t="s">
        <v>3603</v>
      </c>
      <c r="B781" t="s">
        <v>696</v>
      </c>
      <c r="C781" t="s">
        <v>1323</v>
      </c>
      <c r="D781" t="s">
        <v>1594</v>
      </c>
      <c r="E781" t="s">
        <v>697</v>
      </c>
      <c r="G781">
        <v>9.0621469999999995</v>
      </c>
      <c r="H781">
        <v>-79.672213999999997</v>
      </c>
      <c r="I781" t="s">
        <v>1595</v>
      </c>
      <c r="J781">
        <v>200</v>
      </c>
      <c r="K781">
        <v>1907</v>
      </c>
      <c r="L781">
        <v>1907</v>
      </c>
      <c r="M781" t="s">
        <v>222</v>
      </c>
      <c r="N781" t="s">
        <v>222</v>
      </c>
      <c r="O781" t="s">
        <v>3035</v>
      </c>
      <c r="P781" t="s">
        <v>3604</v>
      </c>
      <c r="Q781" t="str">
        <f>IF($C781="","",IFERROR(VLOOKUP($C781,sources!$A$2:$N$200,2,FALSE()),"?"))</f>
        <v>Map</v>
      </c>
      <c r="S781" t="str">
        <f>IF($C781="","",IFERROR(VLOOKUP($C781,sources!$A$2:$N$200,9,FALSE()),"?"))</f>
        <v>US official</v>
      </c>
    </row>
    <row r="782" spans="1:19" x14ac:dyDescent="0.2">
      <c r="A782" t="s">
        <v>3605</v>
      </c>
      <c r="B782" t="s">
        <v>699</v>
      </c>
      <c r="C782" t="s">
        <v>1323</v>
      </c>
      <c r="D782" t="s">
        <v>1594</v>
      </c>
      <c r="E782" t="s">
        <v>700</v>
      </c>
      <c r="G782">
        <v>9.0623579999999997</v>
      </c>
      <c r="H782">
        <v>-79.671839000000006</v>
      </c>
      <c r="I782" t="s">
        <v>1595</v>
      </c>
      <c r="J782">
        <v>200</v>
      </c>
      <c r="K782">
        <v>1907</v>
      </c>
      <c r="L782">
        <v>1907</v>
      </c>
      <c r="M782" t="s">
        <v>222</v>
      </c>
      <c r="N782" t="s">
        <v>222</v>
      </c>
      <c r="O782" t="s">
        <v>3035</v>
      </c>
      <c r="P782" t="s">
        <v>3606</v>
      </c>
      <c r="Q782" t="str">
        <f>IF($C782="","",IFERROR(VLOOKUP($C782,sources!$A$2:$N$200,2,FALSE()),"?"))</f>
        <v>Map</v>
      </c>
      <c r="S782" t="str">
        <f>IF($C782="","",IFERROR(VLOOKUP($C782,sources!$A$2:$N$200,9,FALSE()),"?"))</f>
        <v>US official</v>
      </c>
    </row>
    <row r="783" spans="1:19" x14ac:dyDescent="0.2">
      <c r="A783" t="s">
        <v>3607</v>
      </c>
      <c r="B783" t="s">
        <v>702</v>
      </c>
      <c r="C783" t="s">
        <v>1323</v>
      </c>
      <c r="D783" t="s">
        <v>1594</v>
      </c>
      <c r="E783" t="s">
        <v>703</v>
      </c>
      <c r="G783">
        <v>9.0619580000000006</v>
      </c>
      <c r="H783">
        <v>-79.671924000000004</v>
      </c>
      <c r="I783" t="s">
        <v>1595</v>
      </c>
      <c r="J783">
        <v>200</v>
      </c>
      <c r="K783">
        <v>1907</v>
      </c>
      <c r="L783">
        <v>1907</v>
      </c>
      <c r="M783" t="s">
        <v>222</v>
      </c>
      <c r="N783" t="s">
        <v>222</v>
      </c>
      <c r="O783" t="s">
        <v>3035</v>
      </c>
      <c r="P783" t="s">
        <v>3608</v>
      </c>
      <c r="Q783" t="str">
        <f>IF($C783="","",IFERROR(VLOOKUP($C783,sources!$A$2:$N$200,2,FALSE()),"?"))</f>
        <v>Map</v>
      </c>
      <c r="S783" t="str">
        <f>IF($C783="","",IFERROR(VLOOKUP($C783,sources!$A$2:$N$200,9,FALSE()),"?"))</f>
        <v>US official</v>
      </c>
    </row>
    <row r="784" spans="1:19" x14ac:dyDescent="0.2">
      <c r="A784" t="s">
        <v>3609</v>
      </c>
      <c r="B784" t="s">
        <v>705</v>
      </c>
      <c r="C784" t="s">
        <v>1323</v>
      </c>
      <c r="D784" t="s">
        <v>1594</v>
      </c>
      <c r="E784" t="s">
        <v>706</v>
      </c>
      <c r="G784">
        <v>9.0621360000000006</v>
      </c>
      <c r="H784">
        <v>-79.671717000000001</v>
      </c>
      <c r="I784" t="s">
        <v>1595</v>
      </c>
      <c r="J784">
        <v>200</v>
      </c>
      <c r="K784">
        <v>1907</v>
      </c>
      <c r="L784">
        <v>1907</v>
      </c>
      <c r="M784" t="s">
        <v>222</v>
      </c>
      <c r="N784" t="s">
        <v>222</v>
      </c>
      <c r="O784" t="s">
        <v>3035</v>
      </c>
      <c r="P784" t="s">
        <v>3610</v>
      </c>
      <c r="Q784" t="str">
        <f>IF($C784="","",IFERROR(VLOOKUP($C784,sources!$A$2:$N$200,2,FALSE()),"?"))</f>
        <v>Map</v>
      </c>
      <c r="S784" t="str">
        <f>IF($C784="","",IFERROR(VLOOKUP($C784,sources!$A$2:$N$200,9,FALSE()),"?"))</f>
        <v>US official</v>
      </c>
    </row>
    <row r="785" spans="1:19" x14ac:dyDescent="0.2">
      <c r="A785" t="s">
        <v>3611</v>
      </c>
      <c r="B785" t="s">
        <v>708</v>
      </c>
      <c r="C785" t="s">
        <v>1323</v>
      </c>
      <c r="D785" t="s">
        <v>1594</v>
      </c>
      <c r="E785" t="s">
        <v>709</v>
      </c>
      <c r="G785">
        <v>9.0631190000000004</v>
      </c>
      <c r="H785">
        <v>-79.669803999999999</v>
      </c>
      <c r="I785" t="s">
        <v>1595</v>
      </c>
      <c r="J785">
        <v>200</v>
      </c>
      <c r="K785">
        <v>1907</v>
      </c>
      <c r="L785">
        <v>1907</v>
      </c>
      <c r="M785" t="s">
        <v>222</v>
      </c>
      <c r="N785" t="s">
        <v>222</v>
      </c>
      <c r="O785" t="s">
        <v>3035</v>
      </c>
      <c r="P785" t="s">
        <v>3612</v>
      </c>
      <c r="Q785" t="str">
        <f>IF($C785="","",IFERROR(VLOOKUP($C785,sources!$A$2:$N$200,2,FALSE()),"?"))</f>
        <v>Map</v>
      </c>
      <c r="S785" t="str">
        <f>IF($C785="","",IFERROR(VLOOKUP($C785,sources!$A$2:$N$200,9,FALSE()),"?"))</f>
        <v>US official</v>
      </c>
    </row>
    <row r="786" spans="1:19" x14ac:dyDescent="0.2">
      <c r="A786" t="s">
        <v>3613</v>
      </c>
      <c r="B786" t="s">
        <v>712</v>
      </c>
      <c r="C786" t="s">
        <v>1342</v>
      </c>
      <c r="D786" t="s">
        <v>1594</v>
      </c>
      <c r="E786" t="s">
        <v>713</v>
      </c>
      <c r="G786">
        <v>9.1162919999999996</v>
      </c>
      <c r="H786">
        <v>-79.724699999999999</v>
      </c>
      <c r="I786" t="s">
        <v>1595</v>
      </c>
      <c r="J786">
        <v>150</v>
      </c>
      <c r="K786">
        <v>1908</v>
      </c>
      <c r="L786">
        <v>1908</v>
      </c>
      <c r="M786" t="s">
        <v>222</v>
      </c>
      <c r="N786" t="s">
        <v>222</v>
      </c>
      <c r="O786" t="s">
        <v>3051</v>
      </c>
      <c r="P786" t="s">
        <v>3614</v>
      </c>
      <c r="Q786" t="str">
        <f>IF($C786="","",IFERROR(VLOOKUP($C786,sources!$A$2:$N$200,2,FALSE()),"?"))</f>
        <v>Map</v>
      </c>
      <c r="S786" t="str">
        <f>IF($C786="","",IFERROR(VLOOKUP($C786,sources!$A$2:$N$200,9,FALSE()),"?"))</f>
        <v>US official</v>
      </c>
    </row>
    <row r="787" spans="1:19" x14ac:dyDescent="0.2">
      <c r="A787" t="s">
        <v>3615</v>
      </c>
      <c r="B787" t="s">
        <v>717</v>
      </c>
      <c r="C787" t="s">
        <v>1342</v>
      </c>
      <c r="D787" t="s">
        <v>1594</v>
      </c>
      <c r="E787" t="s">
        <v>718</v>
      </c>
      <c r="G787">
        <v>9.1146259999999995</v>
      </c>
      <c r="H787">
        <v>-79.723693999999995</v>
      </c>
      <c r="I787" t="s">
        <v>1595</v>
      </c>
      <c r="J787">
        <v>150</v>
      </c>
      <c r="K787">
        <v>1908</v>
      </c>
      <c r="L787">
        <v>1908</v>
      </c>
      <c r="M787" t="s">
        <v>222</v>
      </c>
      <c r="N787" t="s">
        <v>222</v>
      </c>
      <c r="O787" t="s">
        <v>3051</v>
      </c>
      <c r="P787" t="s">
        <v>3616</v>
      </c>
      <c r="Q787" t="str">
        <f>IF($C787="","",IFERROR(VLOOKUP($C787,sources!$A$2:$N$200,2,FALSE()),"?"))</f>
        <v>Map</v>
      </c>
      <c r="S787" t="str">
        <f>IF($C787="","",IFERROR(VLOOKUP($C787,sources!$A$2:$N$200,9,FALSE()),"?"))</f>
        <v>US official</v>
      </c>
    </row>
    <row r="788" spans="1:19" x14ac:dyDescent="0.2">
      <c r="A788" t="s">
        <v>3617</v>
      </c>
      <c r="B788" t="s">
        <v>720</v>
      </c>
      <c r="C788" t="s">
        <v>1342</v>
      </c>
      <c r="D788" t="s">
        <v>1594</v>
      </c>
      <c r="E788" t="s">
        <v>721</v>
      </c>
      <c r="G788">
        <v>9.1159879999999998</v>
      </c>
      <c r="H788">
        <v>-79.724287000000004</v>
      </c>
      <c r="I788" t="s">
        <v>1595</v>
      </c>
      <c r="J788">
        <v>150</v>
      </c>
      <c r="K788">
        <v>1908</v>
      </c>
      <c r="L788">
        <v>1908</v>
      </c>
      <c r="M788" t="s">
        <v>222</v>
      </c>
      <c r="N788" t="s">
        <v>222</v>
      </c>
      <c r="O788" t="s">
        <v>3051</v>
      </c>
      <c r="P788" t="s">
        <v>3618</v>
      </c>
      <c r="Q788" t="str">
        <f>IF($C788="","",IFERROR(VLOOKUP($C788,sources!$A$2:$N$200,2,FALSE()),"?"))</f>
        <v>Map</v>
      </c>
      <c r="S788" t="str">
        <f>IF($C788="","",IFERROR(VLOOKUP($C788,sources!$A$2:$N$200,9,FALSE()),"?"))</f>
        <v>US official</v>
      </c>
    </row>
    <row r="789" spans="1:19" x14ac:dyDescent="0.2">
      <c r="A789" t="s">
        <v>3619</v>
      </c>
      <c r="B789" t="s">
        <v>723</v>
      </c>
      <c r="C789" t="s">
        <v>1342</v>
      </c>
      <c r="D789" t="s">
        <v>1594</v>
      </c>
      <c r="E789" t="s">
        <v>724</v>
      </c>
      <c r="G789">
        <v>9.1136759999999999</v>
      </c>
      <c r="H789">
        <v>-79.724626999999998</v>
      </c>
      <c r="I789" t="s">
        <v>1595</v>
      </c>
      <c r="J789">
        <v>150</v>
      </c>
      <c r="K789">
        <v>1908</v>
      </c>
      <c r="L789">
        <v>1908</v>
      </c>
      <c r="M789" t="s">
        <v>222</v>
      </c>
      <c r="N789" t="s">
        <v>222</v>
      </c>
      <c r="O789" t="s">
        <v>3051</v>
      </c>
      <c r="P789" t="s">
        <v>3620</v>
      </c>
      <c r="Q789" t="str">
        <f>IF($C789="","",IFERROR(VLOOKUP($C789,sources!$A$2:$N$200,2,FALSE()),"?"))</f>
        <v>Map</v>
      </c>
      <c r="S789" t="str">
        <f>IF($C789="","",IFERROR(VLOOKUP($C789,sources!$A$2:$N$200,9,FALSE()),"?"))</f>
        <v>US official</v>
      </c>
    </row>
    <row r="790" spans="1:19" x14ac:dyDescent="0.2">
      <c r="A790" t="s">
        <v>3621</v>
      </c>
      <c r="B790" t="s">
        <v>726</v>
      </c>
      <c r="C790" t="s">
        <v>1342</v>
      </c>
      <c r="D790" t="s">
        <v>1594</v>
      </c>
      <c r="E790" t="s">
        <v>727</v>
      </c>
      <c r="G790">
        <v>9.1167320000000007</v>
      </c>
      <c r="H790">
        <v>-79.725119000000007</v>
      </c>
      <c r="I790" t="s">
        <v>1595</v>
      </c>
      <c r="J790">
        <v>150</v>
      </c>
      <c r="K790">
        <v>1908</v>
      </c>
      <c r="L790">
        <v>1908</v>
      </c>
      <c r="M790" t="s">
        <v>222</v>
      </c>
      <c r="N790" t="s">
        <v>222</v>
      </c>
      <c r="O790" t="s">
        <v>3051</v>
      </c>
      <c r="P790" t="s">
        <v>3622</v>
      </c>
      <c r="Q790" t="str">
        <f>IF($C790="","",IFERROR(VLOOKUP($C790,sources!$A$2:$N$200,2,FALSE()),"?"))</f>
        <v>Map</v>
      </c>
      <c r="S790" t="str">
        <f>IF($C790="","",IFERROR(VLOOKUP($C790,sources!$A$2:$N$200,9,FALSE()),"?"))</f>
        <v>US official</v>
      </c>
    </row>
    <row r="791" spans="1:19" x14ac:dyDescent="0.2">
      <c r="A791" t="s">
        <v>3623</v>
      </c>
      <c r="B791" t="s">
        <v>730</v>
      </c>
      <c r="C791" t="s">
        <v>1371</v>
      </c>
      <c r="D791" t="s">
        <v>1594</v>
      </c>
      <c r="E791" t="s">
        <v>731</v>
      </c>
      <c r="G791">
        <v>9.0494240000000001</v>
      </c>
      <c r="H791">
        <v>-79.655895000000001</v>
      </c>
      <c r="I791" t="s">
        <v>1595</v>
      </c>
      <c r="J791">
        <v>200</v>
      </c>
      <c r="K791">
        <v>1907</v>
      </c>
      <c r="L791">
        <v>1907</v>
      </c>
      <c r="M791" t="s">
        <v>222</v>
      </c>
      <c r="N791" t="s">
        <v>222</v>
      </c>
      <c r="O791" t="s">
        <v>3164</v>
      </c>
      <c r="P791" t="s">
        <v>3624</v>
      </c>
      <c r="Q791" t="str">
        <f>IF($C791="","",IFERROR(VLOOKUP($C791,sources!$A$2:$N$200,2,FALSE()),"?"))</f>
        <v>Map</v>
      </c>
      <c r="S791" t="str">
        <f>IF($C791="","",IFERROR(VLOOKUP($C791,sources!$A$2:$N$200,9,FALSE()),"?"))</f>
        <v>US official</v>
      </c>
    </row>
    <row r="792" spans="1:19" x14ac:dyDescent="0.2">
      <c r="A792" t="s">
        <v>3625</v>
      </c>
      <c r="B792" t="s">
        <v>733</v>
      </c>
      <c r="C792" t="s">
        <v>1371</v>
      </c>
      <c r="D792" t="s">
        <v>1594</v>
      </c>
      <c r="E792" t="s">
        <v>734</v>
      </c>
      <c r="G792">
        <v>9.0485900000000008</v>
      </c>
      <c r="H792">
        <v>-79.655124999999998</v>
      </c>
      <c r="I792" t="s">
        <v>1595</v>
      </c>
      <c r="J792">
        <v>200</v>
      </c>
      <c r="K792">
        <v>1907</v>
      </c>
      <c r="L792">
        <v>1907</v>
      </c>
      <c r="M792" t="s">
        <v>222</v>
      </c>
      <c r="N792" t="s">
        <v>222</v>
      </c>
      <c r="O792" t="s">
        <v>3164</v>
      </c>
      <c r="P792" t="s">
        <v>3626</v>
      </c>
      <c r="Q792" t="str">
        <f>IF($C792="","",IFERROR(VLOOKUP($C792,sources!$A$2:$N$200,2,FALSE()),"?"))</f>
        <v>Map</v>
      </c>
      <c r="S792" t="str">
        <f>IF($C792="","",IFERROR(VLOOKUP($C792,sources!$A$2:$N$200,9,FALSE()),"?"))</f>
        <v>US official</v>
      </c>
    </row>
    <row r="793" spans="1:19" x14ac:dyDescent="0.2">
      <c r="A793" t="s">
        <v>3627</v>
      </c>
      <c r="B793" t="s">
        <v>736</v>
      </c>
      <c r="C793" t="s">
        <v>1371</v>
      </c>
      <c r="D793" t="s">
        <v>1594</v>
      </c>
      <c r="E793" t="s">
        <v>737</v>
      </c>
      <c r="G793">
        <v>9.0488560000000007</v>
      </c>
      <c r="H793">
        <v>-79.654494</v>
      </c>
      <c r="I793" t="s">
        <v>1595</v>
      </c>
      <c r="J793">
        <v>200</v>
      </c>
      <c r="K793">
        <v>1907</v>
      </c>
      <c r="L793">
        <v>1907</v>
      </c>
      <c r="M793" t="s">
        <v>222</v>
      </c>
      <c r="N793" t="s">
        <v>222</v>
      </c>
      <c r="O793" t="s">
        <v>3164</v>
      </c>
      <c r="P793" t="s">
        <v>3628</v>
      </c>
      <c r="Q793" t="str">
        <f>IF($C793="","",IFERROR(VLOOKUP($C793,sources!$A$2:$N$200,2,FALSE()),"?"))</f>
        <v>Map</v>
      </c>
      <c r="S793" t="str">
        <f>IF($C793="","",IFERROR(VLOOKUP($C793,sources!$A$2:$N$200,9,FALSE()),"?"))</f>
        <v>US official</v>
      </c>
    </row>
    <row r="794" spans="1:19" x14ac:dyDescent="0.2">
      <c r="A794" t="s">
        <v>3629</v>
      </c>
      <c r="B794" t="s">
        <v>739</v>
      </c>
      <c r="C794" t="s">
        <v>1371</v>
      </c>
      <c r="D794" t="s">
        <v>1594</v>
      </c>
      <c r="E794" t="s">
        <v>740</v>
      </c>
      <c r="G794">
        <v>9.0482089999999999</v>
      </c>
      <c r="H794">
        <v>-79.654803999999999</v>
      </c>
      <c r="I794" t="s">
        <v>1595</v>
      </c>
      <c r="J794">
        <v>200</v>
      </c>
      <c r="K794">
        <v>1907</v>
      </c>
      <c r="L794">
        <v>1907</v>
      </c>
      <c r="M794" t="s">
        <v>222</v>
      </c>
      <c r="N794" t="s">
        <v>222</v>
      </c>
      <c r="O794" t="s">
        <v>3164</v>
      </c>
      <c r="P794" t="s">
        <v>3630</v>
      </c>
      <c r="Q794" t="str">
        <f>IF($C794="","",IFERROR(VLOOKUP($C794,sources!$A$2:$N$200,2,FALSE()),"?"))</f>
        <v>Map</v>
      </c>
      <c r="S794" t="str">
        <f>IF($C794="","",IFERROR(VLOOKUP($C794,sources!$A$2:$N$200,9,FALSE()),"?"))</f>
        <v>US official</v>
      </c>
    </row>
    <row r="795" spans="1:19" x14ac:dyDescent="0.2">
      <c r="A795" t="s">
        <v>3631</v>
      </c>
      <c r="B795" t="s">
        <v>742</v>
      </c>
      <c r="C795" t="s">
        <v>1371</v>
      </c>
      <c r="D795" t="s">
        <v>1594</v>
      </c>
      <c r="E795" t="s">
        <v>743</v>
      </c>
      <c r="G795">
        <v>9.0500349999999994</v>
      </c>
      <c r="H795">
        <v>-79.655356999999995</v>
      </c>
      <c r="I795" t="s">
        <v>1595</v>
      </c>
      <c r="J795">
        <v>200</v>
      </c>
      <c r="K795">
        <v>1907</v>
      </c>
      <c r="L795">
        <v>1907</v>
      </c>
      <c r="M795" t="s">
        <v>222</v>
      </c>
      <c r="N795" t="s">
        <v>222</v>
      </c>
      <c r="O795" t="s">
        <v>3164</v>
      </c>
      <c r="P795" t="s">
        <v>3632</v>
      </c>
      <c r="Q795" t="str">
        <f>IF($C795="","",IFERROR(VLOOKUP($C795,sources!$A$2:$N$200,2,FALSE()),"?"))</f>
        <v>Map</v>
      </c>
      <c r="S795" t="str">
        <f>IF($C795="","",IFERROR(VLOOKUP($C795,sources!$A$2:$N$200,9,FALSE()),"?"))</f>
        <v>US official</v>
      </c>
    </row>
    <row r="796" spans="1:19" x14ac:dyDescent="0.2">
      <c r="A796" t="s">
        <v>3633</v>
      </c>
      <c r="B796" t="s">
        <v>746</v>
      </c>
      <c r="C796" t="s">
        <v>1371</v>
      </c>
      <c r="D796" t="s">
        <v>1594</v>
      </c>
      <c r="E796" t="s">
        <v>747</v>
      </c>
      <c r="G796">
        <v>9.0498440000000002</v>
      </c>
      <c r="H796">
        <v>-79.655026000000007</v>
      </c>
      <c r="I796" t="s">
        <v>1595</v>
      </c>
      <c r="J796">
        <v>200</v>
      </c>
      <c r="K796">
        <v>1907</v>
      </c>
      <c r="L796">
        <v>1907</v>
      </c>
      <c r="M796" t="s">
        <v>222</v>
      </c>
      <c r="N796" t="s">
        <v>222</v>
      </c>
      <c r="O796" t="s">
        <v>3164</v>
      </c>
      <c r="P796" t="s">
        <v>3634</v>
      </c>
      <c r="Q796" t="str">
        <f>IF($C796="","",IFERROR(VLOOKUP($C796,sources!$A$2:$N$200,2,FALSE()),"?"))</f>
        <v>Map</v>
      </c>
      <c r="S796" t="str">
        <f>IF($C796="","",IFERROR(VLOOKUP($C796,sources!$A$2:$N$200,9,FALSE()),"?"))</f>
        <v>US official</v>
      </c>
    </row>
    <row r="797" spans="1:19" x14ac:dyDescent="0.2">
      <c r="A797" t="s">
        <v>3635</v>
      </c>
      <c r="B797" t="s">
        <v>749</v>
      </c>
      <c r="C797" t="s">
        <v>1371</v>
      </c>
      <c r="D797" t="s">
        <v>1594</v>
      </c>
      <c r="E797" t="s">
        <v>750</v>
      </c>
      <c r="G797">
        <v>9.0493249999999996</v>
      </c>
      <c r="H797">
        <v>-79.655420000000007</v>
      </c>
      <c r="I797" t="s">
        <v>1595</v>
      </c>
      <c r="J797">
        <v>200</v>
      </c>
      <c r="K797">
        <v>1907</v>
      </c>
      <c r="L797">
        <v>1907</v>
      </c>
      <c r="M797" t="s">
        <v>222</v>
      </c>
      <c r="N797" t="s">
        <v>222</v>
      </c>
      <c r="O797" t="s">
        <v>3164</v>
      </c>
      <c r="P797" t="s">
        <v>3636</v>
      </c>
      <c r="Q797" t="str">
        <f>IF($C797="","",IFERROR(VLOOKUP($C797,sources!$A$2:$N$200,2,FALSE()),"?"))</f>
        <v>Map</v>
      </c>
      <c r="S797" t="str">
        <f>IF($C797="","",IFERROR(VLOOKUP($C797,sources!$A$2:$N$200,9,FALSE()),"?"))</f>
        <v>US official</v>
      </c>
    </row>
    <row r="798" spans="1:19" x14ac:dyDescent="0.2">
      <c r="A798" t="s">
        <v>3637</v>
      </c>
      <c r="B798" t="s">
        <v>752</v>
      </c>
      <c r="C798" t="s">
        <v>1371</v>
      </c>
      <c r="D798" t="s">
        <v>1594</v>
      </c>
      <c r="E798" t="s">
        <v>753</v>
      </c>
      <c r="G798">
        <v>9.0483820000000001</v>
      </c>
      <c r="H798">
        <v>-79.655512999999999</v>
      </c>
      <c r="I798" t="s">
        <v>1595</v>
      </c>
      <c r="J798">
        <v>200</v>
      </c>
      <c r="K798">
        <v>1907</v>
      </c>
      <c r="L798">
        <v>1907</v>
      </c>
      <c r="M798" t="s">
        <v>222</v>
      </c>
      <c r="N798" t="s">
        <v>222</v>
      </c>
      <c r="O798" t="s">
        <v>3164</v>
      </c>
      <c r="P798" t="s">
        <v>3638</v>
      </c>
      <c r="Q798" t="str">
        <f>IF($C798="","",IFERROR(VLOOKUP($C798,sources!$A$2:$N$200,2,FALSE()),"?"))</f>
        <v>Map</v>
      </c>
      <c r="S798" t="str">
        <f>IF($C798="","",IFERROR(VLOOKUP($C798,sources!$A$2:$N$200,9,FALSE()),"?"))</f>
        <v>US official</v>
      </c>
    </row>
    <row r="799" spans="1:19" x14ac:dyDescent="0.2">
      <c r="A799" t="s">
        <v>3639</v>
      </c>
      <c r="B799" t="s">
        <v>756</v>
      </c>
      <c r="C799" t="s">
        <v>1371</v>
      </c>
      <c r="D799" t="s">
        <v>1594</v>
      </c>
      <c r="E799" t="s">
        <v>757</v>
      </c>
      <c r="G799">
        <v>9.0496680000000005</v>
      </c>
      <c r="H799">
        <v>-79.654655000000005</v>
      </c>
      <c r="I799" t="s">
        <v>1595</v>
      </c>
      <c r="J799">
        <v>200</v>
      </c>
      <c r="K799">
        <v>1907</v>
      </c>
      <c r="L799">
        <v>1907</v>
      </c>
      <c r="M799" t="s">
        <v>222</v>
      </c>
      <c r="N799" t="s">
        <v>222</v>
      </c>
      <c r="O799" t="s">
        <v>3164</v>
      </c>
      <c r="P799" t="s">
        <v>3640</v>
      </c>
      <c r="Q799" t="str">
        <f>IF($C799="","",IFERROR(VLOOKUP($C799,sources!$A$2:$N$200,2,FALSE()),"?"))</f>
        <v>Map</v>
      </c>
      <c r="S799" t="str">
        <f>IF($C799="","",IFERROR(VLOOKUP($C799,sources!$A$2:$N$200,9,FALSE()),"?"))</f>
        <v>US official</v>
      </c>
    </row>
    <row r="800" spans="1:19" x14ac:dyDescent="0.2">
      <c r="A800" t="s">
        <v>3641</v>
      </c>
      <c r="B800" t="s">
        <v>759</v>
      </c>
      <c r="C800" t="s">
        <v>1371</v>
      </c>
      <c r="D800" t="s">
        <v>1594</v>
      </c>
      <c r="E800" t="s">
        <v>760</v>
      </c>
      <c r="G800">
        <v>9.0474370000000004</v>
      </c>
      <c r="H800">
        <v>-79.656308999999993</v>
      </c>
      <c r="I800" t="s">
        <v>1595</v>
      </c>
      <c r="J800">
        <v>200</v>
      </c>
      <c r="K800">
        <v>1907</v>
      </c>
      <c r="L800">
        <v>1907</v>
      </c>
      <c r="M800" t="s">
        <v>222</v>
      </c>
      <c r="N800" t="s">
        <v>228</v>
      </c>
      <c r="O800" t="s">
        <v>3164</v>
      </c>
      <c r="P800" t="s">
        <v>3642</v>
      </c>
      <c r="Q800" t="str">
        <f>IF($C800="","",IFERROR(VLOOKUP($C800,sources!$A$2:$N$200,2,FALSE()),"?"))</f>
        <v>Map</v>
      </c>
      <c r="S800" t="str">
        <f>IF($C800="","",IFERROR(VLOOKUP($C800,sources!$A$2:$N$200,9,FALSE()),"?"))</f>
        <v>US official</v>
      </c>
    </row>
    <row r="801" spans="1:19" x14ac:dyDescent="0.2">
      <c r="A801" t="s">
        <v>3643</v>
      </c>
      <c r="B801" t="s">
        <v>762</v>
      </c>
      <c r="C801" t="s">
        <v>1371</v>
      </c>
      <c r="D801" t="s">
        <v>1594</v>
      </c>
      <c r="E801" t="s">
        <v>763</v>
      </c>
      <c r="G801">
        <v>9.0519770000000008</v>
      </c>
      <c r="H801">
        <v>-79.658513999999997</v>
      </c>
      <c r="I801" t="s">
        <v>1595</v>
      </c>
      <c r="J801">
        <v>200</v>
      </c>
      <c r="K801">
        <v>1907</v>
      </c>
      <c r="L801">
        <v>1907</v>
      </c>
      <c r="M801" t="s">
        <v>222</v>
      </c>
      <c r="N801" t="s">
        <v>222</v>
      </c>
      <c r="O801" t="s">
        <v>3164</v>
      </c>
      <c r="P801" t="s">
        <v>3644</v>
      </c>
      <c r="Q801" t="str">
        <f>IF($C801="","",IFERROR(VLOOKUP($C801,sources!$A$2:$N$200,2,FALSE()),"?"))</f>
        <v>Map</v>
      </c>
      <c r="S801" t="str">
        <f>IF($C801="","",IFERROR(VLOOKUP($C801,sources!$A$2:$N$200,9,FALSE()),"?"))</f>
        <v>US official</v>
      </c>
    </row>
    <row r="802" spans="1:19" x14ac:dyDescent="0.2">
      <c r="A802" t="s">
        <v>3645</v>
      </c>
      <c r="B802" t="s">
        <v>765</v>
      </c>
      <c r="C802" t="s">
        <v>1371</v>
      </c>
      <c r="D802" t="s">
        <v>1594</v>
      </c>
      <c r="E802" t="s">
        <v>766</v>
      </c>
      <c r="G802">
        <v>9.0490189999999995</v>
      </c>
      <c r="H802">
        <v>-79.654976000000005</v>
      </c>
      <c r="I802" t="s">
        <v>1595</v>
      </c>
      <c r="J802">
        <v>200</v>
      </c>
      <c r="K802">
        <v>1907</v>
      </c>
      <c r="L802">
        <v>1907</v>
      </c>
      <c r="M802" t="s">
        <v>222</v>
      </c>
      <c r="N802" t="s">
        <v>222</v>
      </c>
      <c r="O802" t="s">
        <v>3164</v>
      </c>
      <c r="P802" t="s">
        <v>3646</v>
      </c>
      <c r="Q802" t="str">
        <f>IF($C802="","",IFERROR(VLOOKUP($C802,sources!$A$2:$N$200,2,FALSE()),"?"))</f>
        <v>Map</v>
      </c>
      <c r="S802" t="str">
        <f>IF($C802="","",IFERROR(VLOOKUP($C802,sources!$A$2:$N$200,9,FALSE()),"?"))</f>
        <v>US official</v>
      </c>
    </row>
    <row r="803" spans="1:19" x14ac:dyDescent="0.2">
      <c r="A803" t="s">
        <v>3647</v>
      </c>
      <c r="B803" t="s">
        <v>768</v>
      </c>
      <c r="C803" t="s">
        <v>1371</v>
      </c>
      <c r="D803" t="s">
        <v>1594</v>
      </c>
      <c r="E803" t="s">
        <v>769</v>
      </c>
      <c r="G803">
        <v>9.0496490000000005</v>
      </c>
      <c r="H803">
        <v>-79.654657999999998</v>
      </c>
      <c r="I803" t="s">
        <v>1595</v>
      </c>
      <c r="J803">
        <v>200</v>
      </c>
      <c r="K803">
        <v>1907</v>
      </c>
      <c r="L803">
        <v>1907</v>
      </c>
      <c r="M803" t="s">
        <v>222</v>
      </c>
      <c r="N803" t="s">
        <v>222</v>
      </c>
      <c r="O803" t="s">
        <v>3164</v>
      </c>
      <c r="P803" t="s">
        <v>3648</v>
      </c>
      <c r="Q803" t="str">
        <f>IF($C803="","",IFERROR(VLOOKUP($C803,sources!$A$2:$N$200,2,FALSE()),"?"))</f>
        <v>Map</v>
      </c>
      <c r="S803" t="str">
        <f>IF($C803="","",IFERROR(VLOOKUP($C803,sources!$A$2:$N$200,9,FALSE()),"?"))</f>
        <v>US official</v>
      </c>
    </row>
    <row r="804" spans="1:19" x14ac:dyDescent="0.2">
      <c r="A804" t="s">
        <v>3649</v>
      </c>
      <c r="B804" t="s">
        <v>771</v>
      </c>
      <c r="C804" t="s">
        <v>1371</v>
      </c>
      <c r="D804" t="s">
        <v>1594</v>
      </c>
      <c r="E804" t="s">
        <v>772</v>
      </c>
      <c r="G804">
        <v>9.0858369999999997</v>
      </c>
      <c r="H804">
        <v>-79.681055000000001</v>
      </c>
      <c r="I804" t="s">
        <v>1595</v>
      </c>
      <c r="J804">
        <v>200</v>
      </c>
      <c r="K804">
        <v>1907</v>
      </c>
      <c r="L804">
        <v>1907</v>
      </c>
      <c r="M804" t="s">
        <v>222</v>
      </c>
      <c r="N804" t="s">
        <v>222</v>
      </c>
      <c r="O804" t="s">
        <v>3164</v>
      </c>
      <c r="P804" t="s">
        <v>3650</v>
      </c>
      <c r="Q804" t="str">
        <f>IF($C804="","",IFERROR(VLOOKUP($C804,sources!$A$2:$N$200,2,FALSE()),"?"))</f>
        <v>Map</v>
      </c>
      <c r="S804" t="str">
        <f>IF($C804="","",IFERROR(VLOOKUP($C804,sources!$A$2:$N$200,9,FALSE()),"?"))</f>
        <v>US official</v>
      </c>
    </row>
    <row r="805" spans="1:19" x14ac:dyDescent="0.2">
      <c r="A805" t="s">
        <v>3651</v>
      </c>
      <c r="B805" t="s">
        <v>774</v>
      </c>
      <c r="C805" t="s">
        <v>1371</v>
      </c>
      <c r="D805" t="s">
        <v>1594</v>
      </c>
      <c r="E805" t="s">
        <v>775</v>
      </c>
      <c r="G805">
        <v>9.0855099999999993</v>
      </c>
      <c r="H805">
        <v>-79.681569999999994</v>
      </c>
      <c r="I805" t="s">
        <v>1595</v>
      </c>
      <c r="J805">
        <v>200</v>
      </c>
      <c r="K805">
        <v>1907</v>
      </c>
      <c r="L805">
        <v>1907</v>
      </c>
      <c r="M805" t="s">
        <v>222</v>
      </c>
      <c r="N805" t="s">
        <v>222</v>
      </c>
      <c r="O805" t="s">
        <v>3164</v>
      </c>
      <c r="P805" t="s">
        <v>3652</v>
      </c>
      <c r="Q805" t="str">
        <f>IF($C805="","",IFERROR(VLOOKUP($C805,sources!$A$2:$N$200,2,FALSE()),"?"))</f>
        <v>Map</v>
      </c>
      <c r="S805" t="str">
        <f>IF($C805="","",IFERROR(VLOOKUP($C805,sources!$A$2:$N$200,9,FALSE()),"?"))</f>
        <v>US official</v>
      </c>
    </row>
    <row r="806" spans="1:19" x14ac:dyDescent="0.2">
      <c r="A806" t="s">
        <v>3653</v>
      </c>
      <c r="B806" t="s">
        <v>777</v>
      </c>
      <c r="C806" t="s">
        <v>1371</v>
      </c>
      <c r="D806" t="s">
        <v>1594</v>
      </c>
      <c r="E806" t="s">
        <v>778</v>
      </c>
      <c r="G806">
        <v>9.0288850000000007</v>
      </c>
      <c r="H806">
        <v>-79.627707999999998</v>
      </c>
      <c r="I806" t="s">
        <v>1595</v>
      </c>
      <c r="J806">
        <v>200</v>
      </c>
      <c r="K806">
        <v>1907</v>
      </c>
      <c r="L806">
        <v>1907</v>
      </c>
      <c r="M806" t="s">
        <v>222</v>
      </c>
      <c r="N806" t="s">
        <v>228</v>
      </c>
      <c r="O806" t="s">
        <v>3164</v>
      </c>
      <c r="P806" t="s">
        <v>3654</v>
      </c>
      <c r="Q806" t="str">
        <f>IF($C806="","",IFERROR(VLOOKUP($C806,sources!$A$2:$N$200,2,FALSE()),"?"))</f>
        <v>Map</v>
      </c>
      <c r="S806" t="str">
        <f>IF($C806="","",IFERROR(VLOOKUP($C806,sources!$A$2:$N$200,9,FALSE()),"?"))</f>
        <v>US official</v>
      </c>
    </row>
    <row r="807" spans="1:19" x14ac:dyDescent="0.2">
      <c r="A807" t="s">
        <v>3655</v>
      </c>
      <c r="B807" t="s">
        <v>780</v>
      </c>
      <c r="C807" t="s">
        <v>1371</v>
      </c>
      <c r="D807" t="s">
        <v>1594</v>
      </c>
      <c r="E807" t="s">
        <v>781</v>
      </c>
      <c r="G807">
        <v>9.0305319999999991</v>
      </c>
      <c r="H807">
        <v>-79.630274999999997</v>
      </c>
      <c r="I807" t="s">
        <v>1595</v>
      </c>
      <c r="J807">
        <v>200</v>
      </c>
      <c r="K807">
        <v>1907</v>
      </c>
      <c r="L807">
        <v>1907</v>
      </c>
      <c r="M807" t="s">
        <v>222</v>
      </c>
      <c r="N807" t="s">
        <v>228</v>
      </c>
      <c r="O807" t="s">
        <v>3164</v>
      </c>
      <c r="P807" t="s">
        <v>3656</v>
      </c>
      <c r="Q807" t="str">
        <f>IF($C807="","",IFERROR(VLOOKUP($C807,sources!$A$2:$N$200,2,FALSE()),"?"))</f>
        <v>Map</v>
      </c>
      <c r="S807" t="str">
        <f>IF($C807="","",IFERROR(VLOOKUP($C807,sources!$A$2:$N$200,9,FALSE()),"?"))</f>
        <v>US official</v>
      </c>
    </row>
    <row r="808" spans="1:19" x14ac:dyDescent="0.2">
      <c r="A808" t="s">
        <v>3657</v>
      </c>
      <c r="B808" t="s">
        <v>783</v>
      </c>
      <c r="C808" t="s">
        <v>1371</v>
      </c>
      <c r="D808" t="s">
        <v>1594</v>
      </c>
      <c r="E808" t="s">
        <v>784</v>
      </c>
      <c r="G808">
        <v>9.0198549999999997</v>
      </c>
      <c r="H808">
        <v>-79.613703999999998</v>
      </c>
      <c r="I808" t="s">
        <v>1595</v>
      </c>
      <c r="J808">
        <v>200</v>
      </c>
      <c r="K808">
        <v>1907</v>
      </c>
      <c r="L808">
        <v>1907</v>
      </c>
      <c r="M808" t="s">
        <v>222</v>
      </c>
      <c r="N808" t="s">
        <v>222</v>
      </c>
      <c r="O808" t="s">
        <v>3164</v>
      </c>
      <c r="P808" t="s">
        <v>3658</v>
      </c>
      <c r="Q808" t="str">
        <f>IF($C808="","",IFERROR(VLOOKUP($C808,sources!$A$2:$N$200,2,FALSE()),"?"))</f>
        <v>Map</v>
      </c>
      <c r="S808" t="str">
        <f>IF($C808="","",IFERROR(VLOOKUP($C808,sources!$A$2:$N$200,9,FALSE()),"?"))</f>
        <v>US official</v>
      </c>
    </row>
    <row r="809" spans="1:19" x14ac:dyDescent="0.2">
      <c r="A809" t="s">
        <v>3659</v>
      </c>
      <c r="B809" t="s">
        <v>786</v>
      </c>
      <c r="C809" t="s">
        <v>1371</v>
      </c>
      <c r="D809" t="s">
        <v>1594</v>
      </c>
      <c r="E809" t="s">
        <v>787</v>
      </c>
      <c r="G809">
        <v>9.0177069999999997</v>
      </c>
      <c r="H809">
        <v>-79.608486999999997</v>
      </c>
      <c r="I809" t="s">
        <v>1595</v>
      </c>
      <c r="J809">
        <v>200</v>
      </c>
      <c r="K809">
        <v>1907</v>
      </c>
      <c r="L809">
        <v>1907</v>
      </c>
      <c r="M809" t="s">
        <v>222</v>
      </c>
      <c r="N809" t="s">
        <v>209</v>
      </c>
      <c r="O809" t="s">
        <v>3164</v>
      </c>
      <c r="P809" t="s">
        <v>3660</v>
      </c>
      <c r="Q809" t="str">
        <f>IF($C809="","",IFERROR(VLOOKUP($C809,sources!$A$2:$N$200,2,FALSE()),"?"))</f>
        <v>Map</v>
      </c>
      <c r="S809" t="str">
        <f>IF($C809="","",IFERROR(VLOOKUP($C809,sources!$A$2:$N$200,9,FALSE()),"?"))</f>
        <v>US official</v>
      </c>
    </row>
    <row r="810" spans="1:19" x14ac:dyDescent="0.2">
      <c r="A810" t="s">
        <v>3661</v>
      </c>
      <c r="B810" t="s">
        <v>252</v>
      </c>
      <c r="C810" t="s">
        <v>1371</v>
      </c>
      <c r="D810" t="s">
        <v>1594</v>
      </c>
      <c r="E810" t="s">
        <v>3662</v>
      </c>
      <c r="G810">
        <v>9.0585129999999996</v>
      </c>
      <c r="H810">
        <v>-79.672196</v>
      </c>
      <c r="I810" t="s">
        <v>1595</v>
      </c>
      <c r="J810">
        <v>200</v>
      </c>
      <c r="K810">
        <v>1907</v>
      </c>
      <c r="L810">
        <v>1907</v>
      </c>
      <c r="M810" t="s">
        <v>222</v>
      </c>
      <c r="N810" t="s">
        <v>228</v>
      </c>
      <c r="O810" t="s">
        <v>3164</v>
      </c>
      <c r="P810" t="s">
        <v>3663</v>
      </c>
      <c r="Q810" t="str">
        <f>IF($C810="","",IFERROR(VLOOKUP($C810,sources!$A$2:$N$200,2,FALSE()),"?"))</f>
        <v>Map</v>
      </c>
      <c r="S810" t="str">
        <f>IF($C810="","",IFERROR(VLOOKUP($C810,sources!$A$2:$N$200,9,FALSE()),"?"))</f>
        <v>US official</v>
      </c>
    </row>
    <row r="811" spans="1:19" x14ac:dyDescent="0.2">
      <c r="A811" t="s">
        <v>3664</v>
      </c>
      <c r="B811" t="s">
        <v>252</v>
      </c>
      <c r="C811" t="s">
        <v>1371</v>
      </c>
      <c r="D811" t="s">
        <v>1594</v>
      </c>
      <c r="E811" t="s">
        <v>3665</v>
      </c>
      <c r="G811">
        <v>9.0590499999999992</v>
      </c>
      <c r="H811">
        <v>-79.675314999999998</v>
      </c>
      <c r="I811" t="s">
        <v>1595</v>
      </c>
      <c r="J811">
        <v>200</v>
      </c>
      <c r="K811">
        <v>1907</v>
      </c>
      <c r="L811">
        <v>1907</v>
      </c>
      <c r="M811" t="s">
        <v>222</v>
      </c>
      <c r="N811" t="s">
        <v>228</v>
      </c>
      <c r="O811" t="s">
        <v>3164</v>
      </c>
      <c r="P811" t="s">
        <v>3666</v>
      </c>
      <c r="Q811" t="str">
        <f>IF($C811="","",IFERROR(VLOOKUP($C811,sources!$A$2:$N$200,2,FALSE()),"?"))</f>
        <v>Map</v>
      </c>
      <c r="S811" t="str">
        <f>IF($C811="","",IFERROR(VLOOKUP($C811,sources!$A$2:$N$200,9,FALSE()),"?"))</f>
        <v>US official</v>
      </c>
    </row>
    <row r="812" spans="1:19" x14ac:dyDescent="0.2">
      <c r="A812" t="s">
        <v>3667</v>
      </c>
      <c r="B812" t="s">
        <v>266</v>
      </c>
      <c r="C812" t="s">
        <v>1371</v>
      </c>
      <c r="D812" t="s">
        <v>1594</v>
      </c>
      <c r="E812" t="s">
        <v>3668</v>
      </c>
      <c r="G812">
        <v>9.0529879999999991</v>
      </c>
      <c r="H812">
        <v>-79.658379999999994</v>
      </c>
      <c r="I812" t="s">
        <v>1595</v>
      </c>
      <c r="J812">
        <v>200</v>
      </c>
      <c r="K812">
        <v>1907</v>
      </c>
      <c r="L812">
        <v>1907</v>
      </c>
      <c r="M812" t="s">
        <v>222</v>
      </c>
      <c r="N812" t="s">
        <v>222</v>
      </c>
      <c r="O812" t="s">
        <v>3164</v>
      </c>
      <c r="P812" t="s">
        <v>3669</v>
      </c>
      <c r="Q812" t="str">
        <f>IF($C812="","",IFERROR(VLOOKUP($C812,sources!$A$2:$N$200,2,FALSE()),"?"))</f>
        <v>Map</v>
      </c>
      <c r="S812" t="str">
        <f>IF($C812="","",IFERROR(VLOOKUP($C812,sources!$A$2:$N$200,9,FALSE()),"?"))</f>
        <v>US official</v>
      </c>
    </row>
    <row r="813" spans="1:19" x14ac:dyDescent="0.2">
      <c r="A813" t="s">
        <v>3670</v>
      </c>
      <c r="B813" t="s">
        <v>272</v>
      </c>
      <c r="C813" t="s">
        <v>1371</v>
      </c>
      <c r="D813" t="s">
        <v>1594</v>
      </c>
      <c r="E813" t="s">
        <v>3671</v>
      </c>
      <c r="G813">
        <v>9.1083379999999998</v>
      </c>
      <c r="H813">
        <v>-79.693038000000001</v>
      </c>
      <c r="I813" t="s">
        <v>1595</v>
      </c>
      <c r="J813">
        <v>200</v>
      </c>
      <c r="K813">
        <v>1907</v>
      </c>
      <c r="L813">
        <v>1907</v>
      </c>
      <c r="M813" t="s">
        <v>222</v>
      </c>
      <c r="N813" t="s">
        <v>228</v>
      </c>
      <c r="O813" t="s">
        <v>3164</v>
      </c>
      <c r="P813" t="s">
        <v>3672</v>
      </c>
      <c r="Q813" t="str">
        <f>IF($C813="","",IFERROR(VLOOKUP($C813,sources!$A$2:$N$200,2,FALSE()),"?"))</f>
        <v>Map</v>
      </c>
      <c r="S813" t="str">
        <f>IF($C813="","",IFERROR(VLOOKUP($C813,sources!$A$2:$N$200,9,FALSE()),"?"))</f>
        <v>US official</v>
      </c>
    </row>
    <row r="814" spans="1:19" x14ac:dyDescent="0.2">
      <c r="A814" t="s">
        <v>3673</v>
      </c>
      <c r="B814" t="s">
        <v>272</v>
      </c>
      <c r="C814" t="s">
        <v>1371</v>
      </c>
      <c r="D814" t="s">
        <v>1594</v>
      </c>
      <c r="E814" t="s">
        <v>3674</v>
      </c>
      <c r="G814">
        <v>9.1024080000000005</v>
      </c>
      <c r="H814">
        <v>-79.691165999999996</v>
      </c>
      <c r="I814" t="s">
        <v>1595</v>
      </c>
      <c r="J814">
        <v>200</v>
      </c>
      <c r="K814">
        <v>1907</v>
      </c>
      <c r="L814">
        <v>1907</v>
      </c>
      <c r="M814" t="s">
        <v>222</v>
      </c>
      <c r="N814" t="s">
        <v>228</v>
      </c>
      <c r="O814" t="s">
        <v>3164</v>
      </c>
      <c r="P814" t="s">
        <v>3675</v>
      </c>
      <c r="Q814" t="str">
        <f>IF($C814="","",IFERROR(VLOOKUP($C814,sources!$A$2:$N$200,2,FALSE()),"?"))</f>
        <v>Map</v>
      </c>
      <c r="S814" t="str">
        <f>IF($C814="","",IFERROR(VLOOKUP($C814,sources!$A$2:$N$200,9,FALSE()),"?"))</f>
        <v>US official</v>
      </c>
    </row>
    <row r="815" spans="1:19" x14ac:dyDescent="0.2">
      <c r="A815" t="s">
        <v>3676</v>
      </c>
      <c r="B815" t="s">
        <v>280</v>
      </c>
      <c r="C815" t="s">
        <v>1371</v>
      </c>
      <c r="D815" t="s">
        <v>1594</v>
      </c>
      <c r="E815" t="s">
        <v>3677</v>
      </c>
      <c r="G815">
        <v>9.0870739999999994</v>
      </c>
      <c r="H815">
        <v>-79.680245999999997</v>
      </c>
      <c r="I815" t="s">
        <v>1595</v>
      </c>
      <c r="J815">
        <v>200</v>
      </c>
      <c r="K815">
        <v>1907</v>
      </c>
      <c r="L815">
        <v>1907</v>
      </c>
      <c r="M815" t="s">
        <v>222</v>
      </c>
      <c r="N815" t="s">
        <v>222</v>
      </c>
      <c r="O815" t="s">
        <v>3164</v>
      </c>
      <c r="P815" t="s">
        <v>3678</v>
      </c>
      <c r="Q815" t="str">
        <f>IF($C815="","",IFERROR(VLOOKUP($C815,sources!$A$2:$N$200,2,FALSE()),"?"))</f>
        <v>Map</v>
      </c>
      <c r="S815" t="str">
        <f>IF($C815="","",IFERROR(VLOOKUP($C815,sources!$A$2:$N$200,9,FALSE()),"?"))</f>
        <v>US official</v>
      </c>
    </row>
    <row r="816" spans="1:19" x14ac:dyDescent="0.2">
      <c r="A816" t="s">
        <v>3679</v>
      </c>
      <c r="B816" t="s">
        <v>397</v>
      </c>
      <c r="C816" t="s">
        <v>1371</v>
      </c>
      <c r="D816" t="s">
        <v>1594</v>
      </c>
      <c r="E816" t="s">
        <v>3680</v>
      </c>
      <c r="G816">
        <v>9.0331449999999993</v>
      </c>
      <c r="H816">
        <v>-79.634118999999998</v>
      </c>
      <c r="I816" t="s">
        <v>1595</v>
      </c>
      <c r="J816">
        <v>200</v>
      </c>
      <c r="K816">
        <v>1907</v>
      </c>
      <c r="L816">
        <v>1907</v>
      </c>
      <c r="M816" t="s">
        <v>222</v>
      </c>
      <c r="N816" t="s">
        <v>228</v>
      </c>
      <c r="O816" t="s">
        <v>3164</v>
      </c>
      <c r="P816" t="s">
        <v>3681</v>
      </c>
      <c r="Q816" t="str">
        <f>IF($C816="","",IFERROR(VLOOKUP($C816,sources!$A$2:$N$200,2,FALSE()),"?"))</f>
        <v>Map</v>
      </c>
      <c r="S816" t="str">
        <f>IF($C816="","",IFERROR(VLOOKUP($C816,sources!$A$2:$N$200,9,FALSE()),"?"))</f>
        <v>US official</v>
      </c>
    </row>
    <row r="817" spans="1:19" x14ac:dyDescent="0.2">
      <c r="A817" t="s">
        <v>3682</v>
      </c>
      <c r="B817" t="s">
        <v>397</v>
      </c>
      <c r="C817" t="s">
        <v>1371</v>
      </c>
      <c r="D817" t="s">
        <v>1594</v>
      </c>
      <c r="E817" t="s">
        <v>3683</v>
      </c>
      <c r="G817">
        <v>9.0363100000000003</v>
      </c>
      <c r="H817">
        <v>-79.637167000000005</v>
      </c>
      <c r="I817" t="s">
        <v>1595</v>
      </c>
      <c r="J817">
        <v>200</v>
      </c>
      <c r="K817">
        <v>1907</v>
      </c>
      <c r="L817">
        <v>1907</v>
      </c>
      <c r="M817" t="s">
        <v>222</v>
      </c>
      <c r="N817" t="s">
        <v>209</v>
      </c>
      <c r="O817" t="s">
        <v>3164</v>
      </c>
      <c r="P817" t="s">
        <v>3684</v>
      </c>
      <c r="Q817" t="str">
        <f>IF($C817="","",IFERROR(VLOOKUP($C817,sources!$A$2:$N$200,2,FALSE()),"?"))</f>
        <v>Map</v>
      </c>
      <c r="S817" t="str">
        <f>IF($C817="","",IFERROR(VLOOKUP($C817,sources!$A$2:$N$200,9,FALSE()),"?"))</f>
        <v>US official</v>
      </c>
    </row>
    <row r="818" spans="1:19" x14ac:dyDescent="0.2">
      <c r="A818" t="s">
        <v>3685</v>
      </c>
      <c r="B818" t="s">
        <v>376</v>
      </c>
      <c r="C818" t="s">
        <v>1371</v>
      </c>
      <c r="D818" t="s">
        <v>1594</v>
      </c>
      <c r="E818" t="s">
        <v>3686</v>
      </c>
      <c r="G818">
        <v>9.0327979999999997</v>
      </c>
      <c r="H818">
        <v>-79.629660999999999</v>
      </c>
      <c r="I818" t="s">
        <v>1595</v>
      </c>
      <c r="J818">
        <v>200</v>
      </c>
      <c r="K818">
        <v>1907</v>
      </c>
      <c r="L818">
        <v>1907</v>
      </c>
      <c r="M818" t="s">
        <v>222</v>
      </c>
      <c r="N818" t="s">
        <v>228</v>
      </c>
      <c r="O818" t="s">
        <v>3164</v>
      </c>
      <c r="P818" t="s">
        <v>3687</v>
      </c>
      <c r="Q818" t="str">
        <f>IF($C818="","",IFERROR(VLOOKUP($C818,sources!$A$2:$N$200,2,FALSE()),"?"))</f>
        <v>Map</v>
      </c>
      <c r="S818" t="str">
        <f>IF($C818="","",IFERROR(VLOOKUP($C818,sources!$A$2:$N$200,9,FALSE()),"?"))</f>
        <v>US official</v>
      </c>
    </row>
    <row r="819" spans="1:19" x14ac:dyDescent="0.2">
      <c r="A819" t="s">
        <v>3688</v>
      </c>
      <c r="B819" t="s">
        <v>363</v>
      </c>
      <c r="C819" t="s">
        <v>1371</v>
      </c>
      <c r="D819" t="s">
        <v>1594</v>
      </c>
      <c r="E819" t="s">
        <v>3689</v>
      </c>
      <c r="G819">
        <v>9.0194530000000004</v>
      </c>
      <c r="H819">
        <v>-79.610462999999996</v>
      </c>
      <c r="I819" t="s">
        <v>1595</v>
      </c>
      <c r="J819">
        <v>200</v>
      </c>
      <c r="K819">
        <v>1907</v>
      </c>
      <c r="L819">
        <v>1907</v>
      </c>
      <c r="M819" t="s">
        <v>222</v>
      </c>
      <c r="N819" t="s">
        <v>228</v>
      </c>
      <c r="O819" t="s">
        <v>3164</v>
      </c>
      <c r="P819" t="s">
        <v>3690</v>
      </c>
      <c r="Q819" t="str">
        <f>IF($C819="","",IFERROR(VLOOKUP($C819,sources!$A$2:$N$200,2,FALSE()),"?"))</f>
        <v>Map</v>
      </c>
      <c r="S819" t="str">
        <f>IF($C819="","",IFERROR(VLOOKUP($C819,sources!$A$2:$N$200,9,FALSE()),"?"))</f>
        <v>US official</v>
      </c>
    </row>
    <row r="820" spans="1:19" x14ac:dyDescent="0.2">
      <c r="A820" t="s">
        <v>3691</v>
      </c>
      <c r="B820" t="s">
        <v>599</v>
      </c>
      <c r="C820" t="s">
        <v>1371</v>
      </c>
      <c r="D820" t="s">
        <v>1594</v>
      </c>
      <c r="E820" t="s">
        <v>3692</v>
      </c>
      <c r="G820">
        <v>9.0904980000000002</v>
      </c>
      <c r="H820">
        <v>-79.681186999999994</v>
      </c>
      <c r="I820" t="s">
        <v>1595</v>
      </c>
      <c r="J820">
        <v>200</v>
      </c>
      <c r="K820">
        <v>1907</v>
      </c>
      <c r="L820">
        <v>1907</v>
      </c>
      <c r="M820" t="s">
        <v>222</v>
      </c>
      <c r="N820" t="s">
        <v>222</v>
      </c>
      <c r="O820" t="s">
        <v>3164</v>
      </c>
      <c r="P820" t="s">
        <v>3693</v>
      </c>
      <c r="Q820" t="str">
        <f>IF($C820="","",IFERROR(VLOOKUP($C820,sources!$A$2:$N$200,2,FALSE()),"?"))</f>
        <v>Map</v>
      </c>
      <c r="S820" t="str">
        <f>IF($C820="","",IFERROR(VLOOKUP($C820,sources!$A$2:$N$200,9,FALSE()),"?"))</f>
        <v>US official</v>
      </c>
    </row>
    <row r="821" spans="1:19" x14ac:dyDescent="0.2">
      <c r="A821" t="s">
        <v>3694</v>
      </c>
      <c r="B821" t="s">
        <v>599</v>
      </c>
      <c r="C821" t="s">
        <v>1371</v>
      </c>
      <c r="D821" t="s">
        <v>1594</v>
      </c>
      <c r="E821" t="s">
        <v>3695</v>
      </c>
      <c r="G821">
        <v>9.0885149999999992</v>
      </c>
      <c r="H821">
        <v>-79.682078000000004</v>
      </c>
      <c r="I821" t="s">
        <v>1595</v>
      </c>
      <c r="J821">
        <v>200</v>
      </c>
      <c r="K821">
        <v>1907</v>
      </c>
      <c r="L821">
        <v>1907</v>
      </c>
      <c r="M821" t="s">
        <v>222</v>
      </c>
      <c r="N821" t="s">
        <v>228</v>
      </c>
      <c r="O821" t="s">
        <v>3164</v>
      </c>
      <c r="P821" t="s">
        <v>3696</v>
      </c>
      <c r="Q821" t="str">
        <f>IF($C821="","",IFERROR(VLOOKUP($C821,sources!$A$2:$N$200,2,FALSE()),"?"))</f>
        <v>Map</v>
      </c>
      <c r="S821" t="str">
        <f>IF($C821="","",IFERROR(VLOOKUP($C821,sources!$A$2:$N$200,9,FALSE()),"?"))</f>
        <v>US official</v>
      </c>
    </row>
    <row r="822" spans="1:19" x14ac:dyDescent="0.2">
      <c r="A822" t="s">
        <v>3697</v>
      </c>
      <c r="B822" t="s">
        <v>599</v>
      </c>
      <c r="C822" t="s">
        <v>1371</v>
      </c>
      <c r="D822" t="s">
        <v>1594</v>
      </c>
      <c r="E822" t="s">
        <v>3698</v>
      </c>
      <c r="G822">
        <v>9.086646</v>
      </c>
      <c r="H822">
        <v>-79.681676999999993</v>
      </c>
      <c r="I822" t="s">
        <v>1595</v>
      </c>
      <c r="J822">
        <v>200</v>
      </c>
      <c r="K822">
        <v>1907</v>
      </c>
      <c r="L822">
        <v>1907</v>
      </c>
      <c r="M822" t="s">
        <v>222</v>
      </c>
      <c r="N822" t="s">
        <v>228</v>
      </c>
      <c r="O822" t="s">
        <v>3164</v>
      </c>
      <c r="P822" t="s">
        <v>3699</v>
      </c>
      <c r="Q822" t="str">
        <f>IF($C822="","",IFERROR(VLOOKUP($C822,sources!$A$2:$N$200,2,FALSE()),"?"))</f>
        <v>Map</v>
      </c>
      <c r="S822" t="str">
        <f>IF($C822="","",IFERROR(VLOOKUP($C822,sources!$A$2:$N$200,9,FALSE()),"?"))</f>
        <v>US official</v>
      </c>
    </row>
    <row r="823" spans="1:19" x14ac:dyDescent="0.2">
      <c r="A823" t="s">
        <v>3700</v>
      </c>
      <c r="B823" t="s">
        <v>789</v>
      </c>
      <c r="C823" t="s">
        <v>1371</v>
      </c>
      <c r="D823" t="s">
        <v>1594</v>
      </c>
      <c r="E823" t="s">
        <v>3701</v>
      </c>
      <c r="G823">
        <v>9.0299040000000002</v>
      </c>
      <c r="H823">
        <v>-79.627313000000001</v>
      </c>
      <c r="I823" t="s">
        <v>1595</v>
      </c>
      <c r="J823">
        <v>200</v>
      </c>
      <c r="K823">
        <v>1907</v>
      </c>
      <c r="L823">
        <v>1907</v>
      </c>
      <c r="M823" t="s">
        <v>222</v>
      </c>
      <c r="N823" t="s">
        <v>222</v>
      </c>
      <c r="O823" t="s">
        <v>3164</v>
      </c>
      <c r="P823" t="s">
        <v>3702</v>
      </c>
      <c r="Q823" t="str">
        <f>IF($C823="","",IFERROR(VLOOKUP($C823,sources!$A$2:$N$200,2,FALSE()),"?"))</f>
        <v>Map</v>
      </c>
      <c r="S823" t="str">
        <f>IF($C823="","",IFERROR(VLOOKUP($C823,sources!$A$2:$N$200,9,FALSE()),"?"))</f>
        <v>US official</v>
      </c>
    </row>
    <row r="824" spans="1:19" x14ac:dyDescent="0.2">
      <c r="A824" t="s">
        <v>3703</v>
      </c>
      <c r="B824" t="s">
        <v>777</v>
      </c>
      <c r="C824" t="s">
        <v>1371</v>
      </c>
      <c r="D824" t="s">
        <v>1594</v>
      </c>
      <c r="E824" t="s">
        <v>3704</v>
      </c>
      <c r="G824">
        <v>9.0289999999999999</v>
      </c>
      <c r="H824">
        <v>-79.627515000000002</v>
      </c>
      <c r="I824" t="s">
        <v>1595</v>
      </c>
      <c r="J824">
        <v>200</v>
      </c>
      <c r="K824">
        <v>1907</v>
      </c>
      <c r="L824">
        <v>1907</v>
      </c>
      <c r="M824" t="s">
        <v>222</v>
      </c>
      <c r="N824" t="s">
        <v>222</v>
      </c>
      <c r="O824" t="s">
        <v>3164</v>
      </c>
      <c r="P824" t="s">
        <v>3705</v>
      </c>
      <c r="Q824" t="str">
        <f>IF($C824="","",IFERROR(VLOOKUP($C824,sources!$A$2:$N$200,2,FALSE()),"?"))</f>
        <v>Map</v>
      </c>
      <c r="S824" t="str">
        <f>IF($C824="","",IFERROR(VLOOKUP($C824,sources!$A$2:$N$200,9,FALSE()),"?"))</f>
        <v>US official</v>
      </c>
    </row>
    <row r="825" spans="1:19" x14ac:dyDescent="0.2">
      <c r="A825" t="s">
        <v>3706</v>
      </c>
      <c r="B825" t="s">
        <v>777</v>
      </c>
      <c r="C825" t="s">
        <v>1371</v>
      </c>
      <c r="D825" t="s">
        <v>1594</v>
      </c>
      <c r="E825" t="s">
        <v>3707</v>
      </c>
      <c r="G825">
        <v>9.0288050000000002</v>
      </c>
      <c r="H825">
        <v>-79.627449999999996</v>
      </c>
      <c r="I825" t="s">
        <v>1595</v>
      </c>
      <c r="J825">
        <v>200</v>
      </c>
      <c r="K825">
        <v>1907</v>
      </c>
      <c r="L825">
        <v>1907</v>
      </c>
      <c r="M825" t="s">
        <v>222</v>
      </c>
      <c r="N825" t="s">
        <v>222</v>
      </c>
      <c r="O825" t="s">
        <v>3164</v>
      </c>
      <c r="P825" t="s">
        <v>3705</v>
      </c>
      <c r="Q825" t="str">
        <f>IF($C825="","",IFERROR(VLOOKUP($C825,sources!$A$2:$N$200,2,FALSE()),"?"))</f>
        <v>Map</v>
      </c>
      <c r="S825" t="str">
        <f>IF($C825="","",IFERROR(VLOOKUP($C825,sources!$A$2:$N$200,9,FALSE()),"?"))</f>
        <v>US official</v>
      </c>
    </row>
    <row r="826" spans="1:19" x14ac:dyDescent="0.2">
      <c r="A826" t="s">
        <v>3708</v>
      </c>
      <c r="B826" t="s">
        <v>777</v>
      </c>
      <c r="C826" t="s">
        <v>1371</v>
      </c>
      <c r="D826" t="s">
        <v>1594</v>
      </c>
      <c r="E826" t="s">
        <v>3709</v>
      </c>
      <c r="G826">
        <v>9.0286910000000002</v>
      </c>
      <c r="H826">
        <v>-79.627486000000005</v>
      </c>
      <c r="I826" t="s">
        <v>1595</v>
      </c>
      <c r="J826">
        <v>200</v>
      </c>
      <c r="K826">
        <v>1907</v>
      </c>
      <c r="L826">
        <v>1907</v>
      </c>
      <c r="M826" t="s">
        <v>222</v>
      </c>
      <c r="N826" t="s">
        <v>222</v>
      </c>
      <c r="O826" t="s">
        <v>3164</v>
      </c>
      <c r="P826" t="s">
        <v>3705</v>
      </c>
      <c r="Q826" t="str">
        <f>IF($C826="","",IFERROR(VLOOKUP($C826,sources!$A$2:$N$200,2,FALSE()),"?"))</f>
        <v>Map</v>
      </c>
      <c r="S826" t="str">
        <f>IF($C826="","",IFERROR(VLOOKUP($C826,sources!$A$2:$N$200,9,FALSE()),"?"))</f>
        <v>US official</v>
      </c>
    </row>
    <row r="827" spans="1:19" x14ac:dyDescent="0.2">
      <c r="A827" t="s">
        <v>3710</v>
      </c>
      <c r="B827" t="s">
        <v>777</v>
      </c>
      <c r="C827" t="s">
        <v>1371</v>
      </c>
      <c r="D827" t="s">
        <v>1594</v>
      </c>
      <c r="E827" t="s">
        <v>3711</v>
      </c>
      <c r="G827">
        <v>9.0288579999999996</v>
      </c>
      <c r="H827">
        <v>-79.627036000000004</v>
      </c>
      <c r="I827" t="s">
        <v>1595</v>
      </c>
      <c r="J827">
        <v>200</v>
      </c>
      <c r="K827">
        <v>1907</v>
      </c>
      <c r="L827">
        <v>1907</v>
      </c>
      <c r="M827" t="s">
        <v>222</v>
      </c>
      <c r="N827" t="s">
        <v>222</v>
      </c>
      <c r="O827" t="s">
        <v>3164</v>
      </c>
      <c r="P827" t="s">
        <v>3705</v>
      </c>
      <c r="Q827" t="str">
        <f>IF($C827="","",IFERROR(VLOOKUP($C827,sources!$A$2:$N$200,2,FALSE()),"?"))</f>
        <v>Map</v>
      </c>
      <c r="S827" t="str">
        <f>IF($C827="","",IFERROR(VLOOKUP($C827,sources!$A$2:$N$200,9,FALSE()),"?"))</f>
        <v>US official</v>
      </c>
    </row>
    <row r="828" spans="1:19" x14ac:dyDescent="0.2">
      <c r="A828" t="s">
        <v>3712</v>
      </c>
      <c r="B828" t="s">
        <v>777</v>
      </c>
      <c r="C828" t="s">
        <v>1371</v>
      </c>
      <c r="D828" t="s">
        <v>1594</v>
      </c>
      <c r="E828" t="s">
        <v>3713</v>
      </c>
      <c r="G828">
        <v>9.0286439999999999</v>
      </c>
      <c r="H828">
        <v>-79.627127000000002</v>
      </c>
      <c r="I828" t="s">
        <v>1595</v>
      </c>
      <c r="J828">
        <v>200</v>
      </c>
      <c r="K828">
        <v>1907</v>
      </c>
      <c r="L828">
        <v>1907</v>
      </c>
      <c r="M828" t="s">
        <v>222</v>
      </c>
      <c r="N828" t="s">
        <v>222</v>
      </c>
      <c r="O828" t="s">
        <v>3164</v>
      </c>
      <c r="P828" t="s">
        <v>3705</v>
      </c>
      <c r="Q828" t="str">
        <f>IF($C828="","",IFERROR(VLOOKUP($C828,sources!$A$2:$N$200,2,FALSE()),"?"))</f>
        <v>Map</v>
      </c>
      <c r="S828" t="str">
        <f>IF($C828="","",IFERROR(VLOOKUP($C828,sources!$A$2:$N$200,9,FALSE()),"?"))</f>
        <v>US official</v>
      </c>
    </row>
    <row r="829" spans="1:19" x14ac:dyDescent="0.2">
      <c r="A829" t="s">
        <v>3714</v>
      </c>
      <c r="B829" t="s">
        <v>611</v>
      </c>
      <c r="C829" t="s">
        <v>1354</v>
      </c>
      <c r="D829" t="s">
        <v>1594</v>
      </c>
      <c r="E829" t="s">
        <v>612</v>
      </c>
      <c r="F829" t="s">
        <v>1587</v>
      </c>
      <c r="G829">
        <v>9.1164400000000008</v>
      </c>
      <c r="H829">
        <v>-79.733369999999994</v>
      </c>
      <c r="I829" t="s">
        <v>1595</v>
      </c>
      <c r="J829">
        <v>250</v>
      </c>
      <c r="K829">
        <v>1905</v>
      </c>
      <c r="L829">
        <v>1906</v>
      </c>
      <c r="M829" t="s">
        <v>222</v>
      </c>
      <c r="N829" t="s">
        <v>228</v>
      </c>
      <c r="O829" t="s">
        <v>3715</v>
      </c>
      <c r="P829" t="s">
        <v>3716</v>
      </c>
      <c r="Q829" t="str">
        <f>IF($C829="","",IFERROR(VLOOKUP($C829,sources!$A$2:$N$200,2,FALSE()),"?"))</f>
        <v>Map</v>
      </c>
      <c r="S829" t="str">
        <f>IF($C829="","",IFERROR(VLOOKUP($C829,sources!$A$2:$N$200,9,FALSE()),"?"))</f>
        <v>US official</v>
      </c>
    </row>
    <row r="830" spans="1:19" x14ac:dyDescent="0.2">
      <c r="A830" t="s">
        <v>3717</v>
      </c>
      <c r="B830" t="s">
        <v>252</v>
      </c>
      <c r="C830" t="s">
        <v>1354</v>
      </c>
      <c r="D830" t="s">
        <v>1594</v>
      </c>
      <c r="E830" t="s">
        <v>3035</v>
      </c>
      <c r="F830" t="s">
        <v>1612</v>
      </c>
      <c r="G830">
        <v>9.0618250000000007</v>
      </c>
      <c r="H830">
        <v>-79.671171000000001</v>
      </c>
      <c r="I830" t="s">
        <v>1595</v>
      </c>
      <c r="J830">
        <v>150</v>
      </c>
      <c r="K830">
        <v>1905</v>
      </c>
      <c r="L830">
        <v>1906</v>
      </c>
      <c r="M830" t="s">
        <v>222</v>
      </c>
      <c r="N830" t="s">
        <v>222</v>
      </c>
      <c r="O830" t="s">
        <v>3718</v>
      </c>
      <c r="P830" t="s">
        <v>3719</v>
      </c>
      <c r="Q830" t="str">
        <f>IF($C830="","",IFERROR(VLOOKUP($C830,sources!$A$2:$N$200,2,FALSE()),"?"))</f>
        <v>Map</v>
      </c>
      <c r="S830" t="str">
        <f>IF($C830="","",IFERROR(VLOOKUP($C830,sources!$A$2:$N$200,9,FALSE()),"?"))</f>
        <v>US official</v>
      </c>
    </row>
    <row r="831" spans="1:19" x14ac:dyDescent="0.2">
      <c r="A831" t="s">
        <v>3720</v>
      </c>
      <c r="B831" t="s">
        <v>692</v>
      </c>
      <c r="C831" t="s">
        <v>1354</v>
      </c>
      <c r="D831" t="s">
        <v>1594</v>
      </c>
      <c r="E831" t="s">
        <v>3721</v>
      </c>
      <c r="F831" t="s">
        <v>1612</v>
      </c>
      <c r="G831">
        <v>9.0659810000000007</v>
      </c>
      <c r="H831">
        <v>-79.671609000000004</v>
      </c>
      <c r="I831" t="s">
        <v>1595</v>
      </c>
      <c r="J831">
        <v>150</v>
      </c>
      <c r="K831">
        <v>1905</v>
      </c>
      <c r="L831">
        <v>1906</v>
      </c>
      <c r="M831" t="s">
        <v>222</v>
      </c>
      <c r="N831" t="s">
        <v>222</v>
      </c>
      <c r="O831" t="s">
        <v>3718</v>
      </c>
      <c r="P831" t="s">
        <v>3722</v>
      </c>
      <c r="Q831" t="str">
        <f>IF($C831="","",IFERROR(VLOOKUP($C831,sources!$A$2:$N$200,2,FALSE()),"?"))</f>
        <v>Map</v>
      </c>
      <c r="S831" t="str">
        <f>IF($C831="","",IFERROR(VLOOKUP($C831,sources!$A$2:$N$200,9,FALSE()),"?"))</f>
        <v>US official</v>
      </c>
    </row>
    <row r="832" spans="1:19" x14ac:dyDescent="0.2">
      <c r="A832" t="s">
        <v>3723</v>
      </c>
      <c r="B832" t="s">
        <v>266</v>
      </c>
      <c r="C832" t="s">
        <v>1354</v>
      </c>
      <c r="D832" t="s">
        <v>1594</v>
      </c>
      <c r="E832" t="s">
        <v>3724</v>
      </c>
      <c r="F832" t="s">
        <v>1587</v>
      </c>
      <c r="G832">
        <v>9.0494310000000002</v>
      </c>
      <c r="H832">
        <v>-79.655292000000003</v>
      </c>
      <c r="I832" t="s">
        <v>1595</v>
      </c>
      <c r="J832">
        <v>150</v>
      </c>
      <c r="K832">
        <v>1905</v>
      </c>
      <c r="L832">
        <v>1906</v>
      </c>
      <c r="M832" t="s">
        <v>222</v>
      </c>
      <c r="N832" t="s">
        <v>222</v>
      </c>
      <c r="O832" t="s">
        <v>3718</v>
      </c>
      <c r="P832" t="s">
        <v>3725</v>
      </c>
      <c r="Q832" t="str">
        <f>IF($C832="","",IFERROR(VLOOKUP($C832,sources!$A$2:$N$200,2,FALSE()),"?"))</f>
        <v>Map</v>
      </c>
      <c r="S832" t="str">
        <f>IF($C832="","",IFERROR(VLOOKUP($C832,sources!$A$2:$N$200,9,FALSE()),"?"))</f>
        <v>US official</v>
      </c>
    </row>
    <row r="833" spans="1:19" x14ac:dyDescent="0.2">
      <c r="A833" t="s">
        <v>3726</v>
      </c>
      <c r="B833" t="s">
        <v>397</v>
      </c>
      <c r="C833" t="s">
        <v>1354</v>
      </c>
      <c r="D833" t="s">
        <v>1594</v>
      </c>
      <c r="E833" t="s">
        <v>398</v>
      </c>
      <c r="F833" t="s">
        <v>1587</v>
      </c>
      <c r="G833">
        <v>9.0382599999999993</v>
      </c>
      <c r="H833">
        <v>-79.637826000000004</v>
      </c>
      <c r="I833" t="s">
        <v>1595</v>
      </c>
      <c r="J833">
        <v>200</v>
      </c>
      <c r="K833">
        <v>1905</v>
      </c>
      <c r="L833">
        <v>1906</v>
      </c>
      <c r="M833" t="s">
        <v>222</v>
      </c>
      <c r="N833" t="s">
        <v>222</v>
      </c>
      <c r="O833" t="s">
        <v>3718</v>
      </c>
      <c r="P833" t="s">
        <v>3727</v>
      </c>
      <c r="Q833" t="str">
        <f>IF($C833="","",IFERROR(VLOOKUP($C833,sources!$A$2:$N$200,2,FALSE()),"?"))</f>
        <v>Map</v>
      </c>
      <c r="S833" t="str">
        <f>IF($C833="","",IFERROR(VLOOKUP($C833,sources!$A$2:$N$200,9,FALSE()),"?"))</f>
        <v>US official</v>
      </c>
    </row>
    <row r="834" spans="1:19" x14ac:dyDescent="0.2">
      <c r="A834" t="s">
        <v>3728</v>
      </c>
      <c r="B834" t="s">
        <v>376</v>
      </c>
      <c r="C834" t="s">
        <v>1354</v>
      </c>
      <c r="D834" t="s">
        <v>1594</v>
      </c>
      <c r="E834" t="s">
        <v>377</v>
      </c>
      <c r="F834" t="s">
        <v>1587</v>
      </c>
      <c r="G834">
        <v>9.0348109999999995</v>
      </c>
      <c r="H834">
        <v>-79.630095999999995</v>
      </c>
      <c r="I834" t="s">
        <v>1595</v>
      </c>
      <c r="J834">
        <v>300</v>
      </c>
      <c r="K834">
        <v>1905</v>
      </c>
      <c r="L834">
        <v>1906</v>
      </c>
      <c r="M834" t="s">
        <v>222</v>
      </c>
      <c r="N834" t="s">
        <v>228</v>
      </c>
      <c r="O834" t="s">
        <v>3718</v>
      </c>
      <c r="P834" t="s">
        <v>3729</v>
      </c>
      <c r="Q834" t="str">
        <f>IF($C834="","",IFERROR(VLOOKUP($C834,sources!$A$2:$N$200,2,FALSE()),"?"))</f>
        <v>Map</v>
      </c>
      <c r="S834" t="str">
        <f>IF($C834="","",IFERROR(VLOOKUP($C834,sources!$A$2:$N$200,9,FALSE()),"?"))</f>
        <v>US official</v>
      </c>
    </row>
    <row r="835" spans="1:19" x14ac:dyDescent="0.2">
      <c r="A835" t="s">
        <v>3730</v>
      </c>
      <c r="B835" t="s">
        <v>522</v>
      </c>
      <c r="C835" t="s">
        <v>1354</v>
      </c>
      <c r="D835" t="s">
        <v>1594</v>
      </c>
      <c r="E835" t="s">
        <v>523</v>
      </c>
      <c r="F835" t="s">
        <v>1587</v>
      </c>
      <c r="G835">
        <v>9.0265090000000008</v>
      </c>
      <c r="H835">
        <v>-79.631232999999995</v>
      </c>
      <c r="I835" t="s">
        <v>1595</v>
      </c>
      <c r="J835">
        <v>200</v>
      </c>
      <c r="K835">
        <v>1905</v>
      </c>
      <c r="L835">
        <v>1906</v>
      </c>
      <c r="M835" t="s">
        <v>222</v>
      </c>
      <c r="N835" t="s">
        <v>222</v>
      </c>
      <c r="O835" t="s">
        <v>3718</v>
      </c>
      <c r="P835" t="s">
        <v>3731</v>
      </c>
      <c r="Q835" t="str">
        <f>IF($C835="","",IFERROR(VLOOKUP($C835,sources!$A$2:$N$200,2,FALSE()),"?"))</f>
        <v>Map</v>
      </c>
      <c r="S835" t="str">
        <f>IF($C835="","",IFERROR(VLOOKUP($C835,sources!$A$2:$N$200,9,FALSE()),"?"))</f>
        <v>US official</v>
      </c>
    </row>
    <row r="836" spans="1:19" x14ac:dyDescent="0.2">
      <c r="A836" t="s">
        <v>3732</v>
      </c>
      <c r="B836" t="s">
        <v>363</v>
      </c>
      <c r="C836" t="s">
        <v>1354</v>
      </c>
      <c r="D836" t="s">
        <v>1594</v>
      </c>
      <c r="E836" t="s">
        <v>364</v>
      </c>
      <c r="F836" t="s">
        <v>1587</v>
      </c>
      <c r="G836">
        <v>9.0208670000000009</v>
      </c>
      <c r="H836">
        <v>-79.611744000000002</v>
      </c>
      <c r="I836" t="s">
        <v>1595</v>
      </c>
      <c r="J836">
        <v>200</v>
      </c>
      <c r="K836">
        <v>1905</v>
      </c>
      <c r="L836">
        <v>1906</v>
      </c>
      <c r="M836" t="s">
        <v>222</v>
      </c>
      <c r="N836" t="s">
        <v>222</v>
      </c>
      <c r="O836" t="s">
        <v>3718</v>
      </c>
      <c r="P836" t="s">
        <v>3733</v>
      </c>
      <c r="Q836" t="str">
        <f>IF($C836="","",IFERROR(VLOOKUP($C836,sources!$A$2:$N$200,2,FALSE()),"?"))</f>
        <v>Map</v>
      </c>
      <c r="S836" t="str">
        <f>IF($C836="","",IFERROR(VLOOKUP($C836,sources!$A$2:$N$200,9,FALSE()),"?"))</f>
        <v>US official</v>
      </c>
    </row>
    <row r="837" spans="1:19" x14ac:dyDescent="0.2">
      <c r="A837" t="s">
        <v>3734</v>
      </c>
      <c r="B837" t="s">
        <v>370</v>
      </c>
      <c r="C837" t="s">
        <v>1354</v>
      </c>
      <c r="D837" t="s">
        <v>1594</v>
      </c>
      <c r="E837" t="s">
        <v>371</v>
      </c>
      <c r="F837" t="s">
        <v>1587</v>
      </c>
      <c r="G837">
        <v>8.9818820000000006</v>
      </c>
      <c r="H837">
        <v>-79.572896999999998</v>
      </c>
      <c r="I837" t="s">
        <v>1595</v>
      </c>
      <c r="J837">
        <v>200</v>
      </c>
      <c r="K837">
        <v>1905</v>
      </c>
      <c r="L837">
        <v>1906</v>
      </c>
      <c r="M837" t="s">
        <v>222</v>
      </c>
      <c r="N837" t="s">
        <v>222</v>
      </c>
      <c r="O837" t="s">
        <v>3718</v>
      </c>
      <c r="P837" t="s">
        <v>3735</v>
      </c>
      <c r="Q837" t="str">
        <f>IF($C837="","",IFERROR(VLOOKUP($C837,sources!$A$2:$N$200,2,FALSE()),"?"))</f>
        <v>Map</v>
      </c>
      <c r="S837" t="str">
        <f>IF($C837="","",IFERROR(VLOOKUP($C837,sources!$A$2:$N$200,9,FALSE()),"?"))</f>
        <v>US official</v>
      </c>
    </row>
    <row r="838" spans="1:19" x14ac:dyDescent="0.2">
      <c r="A838" t="s">
        <v>3736</v>
      </c>
      <c r="B838" t="s">
        <v>198</v>
      </c>
      <c r="C838" t="s">
        <v>1354</v>
      </c>
      <c r="D838" t="s">
        <v>1594</v>
      </c>
      <c r="E838" t="s">
        <v>3737</v>
      </c>
      <c r="F838" t="s">
        <v>1587</v>
      </c>
      <c r="G838">
        <v>9.10975</v>
      </c>
      <c r="H838">
        <v>-79.706990000000005</v>
      </c>
      <c r="I838" t="s">
        <v>1595</v>
      </c>
      <c r="J838">
        <v>250</v>
      </c>
      <c r="K838">
        <v>1905</v>
      </c>
      <c r="L838">
        <v>1906</v>
      </c>
      <c r="M838" t="s">
        <v>222</v>
      </c>
      <c r="N838" t="s">
        <v>222</v>
      </c>
      <c r="O838" t="s">
        <v>3715</v>
      </c>
      <c r="P838" t="s">
        <v>3738</v>
      </c>
      <c r="Q838" t="str">
        <f>IF($C838="","",IFERROR(VLOOKUP($C838,sources!$A$2:$N$200,2,FALSE()),"?"))</f>
        <v>Map</v>
      </c>
      <c r="S838" t="str">
        <f>IF($C838="","",IFERROR(VLOOKUP($C838,sources!$A$2:$N$200,9,FALSE()),"?"))</f>
        <v>US official</v>
      </c>
    </row>
    <row r="839" spans="1:19" x14ac:dyDescent="0.2">
      <c r="A839" t="s">
        <v>3739</v>
      </c>
      <c r="B839" t="s">
        <v>272</v>
      </c>
      <c r="C839" t="s">
        <v>1354</v>
      </c>
      <c r="D839" t="s">
        <v>1594</v>
      </c>
      <c r="E839" t="s">
        <v>3740</v>
      </c>
      <c r="F839" t="s">
        <v>1587</v>
      </c>
      <c r="G839">
        <v>9.1052099999999996</v>
      </c>
      <c r="H839">
        <v>-79.688490000000002</v>
      </c>
      <c r="I839" t="s">
        <v>1595</v>
      </c>
      <c r="J839">
        <v>250</v>
      </c>
      <c r="K839">
        <v>1905</v>
      </c>
      <c r="L839">
        <v>1906</v>
      </c>
      <c r="M839" t="s">
        <v>222</v>
      </c>
      <c r="N839" t="s">
        <v>222</v>
      </c>
      <c r="O839" t="s">
        <v>3715</v>
      </c>
      <c r="P839" t="s">
        <v>3741</v>
      </c>
      <c r="Q839" t="str">
        <f>IF($C839="","",IFERROR(VLOOKUP($C839,sources!$A$2:$N$200,2,FALSE()),"?"))</f>
        <v>Map</v>
      </c>
      <c r="S839" t="str">
        <f>IF($C839="","",IFERROR(VLOOKUP($C839,sources!$A$2:$N$200,9,FALSE()),"?"))</f>
        <v>US official</v>
      </c>
    </row>
    <row r="840" spans="1:19" x14ac:dyDescent="0.2">
      <c r="A840" t="s">
        <v>3742</v>
      </c>
      <c r="B840" t="s">
        <v>280</v>
      </c>
      <c r="C840" t="s">
        <v>1354</v>
      </c>
      <c r="D840" t="s">
        <v>1594</v>
      </c>
      <c r="E840" t="s">
        <v>3743</v>
      </c>
      <c r="F840" t="s">
        <v>1587</v>
      </c>
      <c r="G840">
        <v>9.0868699999999993</v>
      </c>
      <c r="H840">
        <v>-79.684650000000005</v>
      </c>
      <c r="I840" t="s">
        <v>1595</v>
      </c>
      <c r="J840">
        <v>200</v>
      </c>
      <c r="K840">
        <v>1905</v>
      </c>
      <c r="L840">
        <v>1906</v>
      </c>
      <c r="M840" t="s">
        <v>222</v>
      </c>
      <c r="N840" t="s">
        <v>222</v>
      </c>
      <c r="O840" t="s">
        <v>3715</v>
      </c>
      <c r="P840" t="s">
        <v>3744</v>
      </c>
      <c r="Q840" t="str">
        <f>IF($C840="","",IFERROR(VLOOKUP($C840,sources!$A$2:$N$200,2,FALSE()),"?"))</f>
        <v>Map</v>
      </c>
      <c r="S840" t="str">
        <f>IF($C840="","",IFERROR(VLOOKUP($C840,sources!$A$2:$N$200,9,FALSE()),"?"))</f>
        <v>US official</v>
      </c>
    </row>
    <row r="841" spans="1:19" x14ac:dyDescent="0.2">
      <c r="A841" t="s">
        <v>3745</v>
      </c>
      <c r="B841" t="s">
        <v>280</v>
      </c>
      <c r="C841" t="s">
        <v>1354</v>
      </c>
      <c r="D841" t="s">
        <v>1585</v>
      </c>
      <c r="E841" t="s">
        <v>3746</v>
      </c>
      <c r="F841" t="s">
        <v>1587</v>
      </c>
      <c r="I841" t="s">
        <v>1077</v>
      </c>
      <c r="K841">
        <v>1905</v>
      </c>
      <c r="L841">
        <v>1906</v>
      </c>
      <c r="M841" t="s">
        <v>222</v>
      </c>
      <c r="N841" t="s">
        <v>222</v>
      </c>
      <c r="O841" t="s">
        <v>3715</v>
      </c>
      <c r="P841" t="s">
        <v>3747</v>
      </c>
      <c r="Q841" t="str">
        <f>IF($C841="","",IFERROR(VLOOKUP($C841,sources!$A$2:$N$200,2,FALSE()),"?"))</f>
        <v>Map</v>
      </c>
      <c r="S841" t="str">
        <f>IF($C841="","",IFERROR(VLOOKUP($C841,sources!$A$2:$N$200,9,FALSE()),"?"))</f>
        <v>US official</v>
      </c>
    </row>
    <row r="842" spans="1:19" x14ac:dyDescent="0.2">
      <c r="A842" t="s">
        <v>3748</v>
      </c>
      <c r="B842" t="s">
        <v>382</v>
      </c>
      <c r="C842" t="s">
        <v>1354</v>
      </c>
      <c r="D842" t="s">
        <v>1594</v>
      </c>
      <c r="E842" t="s">
        <v>3749</v>
      </c>
      <c r="F842" t="s">
        <v>1587</v>
      </c>
      <c r="G842">
        <v>9.1335099999999994</v>
      </c>
      <c r="H842">
        <v>-79.818389999999994</v>
      </c>
      <c r="I842" t="s">
        <v>1595</v>
      </c>
      <c r="J842">
        <v>200</v>
      </c>
      <c r="K842">
        <v>1905</v>
      </c>
      <c r="L842">
        <v>1906</v>
      </c>
      <c r="M842" t="s">
        <v>222</v>
      </c>
      <c r="N842" t="s">
        <v>222</v>
      </c>
      <c r="O842" t="s">
        <v>3715</v>
      </c>
      <c r="P842" t="s">
        <v>3750</v>
      </c>
      <c r="Q842" t="str">
        <f>IF($C842="","",IFERROR(VLOOKUP($C842,sources!$A$2:$N$200,2,FALSE()),"?"))</f>
        <v>Map</v>
      </c>
      <c r="S842" t="str">
        <f>IF($C842="","",IFERROR(VLOOKUP($C842,sources!$A$2:$N$200,9,FALSE()),"?"))</f>
        <v>US official</v>
      </c>
    </row>
    <row r="843" spans="1:19" x14ac:dyDescent="0.2">
      <c r="A843" t="s">
        <v>3751</v>
      </c>
      <c r="B843" t="s">
        <v>382</v>
      </c>
      <c r="C843" t="s">
        <v>1354</v>
      </c>
      <c r="D843" t="s">
        <v>1585</v>
      </c>
      <c r="E843" t="s">
        <v>3749</v>
      </c>
      <c r="F843" t="s">
        <v>1587</v>
      </c>
      <c r="I843" t="s">
        <v>1077</v>
      </c>
      <c r="K843">
        <v>1905</v>
      </c>
      <c r="L843">
        <v>1906</v>
      </c>
      <c r="M843" t="s">
        <v>222</v>
      </c>
      <c r="N843" t="s">
        <v>222</v>
      </c>
      <c r="O843" t="s">
        <v>3715</v>
      </c>
      <c r="P843" t="s">
        <v>3752</v>
      </c>
      <c r="Q843" t="str">
        <f>IF($C843="","",IFERROR(VLOOKUP($C843,sources!$A$2:$N$200,2,FALSE()),"?"))</f>
        <v>Map</v>
      </c>
      <c r="S843" t="str">
        <f>IF($C843="","",IFERROR(VLOOKUP($C843,sources!$A$2:$N$200,9,FALSE()),"?"))</f>
        <v>US official</v>
      </c>
    </row>
    <row r="844" spans="1:19" x14ac:dyDescent="0.2">
      <c r="A844" t="s">
        <v>3753</v>
      </c>
      <c r="B844" t="s">
        <v>414</v>
      </c>
      <c r="C844" t="s">
        <v>1354</v>
      </c>
      <c r="D844" t="s">
        <v>1594</v>
      </c>
      <c r="E844" t="s">
        <v>3754</v>
      </c>
      <c r="F844" t="s">
        <v>1587</v>
      </c>
      <c r="G844">
        <v>9.1178000000000008</v>
      </c>
      <c r="H844">
        <v>-79.760599999999997</v>
      </c>
      <c r="I844" t="s">
        <v>1595</v>
      </c>
      <c r="J844">
        <v>250</v>
      </c>
      <c r="K844">
        <v>1905</v>
      </c>
      <c r="L844">
        <v>1906</v>
      </c>
      <c r="M844" t="s">
        <v>222</v>
      </c>
      <c r="N844" t="s">
        <v>228</v>
      </c>
      <c r="O844" t="s">
        <v>3715</v>
      </c>
      <c r="P844" t="s">
        <v>3755</v>
      </c>
      <c r="Q844" t="str">
        <f>IF($C844="","",IFERROR(VLOOKUP($C844,sources!$A$2:$N$200,2,FALSE()),"?"))</f>
        <v>Map</v>
      </c>
      <c r="S844" t="str">
        <f>IF($C844="","",IFERROR(VLOOKUP($C844,sources!$A$2:$N$200,9,FALSE()),"?"))</f>
        <v>US official</v>
      </c>
    </row>
    <row r="845" spans="1:19" x14ac:dyDescent="0.2">
      <c r="A845" t="s">
        <v>3756</v>
      </c>
      <c r="B845" t="s">
        <v>417</v>
      </c>
      <c r="C845" t="s">
        <v>1354</v>
      </c>
      <c r="D845" t="s">
        <v>1594</v>
      </c>
      <c r="E845" t="s">
        <v>418</v>
      </c>
      <c r="F845" t="s">
        <v>1612</v>
      </c>
      <c r="G845">
        <v>9.0966699999999996</v>
      </c>
      <c r="H845">
        <v>-79.699809999999999</v>
      </c>
      <c r="I845" t="s">
        <v>1595</v>
      </c>
      <c r="J845">
        <v>300</v>
      </c>
      <c r="K845">
        <v>1905</v>
      </c>
      <c r="L845">
        <v>1906</v>
      </c>
      <c r="M845" t="s">
        <v>222</v>
      </c>
      <c r="N845" t="s">
        <v>228</v>
      </c>
      <c r="O845" t="s">
        <v>3715</v>
      </c>
      <c r="P845" t="s">
        <v>3757</v>
      </c>
      <c r="Q845" t="str">
        <f>IF($C845="","",IFERROR(VLOOKUP($C845,sources!$A$2:$N$200,2,FALSE()),"?"))</f>
        <v>Map</v>
      </c>
      <c r="S845" t="str">
        <f>IF($C845="","",IFERROR(VLOOKUP($C845,sources!$A$2:$N$200,9,FALSE()),"?"))</f>
        <v>US official</v>
      </c>
    </row>
    <row r="846" spans="1:19" x14ac:dyDescent="0.2">
      <c r="A846" t="s">
        <v>3758</v>
      </c>
      <c r="B846" t="s">
        <v>234</v>
      </c>
      <c r="C846" t="s">
        <v>1354</v>
      </c>
      <c r="D846" t="s">
        <v>1599</v>
      </c>
      <c r="E846" t="s">
        <v>3759</v>
      </c>
      <c r="F846" t="s">
        <v>1587</v>
      </c>
      <c r="G846">
        <v>9.11008</v>
      </c>
      <c r="H846">
        <v>-79.764859999999999</v>
      </c>
      <c r="I846" t="s">
        <v>1595</v>
      </c>
      <c r="J846">
        <v>400</v>
      </c>
      <c r="K846">
        <v>1905</v>
      </c>
      <c r="L846">
        <v>1906</v>
      </c>
      <c r="M846" t="s">
        <v>222</v>
      </c>
      <c r="N846" t="s">
        <v>209</v>
      </c>
      <c r="O846" t="s">
        <v>3715</v>
      </c>
      <c r="P846" t="s">
        <v>3760</v>
      </c>
      <c r="Q846" t="str">
        <f>IF($C846="","",IFERROR(VLOOKUP($C846,sources!$A$2:$N$200,2,FALSE()),"?"))</f>
        <v>Map</v>
      </c>
      <c r="S846" t="str">
        <f>IF($C846="","",IFERROR(VLOOKUP($C846,sources!$A$2:$N$200,9,FALSE()),"?"))</f>
        <v>US official</v>
      </c>
    </row>
    <row r="847" spans="1:19" x14ac:dyDescent="0.2">
      <c r="A847" t="s">
        <v>3761</v>
      </c>
      <c r="B847" t="s">
        <v>349</v>
      </c>
      <c r="C847" t="s">
        <v>1354</v>
      </c>
      <c r="D847" t="s">
        <v>1594</v>
      </c>
      <c r="E847" t="s">
        <v>3762</v>
      </c>
      <c r="F847" t="s">
        <v>1612</v>
      </c>
      <c r="G847">
        <v>9.3558900000000005</v>
      </c>
      <c r="H847">
        <v>-79.900599999999997</v>
      </c>
      <c r="I847" t="s">
        <v>1595</v>
      </c>
      <c r="J847">
        <v>250</v>
      </c>
      <c r="K847">
        <v>1905</v>
      </c>
      <c r="L847">
        <v>1906</v>
      </c>
      <c r="M847" t="s">
        <v>222</v>
      </c>
      <c r="N847" t="s">
        <v>222</v>
      </c>
      <c r="O847" t="s">
        <v>3763</v>
      </c>
      <c r="P847" t="s">
        <v>3764</v>
      </c>
      <c r="Q847" t="str">
        <f>IF($C847="","",IFERROR(VLOOKUP($C847,sources!$A$2:$N$200,2,FALSE()),"?"))</f>
        <v>Map</v>
      </c>
      <c r="S847" t="str">
        <f>IF($C847="","",IFERROR(VLOOKUP($C847,sources!$A$2:$N$200,9,FALSE()),"?"))</f>
        <v>US official</v>
      </c>
    </row>
    <row r="848" spans="1:19" x14ac:dyDescent="0.2">
      <c r="A848" t="s">
        <v>3765</v>
      </c>
      <c r="B848" t="s">
        <v>434</v>
      </c>
      <c r="C848" t="s">
        <v>1354</v>
      </c>
      <c r="D848" t="s">
        <v>1594</v>
      </c>
      <c r="E848" t="s">
        <v>3766</v>
      </c>
      <c r="F848" t="s">
        <v>1612</v>
      </c>
      <c r="G848">
        <v>9.33582</v>
      </c>
      <c r="H848">
        <v>-79.892790000000005</v>
      </c>
      <c r="I848" t="s">
        <v>1595</v>
      </c>
      <c r="J848">
        <v>250</v>
      </c>
      <c r="K848">
        <v>1905</v>
      </c>
      <c r="L848">
        <v>1906</v>
      </c>
      <c r="M848" t="s">
        <v>222</v>
      </c>
      <c r="N848" t="s">
        <v>222</v>
      </c>
      <c r="O848" t="s">
        <v>3763</v>
      </c>
      <c r="P848" t="s">
        <v>3767</v>
      </c>
      <c r="Q848" t="str">
        <f>IF($C848="","",IFERROR(VLOOKUP($C848,sources!$A$2:$N$200,2,FALSE()),"?"))</f>
        <v>Map</v>
      </c>
      <c r="S848" t="str">
        <f>IF($C848="","",IFERROR(VLOOKUP($C848,sources!$A$2:$N$200,9,FALSE()),"?"))</f>
        <v>US official</v>
      </c>
    </row>
    <row r="849" spans="1:19" x14ac:dyDescent="0.2">
      <c r="A849" t="s">
        <v>3768</v>
      </c>
      <c r="B849" t="s">
        <v>517</v>
      </c>
      <c r="C849" t="s">
        <v>1354</v>
      </c>
      <c r="D849" t="s">
        <v>1594</v>
      </c>
      <c r="E849" t="s">
        <v>518</v>
      </c>
      <c r="F849" t="s">
        <v>1587</v>
      </c>
      <c r="G849">
        <v>9.1789000000000005</v>
      </c>
      <c r="H849">
        <v>-79.870339999999999</v>
      </c>
      <c r="I849" t="s">
        <v>1595</v>
      </c>
      <c r="J849">
        <v>250</v>
      </c>
      <c r="K849">
        <v>1905</v>
      </c>
      <c r="L849">
        <v>1906</v>
      </c>
      <c r="M849" t="s">
        <v>222</v>
      </c>
      <c r="N849" t="s">
        <v>222</v>
      </c>
      <c r="O849" t="s">
        <v>3763</v>
      </c>
      <c r="P849" t="s">
        <v>3769</v>
      </c>
      <c r="Q849" t="str">
        <f>IF($C849="","",IFERROR(VLOOKUP($C849,sources!$A$2:$N$200,2,FALSE()),"?"))</f>
        <v>Map</v>
      </c>
      <c r="S849" t="str">
        <f>IF($C849="","",IFERROR(VLOOKUP($C849,sources!$A$2:$N$200,9,FALSE()),"?"))</f>
        <v>US official</v>
      </c>
    </row>
    <row r="850" spans="1:19" x14ac:dyDescent="0.2">
      <c r="A850" t="s">
        <v>3770</v>
      </c>
      <c r="B850" t="s">
        <v>626</v>
      </c>
      <c r="C850" t="s">
        <v>1354</v>
      </c>
      <c r="D850" t="s">
        <v>1594</v>
      </c>
      <c r="E850" t="s">
        <v>627</v>
      </c>
      <c r="F850" t="s">
        <v>1587</v>
      </c>
      <c r="G850">
        <v>9.1985600000000005</v>
      </c>
      <c r="H850">
        <v>-79.895020000000002</v>
      </c>
      <c r="I850" t="s">
        <v>1595</v>
      </c>
      <c r="J850">
        <v>300</v>
      </c>
      <c r="K850">
        <v>1905</v>
      </c>
      <c r="L850">
        <v>1906</v>
      </c>
      <c r="M850" t="s">
        <v>222</v>
      </c>
      <c r="N850" t="s">
        <v>228</v>
      </c>
      <c r="O850" t="s">
        <v>3763</v>
      </c>
      <c r="P850" t="s">
        <v>3771</v>
      </c>
      <c r="Q850" t="str">
        <f>IF($C850="","",IFERROR(VLOOKUP($C850,sources!$A$2:$N$200,2,FALSE()),"?"))</f>
        <v>Map</v>
      </c>
      <c r="S850" t="str">
        <f>IF($C850="","",IFERROR(VLOOKUP($C850,sources!$A$2:$N$200,9,FALSE()),"?"))</f>
        <v>US official</v>
      </c>
    </row>
    <row r="851" spans="1:19" x14ac:dyDescent="0.2">
      <c r="A851" t="s">
        <v>3772</v>
      </c>
      <c r="B851" t="s">
        <v>354</v>
      </c>
      <c r="C851" t="s">
        <v>1354</v>
      </c>
      <c r="D851" t="s">
        <v>1594</v>
      </c>
      <c r="E851" t="s">
        <v>3484</v>
      </c>
      <c r="F851" t="s">
        <v>1612</v>
      </c>
      <c r="G851">
        <v>8.9542830000000002</v>
      </c>
      <c r="H851">
        <v>-79.560863999999995</v>
      </c>
      <c r="I851" t="s">
        <v>1595</v>
      </c>
      <c r="J851">
        <v>250</v>
      </c>
      <c r="K851">
        <v>1905</v>
      </c>
      <c r="L851">
        <v>1906</v>
      </c>
      <c r="M851" t="s">
        <v>222</v>
      </c>
      <c r="N851" t="s">
        <v>222</v>
      </c>
      <c r="O851" t="s">
        <v>3718</v>
      </c>
      <c r="P851" t="s">
        <v>3773</v>
      </c>
      <c r="Q851" t="str">
        <f>IF($C851="","",IFERROR(VLOOKUP($C851,sources!$A$2:$N$200,2,FALSE()),"?"))</f>
        <v>Map</v>
      </c>
      <c r="S851" t="str">
        <f>IF($C851="","",IFERROR(VLOOKUP($C851,sources!$A$2:$N$200,9,FALSE()),"?"))</f>
        <v>US official</v>
      </c>
    </row>
    <row r="852" spans="1:19" x14ac:dyDescent="0.2">
      <c r="A852" t="s">
        <v>3774</v>
      </c>
      <c r="B852" t="s">
        <v>367</v>
      </c>
      <c r="C852" t="s">
        <v>1354</v>
      </c>
      <c r="D852" t="s">
        <v>1594</v>
      </c>
      <c r="E852" t="s">
        <v>3775</v>
      </c>
      <c r="F852" t="s">
        <v>1612</v>
      </c>
      <c r="G852">
        <v>8.9527199999999993</v>
      </c>
      <c r="H852">
        <v>-79.560084000000003</v>
      </c>
      <c r="I852" t="s">
        <v>1595</v>
      </c>
      <c r="J852">
        <v>250</v>
      </c>
      <c r="K852">
        <v>1905</v>
      </c>
      <c r="L852">
        <v>1906</v>
      </c>
      <c r="M852" t="s">
        <v>222</v>
      </c>
      <c r="N852" t="s">
        <v>222</v>
      </c>
      <c r="O852" t="s">
        <v>3718</v>
      </c>
      <c r="P852" t="s">
        <v>3776</v>
      </c>
      <c r="Q852" t="str">
        <f>IF($C852="","",IFERROR(VLOOKUP($C852,sources!$A$2:$N$200,2,FALSE()),"?"))</f>
        <v>Map</v>
      </c>
      <c r="S852" t="str">
        <f>IF($C852="","",IFERROR(VLOOKUP($C852,sources!$A$2:$N$200,9,FALSE()),"?"))</f>
        <v>US official</v>
      </c>
    </row>
    <row r="853" spans="1:19" x14ac:dyDescent="0.2">
      <c r="A853" t="s">
        <v>3777</v>
      </c>
      <c r="B853" t="s">
        <v>367</v>
      </c>
      <c r="C853" t="s">
        <v>1354</v>
      </c>
      <c r="D853" t="s">
        <v>1585</v>
      </c>
      <c r="E853" t="s">
        <v>3775</v>
      </c>
      <c r="F853" t="s">
        <v>1612</v>
      </c>
      <c r="I853" t="s">
        <v>1077</v>
      </c>
      <c r="K853">
        <v>1905</v>
      </c>
      <c r="L853">
        <v>1906</v>
      </c>
      <c r="M853" t="s">
        <v>222</v>
      </c>
      <c r="N853" t="s">
        <v>222</v>
      </c>
      <c r="O853" t="s">
        <v>3718</v>
      </c>
      <c r="P853" t="s">
        <v>3778</v>
      </c>
      <c r="Q853" t="str">
        <f>IF($C853="","",IFERROR(VLOOKUP($C853,sources!$A$2:$N$200,2,FALSE()),"?"))</f>
        <v>Map</v>
      </c>
      <c r="S853" t="str">
        <f>IF($C853="","",IFERROR(VLOOKUP($C853,sources!$A$2:$N$200,9,FALSE()),"?"))</f>
        <v>US official</v>
      </c>
    </row>
    <row r="854" spans="1:19" x14ac:dyDescent="0.2">
      <c r="A854" t="s">
        <v>3779</v>
      </c>
      <c r="B854" t="s">
        <v>494</v>
      </c>
      <c r="C854" t="s">
        <v>1354</v>
      </c>
      <c r="D854" t="s">
        <v>1594</v>
      </c>
      <c r="E854" t="s">
        <v>3292</v>
      </c>
      <c r="F854" t="s">
        <v>1612</v>
      </c>
      <c r="G854">
        <v>8.9714299999999998</v>
      </c>
      <c r="H854">
        <v>-79.565369000000004</v>
      </c>
      <c r="I854" t="s">
        <v>1595</v>
      </c>
      <c r="J854">
        <v>250</v>
      </c>
      <c r="K854">
        <v>1905</v>
      </c>
      <c r="L854">
        <v>1906</v>
      </c>
      <c r="M854" t="s">
        <v>222</v>
      </c>
      <c r="N854" t="s">
        <v>228</v>
      </c>
      <c r="O854" t="s">
        <v>3718</v>
      </c>
      <c r="P854" t="s">
        <v>3780</v>
      </c>
      <c r="Q854" t="str">
        <f>IF($C854="","",IFERROR(VLOOKUP($C854,sources!$A$2:$N$200,2,FALSE()),"?"))</f>
        <v>Map</v>
      </c>
      <c r="S854" t="str">
        <f>IF($C854="","",IFERROR(VLOOKUP($C854,sources!$A$2:$N$200,9,FALSE()),"?"))</f>
        <v>US official</v>
      </c>
    </row>
    <row r="855" spans="1:19" x14ac:dyDescent="0.2">
      <c r="A855" t="s">
        <v>3781</v>
      </c>
      <c r="B855" t="s">
        <v>506</v>
      </c>
      <c r="C855" t="s">
        <v>1354</v>
      </c>
      <c r="D855" t="s">
        <v>1594</v>
      </c>
      <c r="E855" t="s">
        <v>507</v>
      </c>
      <c r="F855" t="s">
        <v>1612</v>
      </c>
      <c r="G855">
        <v>9.0449459999999995</v>
      </c>
      <c r="H855">
        <v>-79.650716000000003</v>
      </c>
      <c r="I855" t="s">
        <v>1595</v>
      </c>
      <c r="J855">
        <v>250</v>
      </c>
      <c r="K855">
        <v>1905</v>
      </c>
      <c r="L855">
        <v>1906</v>
      </c>
      <c r="M855" t="s">
        <v>222</v>
      </c>
      <c r="N855" t="s">
        <v>228</v>
      </c>
      <c r="O855" t="s">
        <v>3718</v>
      </c>
      <c r="P855" t="s">
        <v>3782</v>
      </c>
      <c r="Q855" t="str">
        <f>IF($C855="","",IFERROR(VLOOKUP($C855,sources!$A$2:$N$200,2,FALSE()),"?"))</f>
        <v>Map</v>
      </c>
      <c r="S855" t="str">
        <f>IF($C855="","",IFERROR(VLOOKUP($C855,sources!$A$2:$N$200,9,FALSE()),"?"))</f>
        <v>US official</v>
      </c>
    </row>
    <row r="856" spans="1:19" x14ac:dyDescent="0.2">
      <c r="A856" t="s">
        <v>3783</v>
      </c>
      <c r="B856" t="s">
        <v>607</v>
      </c>
      <c r="C856" t="s">
        <v>1354</v>
      </c>
      <c r="D856" t="s">
        <v>1594</v>
      </c>
      <c r="E856" t="s">
        <v>608</v>
      </c>
      <c r="F856" t="s">
        <v>1587</v>
      </c>
      <c r="G856">
        <v>9.0609710000000003</v>
      </c>
      <c r="H856">
        <v>-79.663664999999995</v>
      </c>
      <c r="I856" t="s">
        <v>1595</v>
      </c>
      <c r="J856">
        <v>250</v>
      </c>
      <c r="K856">
        <v>1905</v>
      </c>
      <c r="L856">
        <v>1906</v>
      </c>
      <c r="M856" t="s">
        <v>222</v>
      </c>
      <c r="N856" t="s">
        <v>228</v>
      </c>
      <c r="O856" t="s">
        <v>3718</v>
      </c>
      <c r="P856" t="s">
        <v>3784</v>
      </c>
      <c r="Q856" t="str">
        <f>IF($C856="","",IFERROR(VLOOKUP($C856,sources!$A$2:$N$200,2,FALSE()),"?"))</f>
        <v>Map</v>
      </c>
      <c r="S856" t="str">
        <f>IF($C856="","",IFERROR(VLOOKUP($C856,sources!$A$2:$N$200,9,FALSE()),"?"))</f>
        <v>US official</v>
      </c>
    </row>
    <row r="857" spans="1:19" x14ac:dyDescent="0.2">
      <c r="A857" t="s">
        <v>3785</v>
      </c>
      <c r="B857" t="s">
        <v>777</v>
      </c>
      <c r="C857" t="s">
        <v>1354</v>
      </c>
      <c r="D857" t="s">
        <v>1594</v>
      </c>
      <c r="E857" t="s">
        <v>3786</v>
      </c>
      <c r="F857" t="s">
        <v>1612</v>
      </c>
      <c r="G857">
        <v>9.0268730000000001</v>
      </c>
      <c r="H857">
        <v>-79.625713000000005</v>
      </c>
      <c r="I857" t="s">
        <v>1595</v>
      </c>
      <c r="J857">
        <v>200</v>
      </c>
      <c r="K857">
        <v>1905</v>
      </c>
      <c r="L857">
        <v>1906</v>
      </c>
      <c r="M857" t="s">
        <v>222</v>
      </c>
      <c r="N857" t="s">
        <v>228</v>
      </c>
      <c r="O857" t="s">
        <v>3718</v>
      </c>
      <c r="P857" t="s">
        <v>3787</v>
      </c>
      <c r="Q857" t="str">
        <f>IF($C857="","",IFERROR(VLOOKUP($C857,sources!$A$2:$N$200,2,FALSE()),"?"))</f>
        <v>Map</v>
      </c>
      <c r="S857" t="str">
        <f>IF($C857="","",IFERROR(VLOOKUP($C857,sources!$A$2:$N$200,9,FALSE()),"?"))</f>
        <v>US official</v>
      </c>
    </row>
    <row r="858" spans="1:19" x14ac:dyDescent="0.2">
      <c r="A858" t="s">
        <v>3788</v>
      </c>
      <c r="B858" t="s">
        <v>679</v>
      </c>
      <c r="C858" t="s">
        <v>1354</v>
      </c>
      <c r="D858" t="s">
        <v>1594</v>
      </c>
      <c r="E858" t="s">
        <v>3789</v>
      </c>
      <c r="F858" t="s">
        <v>1612</v>
      </c>
      <c r="G858">
        <v>9.0602750000000007</v>
      </c>
      <c r="H858">
        <v>-79.671909999999997</v>
      </c>
      <c r="I858" t="s">
        <v>1595</v>
      </c>
      <c r="J858">
        <v>200</v>
      </c>
      <c r="K858">
        <v>1905</v>
      </c>
      <c r="L858">
        <v>1906</v>
      </c>
      <c r="M858" t="s">
        <v>222</v>
      </c>
      <c r="N858" t="s">
        <v>222</v>
      </c>
      <c r="O858" t="s">
        <v>3718</v>
      </c>
      <c r="P858" t="s">
        <v>3790</v>
      </c>
      <c r="Q858" t="str">
        <f>IF($C858="","",IFERROR(VLOOKUP($C858,sources!$A$2:$N$200,2,FALSE()),"?"))</f>
        <v>Map</v>
      </c>
      <c r="S858" t="str">
        <f>IF($C858="","",IFERROR(VLOOKUP($C858,sources!$A$2:$N$200,9,FALSE()),"?"))</f>
        <v>US official</v>
      </c>
    </row>
    <row r="859" spans="1:19" x14ac:dyDescent="0.2">
      <c r="A859" t="s">
        <v>3791</v>
      </c>
      <c r="B859" t="s">
        <v>509</v>
      </c>
      <c r="C859" t="s">
        <v>1354</v>
      </c>
      <c r="D859" t="s">
        <v>1585</v>
      </c>
      <c r="E859" t="s">
        <v>510</v>
      </c>
      <c r="F859" t="s">
        <v>1612</v>
      </c>
      <c r="I859" t="s">
        <v>1077</v>
      </c>
      <c r="K859">
        <v>1905</v>
      </c>
      <c r="L859">
        <v>1906</v>
      </c>
      <c r="M859" t="s">
        <v>222</v>
      </c>
      <c r="N859" t="s">
        <v>209</v>
      </c>
      <c r="O859" t="s">
        <v>3715</v>
      </c>
      <c r="P859" t="s">
        <v>3792</v>
      </c>
      <c r="Q859" t="str">
        <f>IF($C859="","",IFERROR(VLOOKUP($C859,sources!$A$2:$N$200,2,FALSE()),"?"))</f>
        <v>Map</v>
      </c>
      <c r="S859" t="str">
        <f>IF($C859="","",IFERROR(VLOOKUP($C859,sources!$A$2:$N$200,9,FALSE()),"?"))</f>
        <v>US official</v>
      </c>
    </row>
    <row r="860" spans="1:19" x14ac:dyDescent="0.2">
      <c r="A860" t="s">
        <v>3793</v>
      </c>
      <c r="B860" t="s">
        <v>526</v>
      </c>
      <c r="C860" t="s">
        <v>1354</v>
      </c>
      <c r="D860" t="s">
        <v>1585</v>
      </c>
      <c r="E860" t="s">
        <v>3794</v>
      </c>
      <c r="F860" t="s">
        <v>1587</v>
      </c>
      <c r="I860" t="s">
        <v>1077</v>
      </c>
      <c r="K860">
        <v>1905</v>
      </c>
      <c r="L860">
        <v>1906</v>
      </c>
      <c r="M860" t="s">
        <v>222</v>
      </c>
      <c r="N860" t="s">
        <v>209</v>
      </c>
      <c r="O860" t="s">
        <v>3715</v>
      </c>
      <c r="P860" t="s">
        <v>3795</v>
      </c>
      <c r="Q860" t="str">
        <f>IF($C860="","",IFERROR(VLOOKUP($C860,sources!$A$2:$N$200,2,FALSE()),"?"))</f>
        <v>Map</v>
      </c>
      <c r="S860" t="str">
        <f>IF($C860="","",IFERROR(VLOOKUP($C860,sources!$A$2:$N$200,9,FALSE()),"?"))</f>
        <v>US official</v>
      </c>
    </row>
    <row r="861" spans="1:19" x14ac:dyDescent="0.2">
      <c r="A861" t="s">
        <v>3796</v>
      </c>
      <c r="B861" t="s">
        <v>230</v>
      </c>
      <c r="C861" t="s">
        <v>1354</v>
      </c>
      <c r="D861" t="s">
        <v>1666</v>
      </c>
      <c r="E861" t="s">
        <v>231</v>
      </c>
      <c r="F861" t="s">
        <v>1612</v>
      </c>
      <c r="I861" t="s">
        <v>1077</v>
      </c>
      <c r="K861">
        <v>1905</v>
      </c>
      <c r="L861">
        <v>1906</v>
      </c>
      <c r="M861" t="s">
        <v>228</v>
      </c>
      <c r="N861" t="s">
        <v>222</v>
      </c>
      <c r="O861" t="s">
        <v>3715</v>
      </c>
      <c r="P861" t="s">
        <v>3797</v>
      </c>
      <c r="Q861" t="str">
        <f>IF($C861="","",IFERROR(VLOOKUP($C861,sources!$A$2:$N$200,2,FALSE()),"?"))</f>
        <v>Map</v>
      </c>
      <c r="S861" t="str">
        <f>IF($C861="","",IFERROR(VLOOKUP($C861,sources!$A$2:$N$200,9,FALSE()),"?"))</f>
        <v>US official</v>
      </c>
    </row>
    <row r="862" spans="1:19" x14ac:dyDescent="0.2">
      <c r="A862" t="s">
        <v>3798</v>
      </c>
      <c r="B862" t="s">
        <v>232</v>
      </c>
      <c r="C862" t="s">
        <v>1354</v>
      </c>
      <c r="D862" t="s">
        <v>1666</v>
      </c>
      <c r="E862" t="s">
        <v>233</v>
      </c>
      <c r="F862" t="s">
        <v>1612</v>
      </c>
      <c r="I862" t="s">
        <v>1077</v>
      </c>
      <c r="K862">
        <v>1905</v>
      </c>
      <c r="L862">
        <v>1906</v>
      </c>
      <c r="M862" t="s">
        <v>228</v>
      </c>
      <c r="N862" t="s">
        <v>222</v>
      </c>
      <c r="O862" t="s">
        <v>3715</v>
      </c>
      <c r="P862" t="s">
        <v>3799</v>
      </c>
      <c r="Q862" t="str">
        <f>IF($C862="","",IFERROR(VLOOKUP($C862,sources!$A$2:$N$200,2,FALSE()),"?"))</f>
        <v>Map</v>
      </c>
      <c r="S862" t="str">
        <f>IF($C862="","",IFERROR(VLOOKUP($C862,sources!$A$2:$N$200,9,FALSE()),"?"))</f>
        <v>US official</v>
      </c>
    </row>
    <row r="863" spans="1:19" x14ac:dyDescent="0.2">
      <c r="A863" t="s">
        <v>3800</v>
      </c>
      <c r="B863" t="s">
        <v>236</v>
      </c>
      <c r="C863" t="s">
        <v>1354</v>
      </c>
      <c r="D863" t="s">
        <v>1666</v>
      </c>
      <c r="E863" t="s">
        <v>237</v>
      </c>
      <c r="F863" t="s">
        <v>1612</v>
      </c>
      <c r="I863" t="s">
        <v>1077</v>
      </c>
      <c r="K863">
        <v>1905</v>
      </c>
      <c r="L863">
        <v>1906</v>
      </c>
      <c r="M863" t="s">
        <v>228</v>
      </c>
      <c r="N863" t="s">
        <v>222</v>
      </c>
      <c r="O863" t="s">
        <v>3763</v>
      </c>
      <c r="P863" t="s">
        <v>3801</v>
      </c>
      <c r="Q863" t="str">
        <f>IF($C863="","",IFERROR(VLOOKUP($C863,sources!$A$2:$N$200,2,FALSE()),"?"))</f>
        <v>Map</v>
      </c>
      <c r="S863" t="str">
        <f>IF($C863="","",IFERROR(VLOOKUP($C863,sources!$A$2:$N$200,9,FALSE()),"?"))</f>
        <v>US official</v>
      </c>
    </row>
    <row r="864" spans="1:19" x14ac:dyDescent="0.2">
      <c r="A864" t="s">
        <v>3802</v>
      </c>
      <c r="B864" t="s">
        <v>405</v>
      </c>
      <c r="C864" t="s">
        <v>1354</v>
      </c>
      <c r="D864" t="s">
        <v>1666</v>
      </c>
      <c r="E864" t="s">
        <v>406</v>
      </c>
      <c r="F864" t="s">
        <v>1612</v>
      </c>
      <c r="I864" t="s">
        <v>1077</v>
      </c>
      <c r="K864">
        <v>1905</v>
      </c>
      <c r="L864">
        <v>1906</v>
      </c>
      <c r="M864" t="s">
        <v>228</v>
      </c>
      <c r="N864" t="s">
        <v>228</v>
      </c>
      <c r="O864" t="s">
        <v>3715</v>
      </c>
      <c r="P864" t="s">
        <v>3803</v>
      </c>
      <c r="Q864" t="str">
        <f>IF($C864="","",IFERROR(VLOOKUP($C864,sources!$A$2:$N$200,2,FALSE()),"?"))</f>
        <v>Map</v>
      </c>
      <c r="S864" t="str">
        <f>IF($C864="","",IFERROR(VLOOKUP($C864,sources!$A$2:$N$200,9,FALSE()),"?"))</f>
        <v>US official</v>
      </c>
    </row>
    <row r="865" spans="1:19" x14ac:dyDescent="0.2">
      <c r="A865" t="s">
        <v>3804</v>
      </c>
      <c r="B865" t="s">
        <v>405</v>
      </c>
      <c r="C865" t="s">
        <v>1354</v>
      </c>
      <c r="D865" t="s">
        <v>1666</v>
      </c>
      <c r="E865" t="s">
        <v>579</v>
      </c>
      <c r="F865" t="s">
        <v>1612</v>
      </c>
      <c r="I865" t="s">
        <v>1077</v>
      </c>
      <c r="K865">
        <v>1905</v>
      </c>
      <c r="L865">
        <v>1906</v>
      </c>
      <c r="M865" t="s">
        <v>228</v>
      </c>
      <c r="N865" t="s">
        <v>228</v>
      </c>
      <c r="O865" t="s">
        <v>3715</v>
      </c>
      <c r="P865" t="s">
        <v>3805</v>
      </c>
      <c r="Q865" t="str">
        <f>IF($C865="","",IFERROR(VLOOKUP($C865,sources!$A$2:$N$200,2,FALSE()),"?"))</f>
        <v>Map</v>
      </c>
      <c r="S865" t="str">
        <f>IF($C865="","",IFERROR(VLOOKUP($C865,sources!$A$2:$N$200,9,FALSE()),"?"))</f>
        <v>US official</v>
      </c>
    </row>
    <row r="866" spans="1:19" x14ac:dyDescent="0.2">
      <c r="A866" t="s">
        <v>3806</v>
      </c>
      <c r="B866" t="s">
        <v>411</v>
      </c>
      <c r="C866" t="s">
        <v>1354</v>
      </c>
      <c r="D866" t="s">
        <v>1666</v>
      </c>
      <c r="E866" t="s">
        <v>412</v>
      </c>
      <c r="F866" t="s">
        <v>1612</v>
      </c>
      <c r="I866" t="s">
        <v>1077</v>
      </c>
      <c r="K866">
        <v>1905</v>
      </c>
      <c r="L866">
        <v>1906</v>
      </c>
      <c r="M866" t="s">
        <v>228</v>
      </c>
      <c r="N866" t="s">
        <v>222</v>
      </c>
      <c r="O866" t="s">
        <v>3763</v>
      </c>
      <c r="P866" t="s">
        <v>3807</v>
      </c>
      <c r="Q866" t="str">
        <f>IF($C866="","",IFERROR(VLOOKUP($C866,sources!$A$2:$N$200,2,FALSE()),"?"))</f>
        <v>Map</v>
      </c>
      <c r="S866" t="str">
        <f>IF($C866="","",IFERROR(VLOOKUP($C866,sources!$A$2:$N$200,9,FALSE()),"?"))</f>
        <v>US official</v>
      </c>
    </row>
    <row r="867" spans="1:19" x14ac:dyDescent="0.2">
      <c r="A867" t="s">
        <v>3808</v>
      </c>
      <c r="B867" t="s">
        <v>584</v>
      </c>
      <c r="C867" t="s">
        <v>1354</v>
      </c>
      <c r="D867" t="s">
        <v>1666</v>
      </c>
      <c r="E867" t="s">
        <v>585</v>
      </c>
      <c r="F867" t="s">
        <v>1612</v>
      </c>
      <c r="I867" t="s">
        <v>1077</v>
      </c>
      <c r="K867">
        <v>1905</v>
      </c>
      <c r="L867">
        <v>1906</v>
      </c>
      <c r="M867" t="s">
        <v>228</v>
      </c>
      <c r="N867" t="s">
        <v>222</v>
      </c>
      <c r="O867" t="s">
        <v>3715</v>
      </c>
      <c r="P867" t="s">
        <v>3809</v>
      </c>
      <c r="Q867" t="str">
        <f>IF($C867="","",IFERROR(VLOOKUP($C867,sources!$A$2:$N$200,2,FALSE()),"?"))</f>
        <v>Map</v>
      </c>
      <c r="S867" t="str">
        <f>IF($C867="","",IFERROR(VLOOKUP($C867,sources!$A$2:$N$200,9,FALSE()),"?"))</f>
        <v>US official</v>
      </c>
    </row>
    <row r="868" spans="1:19" x14ac:dyDescent="0.2">
      <c r="A868" t="s">
        <v>3810</v>
      </c>
      <c r="B868" t="s">
        <v>594</v>
      </c>
      <c r="C868" t="s">
        <v>1354</v>
      </c>
      <c r="D868" t="s">
        <v>1666</v>
      </c>
      <c r="E868" t="s">
        <v>595</v>
      </c>
      <c r="F868" t="s">
        <v>1612</v>
      </c>
      <c r="I868" t="s">
        <v>1077</v>
      </c>
      <c r="K868">
        <v>1905</v>
      </c>
      <c r="L868">
        <v>1906</v>
      </c>
      <c r="M868" t="s">
        <v>228</v>
      </c>
      <c r="N868" t="s">
        <v>222</v>
      </c>
      <c r="O868" t="s">
        <v>3715</v>
      </c>
      <c r="P868" t="s">
        <v>3811</v>
      </c>
      <c r="Q868" t="str">
        <f>IF($C868="","",IFERROR(VLOOKUP($C868,sources!$A$2:$N$200,2,FALSE()),"?"))</f>
        <v>Map</v>
      </c>
      <c r="S868" t="str">
        <f>IF($C868="","",IFERROR(VLOOKUP($C868,sources!$A$2:$N$200,9,FALSE()),"?"))</f>
        <v>US official</v>
      </c>
    </row>
    <row r="869" spans="1:19" x14ac:dyDescent="0.2">
      <c r="A869" t="s">
        <v>3812</v>
      </c>
      <c r="B869" t="s">
        <v>599</v>
      </c>
      <c r="C869" t="s">
        <v>1354</v>
      </c>
      <c r="D869" t="s">
        <v>1666</v>
      </c>
      <c r="E869" t="s">
        <v>600</v>
      </c>
      <c r="F869" t="s">
        <v>1612</v>
      </c>
      <c r="I869" t="s">
        <v>1077</v>
      </c>
      <c r="K869">
        <v>1905</v>
      </c>
      <c r="L869">
        <v>1906</v>
      </c>
      <c r="M869" t="s">
        <v>228</v>
      </c>
      <c r="N869" t="s">
        <v>222</v>
      </c>
      <c r="O869" t="s">
        <v>3715</v>
      </c>
      <c r="P869" t="s">
        <v>3813</v>
      </c>
      <c r="Q869" t="str">
        <f>IF($C869="","",IFERROR(VLOOKUP($C869,sources!$A$2:$N$200,2,FALSE()),"?"))</f>
        <v>Map</v>
      </c>
      <c r="S869" t="str">
        <f>IF($C869="","",IFERROR(VLOOKUP($C869,sources!$A$2:$N$200,9,FALSE()),"?"))</f>
        <v>US official</v>
      </c>
    </row>
    <row r="870" spans="1:19" x14ac:dyDescent="0.2">
      <c r="A870" t="s">
        <v>3814</v>
      </c>
      <c r="B870" t="s">
        <v>589</v>
      </c>
      <c r="C870" t="s">
        <v>1354</v>
      </c>
      <c r="D870" t="s">
        <v>1666</v>
      </c>
      <c r="E870" t="s">
        <v>590</v>
      </c>
      <c r="F870" t="s">
        <v>1612</v>
      </c>
      <c r="I870" t="s">
        <v>1077</v>
      </c>
      <c r="K870">
        <v>1905</v>
      </c>
      <c r="L870">
        <v>1906</v>
      </c>
      <c r="M870" t="s">
        <v>228</v>
      </c>
      <c r="N870" t="s">
        <v>228</v>
      </c>
      <c r="O870" t="s">
        <v>3718</v>
      </c>
      <c r="P870" t="s">
        <v>3815</v>
      </c>
      <c r="Q870" t="str">
        <f>IF($C870="","",IFERROR(VLOOKUP($C870,sources!$A$2:$N$200,2,FALSE()),"?"))</f>
        <v>Map</v>
      </c>
      <c r="S870" t="str">
        <f>IF($C870="","",IFERROR(VLOOKUP($C870,sources!$A$2:$N$200,9,FALSE()),"?"))</f>
        <v>US official</v>
      </c>
    </row>
    <row r="871" spans="1:19" x14ac:dyDescent="0.2">
      <c r="A871" t="s">
        <v>3816</v>
      </c>
      <c r="B871" t="s">
        <v>359</v>
      </c>
      <c r="C871" t="s">
        <v>1354</v>
      </c>
      <c r="D871" t="s">
        <v>1666</v>
      </c>
      <c r="E871" t="s">
        <v>360</v>
      </c>
      <c r="F871" t="s">
        <v>1612</v>
      </c>
      <c r="I871" t="s">
        <v>1077</v>
      </c>
      <c r="K871">
        <v>1905</v>
      </c>
      <c r="L871">
        <v>1906</v>
      </c>
      <c r="M871" t="s">
        <v>228</v>
      </c>
      <c r="N871" t="s">
        <v>222</v>
      </c>
      <c r="O871" t="s">
        <v>3718</v>
      </c>
      <c r="P871" t="s">
        <v>3817</v>
      </c>
      <c r="Q871" t="str">
        <f>IF($C871="","",IFERROR(VLOOKUP($C871,sources!$A$2:$N$200,2,FALSE()),"?"))</f>
        <v>Map</v>
      </c>
      <c r="S871" t="str">
        <f>IF($C871="","",IFERROR(VLOOKUP($C871,sources!$A$2:$N$200,9,FALSE()),"?"))</f>
        <v>US official</v>
      </c>
    </row>
    <row r="872" spans="1:19" x14ac:dyDescent="0.2">
      <c r="A872" t="s">
        <v>3818</v>
      </c>
      <c r="B872" t="s">
        <v>603</v>
      </c>
      <c r="C872" t="s">
        <v>1354</v>
      </c>
      <c r="D872" t="s">
        <v>1666</v>
      </c>
      <c r="E872" t="s">
        <v>604</v>
      </c>
      <c r="F872" t="s">
        <v>1612</v>
      </c>
      <c r="I872" t="s">
        <v>1077</v>
      </c>
      <c r="K872">
        <v>1905</v>
      </c>
      <c r="L872">
        <v>1906</v>
      </c>
      <c r="M872" t="s">
        <v>228</v>
      </c>
      <c r="N872" t="s">
        <v>222</v>
      </c>
      <c r="O872" t="s">
        <v>3718</v>
      </c>
      <c r="P872" t="s">
        <v>3819</v>
      </c>
      <c r="Q872" t="str">
        <f>IF($C872="","",IFERROR(VLOOKUP($C872,sources!$A$2:$N$200,2,FALSE()),"?"))</f>
        <v>Map</v>
      </c>
      <c r="S872" t="str">
        <f>IF($C872="","",IFERROR(VLOOKUP($C872,sources!$A$2:$N$200,9,FALSE()),"?"))</f>
        <v>US official</v>
      </c>
    </row>
    <row r="873" spans="1:19" x14ac:dyDescent="0.2">
      <c r="A873" t="s">
        <v>3820</v>
      </c>
      <c r="B873" t="s">
        <v>393</v>
      </c>
      <c r="C873" t="s">
        <v>1354</v>
      </c>
      <c r="D873" t="s">
        <v>1666</v>
      </c>
      <c r="E873" t="s">
        <v>394</v>
      </c>
      <c r="F873" t="s">
        <v>1612</v>
      </c>
      <c r="I873" t="s">
        <v>1077</v>
      </c>
      <c r="K873">
        <v>1905</v>
      </c>
      <c r="L873">
        <v>1906</v>
      </c>
      <c r="M873" t="s">
        <v>228</v>
      </c>
      <c r="N873" t="s">
        <v>222</v>
      </c>
      <c r="O873" t="s">
        <v>3718</v>
      </c>
      <c r="P873" t="s">
        <v>3821</v>
      </c>
      <c r="Q873" t="str">
        <f>IF($C873="","",IFERROR(VLOOKUP($C873,sources!$A$2:$N$200,2,FALSE()),"?"))</f>
        <v>Map</v>
      </c>
      <c r="S873" t="str">
        <f>IF($C873="","",IFERROR(VLOOKUP($C873,sources!$A$2:$N$200,9,FALSE()),"?"))</f>
        <v>US official</v>
      </c>
    </row>
    <row r="874" spans="1:19" x14ac:dyDescent="0.2">
      <c r="A874" t="s">
        <v>3822</v>
      </c>
      <c r="B874" t="s">
        <v>529</v>
      </c>
      <c r="C874" t="s">
        <v>1354</v>
      </c>
      <c r="D874" t="s">
        <v>1666</v>
      </c>
      <c r="E874" t="s">
        <v>530</v>
      </c>
      <c r="F874" t="s">
        <v>1612</v>
      </c>
      <c r="I874" t="s">
        <v>1077</v>
      </c>
      <c r="K874">
        <v>1905</v>
      </c>
      <c r="L874">
        <v>1906</v>
      </c>
      <c r="M874" t="s">
        <v>228</v>
      </c>
      <c r="N874" t="s">
        <v>222</v>
      </c>
      <c r="O874" t="s">
        <v>3718</v>
      </c>
      <c r="P874" t="s">
        <v>3823</v>
      </c>
      <c r="Q874" t="str">
        <f>IF($C874="","",IFERROR(VLOOKUP($C874,sources!$A$2:$N$200,2,FALSE()),"?"))</f>
        <v>Map</v>
      </c>
      <c r="S874" t="str">
        <f>IF($C874="","",IFERROR(VLOOKUP($C874,sources!$A$2:$N$200,9,FALSE()),"?"))</f>
        <v>US official</v>
      </c>
    </row>
    <row r="875" spans="1:19" x14ac:dyDescent="0.2">
      <c r="A875" t="s">
        <v>3824</v>
      </c>
      <c r="B875" t="s">
        <v>638</v>
      </c>
      <c r="C875" t="s">
        <v>1354</v>
      </c>
      <c r="D875" t="s">
        <v>1666</v>
      </c>
      <c r="E875" t="s">
        <v>639</v>
      </c>
      <c r="F875" t="s">
        <v>1612</v>
      </c>
      <c r="I875" t="s">
        <v>1077</v>
      </c>
      <c r="K875">
        <v>1905</v>
      </c>
      <c r="L875">
        <v>1906</v>
      </c>
      <c r="M875" t="s">
        <v>228</v>
      </c>
      <c r="N875" t="s">
        <v>228</v>
      </c>
      <c r="O875" t="s">
        <v>3718</v>
      </c>
      <c r="P875" t="s">
        <v>3825</v>
      </c>
      <c r="Q875" t="str">
        <f>IF($C875="","",IFERROR(VLOOKUP($C875,sources!$A$2:$N$200,2,FALSE()),"?"))</f>
        <v>Map</v>
      </c>
      <c r="S875" t="str">
        <f>IF($C875="","",IFERROR(VLOOKUP($C875,sources!$A$2:$N$200,9,FALSE()),"?"))</f>
        <v>US official</v>
      </c>
    </row>
    <row r="876" spans="1:19" x14ac:dyDescent="0.2">
      <c r="A876" t="s">
        <v>3826</v>
      </c>
      <c r="B876" t="s">
        <v>295</v>
      </c>
      <c r="C876" t="s">
        <v>1354</v>
      </c>
      <c r="D876" t="s">
        <v>1666</v>
      </c>
      <c r="E876" t="s">
        <v>296</v>
      </c>
      <c r="F876" t="s">
        <v>1612</v>
      </c>
      <c r="I876" t="s">
        <v>1077</v>
      </c>
      <c r="K876">
        <v>1905</v>
      </c>
      <c r="L876">
        <v>1906</v>
      </c>
      <c r="M876" t="s">
        <v>228</v>
      </c>
      <c r="N876" t="s">
        <v>228</v>
      </c>
      <c r="O876" t="s">
        <v>3718</v>
      </c>
      <c r="P876" t="s">
        <v>3827</v>
      </c>
      <c r="Q876" t="str">
        <f>IF($C876="","",IFERROR(VLOOKUP($C876,sources!$A$2:$N$200,2,FALSE()),"?"))</f>
        <v>Map</v>
      </c>
      <c r="S876" t="str">
        <f>IF($C876="","",IFERROR(VLOOKUP($C876,sources!$A$2:$N$200,9,FALSE()),"?"))</f>
        <v>US official</v>
      </c>
    </row>
    <row r="877" spans="1:19" x14ac:dyDescent="0.2">
      <c r="A877" t="s">
        <v>3828</v>
      </c>
      <c r="B877" t="s">
        <v>679</v>
      </c>
      <c r="C877" t="s">
        <v>1354</v>
      </c>
      <c r="D877" t="s">
        <v>1666</v>
      </c>
      <c r="E877" t="s">
        <v>317</v>
      </c>
      <c r="F877" t="s">
        <v>1612</v>
      </c>
      <c r="I877" t="s">
        <v>1077</v>
      </c>
      <c r="K877">
        <v>1905</v>
      </c>
      <c r="L877">
        <v>1906</v>
      </c>
      <c r="M877" t="s">
        <v>228</v>
      </c>
      <c r="N877" t="s">
        <v>228</v>
      </c>
      <c r="O877" t="s">
        <v>3718</v>
      </c>
      <c r="P877" t="s">
        <v>3829</v>
      </c>
      <c r="Q877" t="str">
        <f>IF($C877="","",IFERROR(VLOOKUP($C877,sources!$A$2:$N$200,2,FALSE()),"?"))</f>
        <v>Map</v>
      </c>
      <c r="S877" t="str">
        <f>IF($C877="","",IFERROR(VLOOKUP($C877,sources!$A$2:$N$200,9,FALSE()),"?"))</f>
        <v>US official</v>
      </c>
    </row>
    <row r="878" spans="1:19" x14ac:dyDescent="0.2">
      <c r="A878" t="s">
        <v>3830</v>
      </c>
      <c r="B878" t="s">
        <v>336</v>
      </c>
      <c r="C878" t="s">
        <v>1354</v>
      </c>
      <c r="D878" t="s">
        <v>1666</v>
      </c>
      <c r="E878" t="s">
        <v>337</v>
      </c>
      <c r="F878" t="s">
        <v>1612</v>
      </c>
      <c r="I878" t="s">
        <v>1077</v>
      </c>
      <c r="K878">
        <v>1905</v>
      </c>
      <c r="L878">
        <v>1906</v>
      </c>
      <c r="M878" t="s">
        <v>228</v>
      </c>
      <c r="N878" t="s">
        <v>228</v>
      </c>
      <c r="O878" t="s">
        <v>3718</v>
      </c>
      <c r="P878" t="s">
        <v>3827</v>
      </c>
      <c r="Q878" t="str">
        <f>IF($C878="","",IFERROR(VLOOKUP($C878,sources!$A$2:$N$200,2,FALSE()),"?"))</f>
        <v>Map</v>
      </c>
      <c r="S878" t="str">
        <f>IF($C878="","",IFERROR(VLOOKUP($C878,sources!$A$2:$N$200,9,FALSE()),"?"))</f>
        <v>US official</v>
      </c>
    </row>
    <row r="879" spans="1:19" x14ac:dyDescent="0.2">
      <c r="A879" t="s">
        <v>3831</v>
      </c>
      <c r="B879" t="s">
        <v>345</v>
      </c>
      <c r="C879" t="s">
        <v>1354</v>
      </c>
      <c r="D879" t="s">
        <v>1666</v>
      </c>
      <c r="E879" t="s">
        <v>346</v>
      </c>
      <c r="F879" t="s">
        <v>1612</v>
      </c>
      <c r="I879" t="s">
        <v>1077</v>
      </c>
      <c r="K879">
        <v>1905</v>
      </c>
      <c r="L879">
        <v>1906</v>
      </c>
      <c r="M879" t="s">
        <v>228</v>
      </c>
      <c r="N879" t="s">
        <v>228</v>
      </c>
      <c r="O879" t="s">
        <v>3718</v>
      </c>
      <c r="P879" t="s">
        <v>3827</v>
      </c>
      <c r="Q879" t="str">
        <f>IF($C879="","",IFERROR(VLOOKUP($C879,sources!$A$2:$N$200,2,FALSE()),"?"))</f>
        <v>Map</v>
      </c>
      <c r="S879" t="str">
        <f>IF($C879="","",IFERROR(VLOOKUP($C879,sources!$A$2:$N$200,9,FALSE()),"?"))</f>
        <v>US official</v>
      </c>
    </row>
    <row r="880" spans="1:19" x14ac:dyDescent="0.2">
      <c r="A880" t="s">
        <v>3832</v>
      </c>
      <c r="B880" t="s">
        <v>198</v>
      </c>
      <c r="C880" t="s">
        <v>1359</v>
      </c>
      <c r="D880" t="s">
        <v>1594</v>
      </c>
      <c r="E880" t="s">
        <v>3833</v>
      </c>
      <c r="F880" t="s">
        <v>1587</v>
      </c>
      <c r="G880">
        <v>9.10975</v>
      </c>
      <c r="H880">
        <v>-79.706990000000005</v>
      </c>
      <c r="I880" t="s">
        <v>1595</v>
      </c>
      <c r="J880">
        <v>600</v>
      </c>
      <c r="K880">
        <v>1862</v>
      </c>
      <c r="L880">
        <v>1862</v>
      </c>
      <c r="M880" t="s">
        <v>222</v>
      </c>
      <c r="N880" t="s">
        <v>222</v>
      </c>
      <c r="O880" t="s">
        <v>3834</v>
      </c>
      <c r="P880" t="s">
        <v>3835</v>
      </c>
      <c r="Q880" t="str">
        <f>IF($C880="","",IFERROR(VLOOKUP($C880,sources!$A$2:$N$200,2,FALSE()),"?"))</f>
        <v>Map</v>
      </c>
      <c r="S880" t="str">
        <f>IF($C880="","",IFERROR(VLOOKUP($C880,sources!$A$2:$N$200,9,FALSE()),"?"))</f>
        <v>PRR company</v>
      </c>
    </row>
    <row r="881" spans="1:19" x14ac:dyDescent="0.2">
      <c r="A881" t="s">
        <v>3836</v>
      </c>
      <c r="B881" t="s">
        <v>218</v>
      </c>
      <c r="C881" t="s">
        <v>1359</v>
      </c>
      <c r="D881" t="s">
        <v>1594</v>
      </c>
      <c r="E881" t="s">
        <v>3837</v>
      </c>
      <c r="F881" t="s">
        <v>1587</v>
      </c>
      <c r="G881">
        <v>9.1240000000000006</v>
      </c>
      <c r="H881">
        <v>-79.687650000000005</v>
      </c>
      <c r="I881" t="s">
        <v>1595</v>
      </c>
      <c r="J881">
        <v>600</v>
      </c>
      <c r="K881">
        <v>1862</v>
      </c>
      <c r="L881">
        <v>1862</v>
      </c>
      <c r="M881" t="s">
        <v>222</v>
      </c>
      <c r="N881" t="s">
        <v>222</v>
      </c>
      <c r="O881" t="s">
        <v>3834</v>
      </c>
      <c r="P881" t="s">
        <v>3838</v>
      </c>
      <c r="Q881" t="str">
        <f>IF($C881="","",IFERROR(VLOOKUP($C881,sources!$A$2:$N$200,2,FALSE()),"?"))</f>
        <v>Map</v>
      </c>
      <c r="S881" t="str">
        <f>IF($C881="","",IFERROR(VLOOKUP($C881,sources!$A$2:$N$200,9,FALSE()),"?"))</f>
        <v>PRR company</v>
      </c>
    </row>
    <row r="882" spans="1:19" x14ac:dyDescent="0.2">
      <c r="A882" t="s">
        <v>3839</v>
      </c>
      <c r="B882" t="s">
        <v>224</v>
      </c>
      <c r="C882" t="s">
        <v>1359</v>
      </c>
      <c r="D882" t="s">
        <v>1594</v>
      </c>
      <c r="E882" t="s">
        <v>225</v>
      </c>
      <c r="F882" t="s">
        <v>1587</v>
      </c>
      <c r="G882">
        <v>9.2129100000000008</v>
      </c>
      <c r="H882">
        <v>-79.876000000000005</v>
      </c>
      <c r="I882" t="s">
        <v>1595</v>
      </c>
      <c r="J882">
        <v>600</v>
      </c>
      <c r="K882">
        <v>1862</v>
      </c>
      <c r="L882">
        <v>1862</v>
      </c>
      <c r="M882" t="s">
        <v>222</v>
      </c>
      <c r="N882" t="s">
        <v>228</v>
      </c>
      <c r="O882" t="s">
        <v>3834</v>
      </c>
      <c r="P882" t="s">
        <v>3840</v>
      </c>
      <c r="Q882" t="str">
        <f>IF($C882="","",IFERROR(VLOOKUP($C882,sources!$A$2:$N$200,2,FALSE()),"?"))</f>
        <v>Map</v>
      </c>
      <c r="S882" t="str">
        <f>IF($C882="","",IFERROR(VLOOKUP($C882,sources!$A$2:$N$200,9,FALSE()),"?"))</f>
        <v>PRR company</v>
      </c>
    </row>
    <row r="883" spans="1:19" x14ac:dyDescent="0.2">
      <c r="A883" t="s">
        <v>3841</v>
      </c>
      <c r="B883" t="s">
        <v>261</v>
      </c>
      <c r="C883" t="s">
        <v>1359</v>
      </c>
      <c r="D883" t="s">
        <v>1594</v>
      </c>
      <c r="E883" t="s">
        <v>3051</v>
      </c>
      <c r="F883" t="s">
        <v>1587</v>
      </c>
      <c r="G883">
        <v>9.1140100000000004</v>
      </c>
      <c r="H883">
        <v>-79.724149999999995</v>
      </c>
      <c r="I883" t="s">
        <v>1595</v>
      </c>
      <c r="J883">
        <v>600</v>
      </c>
      <c r="K883">
        <v>1862</v>
      </c>
      <c r="L883">
        <v>1862</v>
      </c>
      <c r="M883" t="s">
        <v>222</v>
      </c>
      <c r="N883" t="s">
        <v>222</v>
      </c>
      <c r="O883" t="s">
        <v>3834</v>
      </c>
      <c r="P883" t="s">
        <v>3842</v>
      </c>
      <c r="Q883" t="str">
        <f>IF($C883="","",IFERROR(VLOOKUP($C883,sources!$A$2:$N$200,2,FALSE()),"?"))</f>
        <v>Map</v>
      </c>
      <c r="S883" t="str">
        <f>IF($C883="","",IFERROR(VLOOKUP($C883,sources!$A$2:$N$200,9,FALSE()),"?"))</f>
        <v>PRR company</v>
      </c>
    </row>
    <row r="884" spans="1:19" x14ac:dyDescent="0.2">
      <c r="A884" t="s">
        <v>3843</v>
      </c>
      <c r="B884" t="s">
        <v>405</v>
      </c>
      <c r="C884" t="s">
        <v>1359</v>
      </c>
      <c r="D884" t="s">
        <v>1594</v>
      </c>
      <c r="E884" t="s">
        <v>3844</v>
      </c>
      <c r="F884" t="s">
        <v>1587</v>
      </c>
      <c r="G884">
        <v>9.1797000000000004</v>
      </c>
      <c r="H884">
        <v>-79.833399999999997</v>
      </c>
      <c r="I884" t="s">
        <v>1595</v>
      </c>
      <c r="J884">
        <v>800</v>
      </c>
      <c r="K884">
        <v>1862</v>
      </c>
      <c r="L884">
        <v>1862</v>
      </c>
      <c r="M884" t="s">
        <v>222</v>
      </c>
      <c r="N884" t="s">
        <v>228</v>
      </c>
      <c r="O884" t="s">
        <v>3834</v>
      </c>
      <c r="P884" t="s">
        <v>3845</v>
      </c>
      <c r="Q884" t="str">
        <f>IF($C884="","",IFERROR(VLOOKUP($C884,sources!$A$2:$N$200,2,FALSE()),"?"))</f>
        <v>Map</v>
      </c>
      <c r="S884" t="str">
        <f>IF($C884="","",IFERROR(VLOOKUP($C884,sources!$A$2:$N$200,9,FALSE()),"?"))</f>
        <v>PRR company</v>
      </c>
    </row>
    <row r="885" spans="1:19" x14ac:dyDescent="0.2">
      <c r="A885" t="s">
        <v>3846</v>
      </c>
      <c r="B885" t="s">
        <v>514</v>
      </c>
      <c r="C885" t="s">
        <v>1359</v>
      </c>
      <c r="D885" t="s">
        <v>1594</v>
      </c>
      <c r="E885" t="s">
        <v>515</v>
      </c>
      <c r="F885" t="s">
        <v>1587</v>
      </c>
      <c r="G885">
        <v>9.1903000000000006</v>
      </c>
      <c r="H885">
        <v>-79.881799999999998</v>
      </c>
      <c r="I885" t="s">
        <v>1595</v>
      </c>
      <c r="J885">
        <v>800</v>
      </c>
      <c r="K885">
        <v>1862</v>
      </c>
      <c r="L885">
        <v>1862</v>
      </c>
      <c r="M885" t="s">
        <v>222</v>
      </c>
      <c r="N885" t="s">
        <v>228</v>
      </c>
      <c r="O885" t="s">
        <v>3834</v>
      </c>
      <c r="P885" t="s">
        <v>3847</v>
      </c>
      <c r="Q885" t="str">
        <f>IF($C885="","",IFERROR(VLOOKUP($C885,sources!$A$2:$N$200,2,FALSE()),"?"))</f>
        <v>Map</v>
      </c>
      <c r="S885" t="str">
        <f>IF($C885="","",IFERROR(VLOOKUP($C885,sources!$A$2:$N$200,9,FALSE()),"?"))</f>
        <v>PRR company</v>
      </c>
    </row>
    <row r="886" spans="1:19" x14ac:dyDescent="0.2">
      <c r="A886" t="s">
        <v>3848</v>
      </c>
      <c r="B886" t="s">
        <v>213</v>
      </c>
      <c r="C886" t="s">
        <v>1359</v>
      </c>
      <c r="D886" t="s">
        <v>1594</v>
      </c>
      <c r="E886" t="s">
        <v>214</v>
      </c>
      <c r="F886" t="s">
        <v>1587</v>
      </c>
      <c r="G886">
        <v>9.1093799999999998</v>
      </c>
      <c r="H886">
        <v>-79.767650000000003</v>
      </c>
      <c r="I886" t="s">
        <v>1595</v>
      </c>
      <c r="J886">
        <v>600</v>
      </c>
      <c r="K886">
        <v>1862</v>
      </c>
      <c r="L886">
        <v>1862</v>
      </c>
      <c r="M886" t="s">
        <v>222</v>
      </c>
      <c r="N886" t="s">
        <v>228</v>
      </c>
      <c r="O886" t="s">
        <v>3834</v>
      </c>
      <c r="P886" t="s">
        <v>3849</v>
      </c>
      <c r="Q886" t="str">
        <f>IF($C886="","",IFERROR(VLOOKUP($C886,sources!$A$2:$N$200,2,FALSE()),"?"))</f>
        <v>Map</v>
      </c>
      <c r="S886" t="str">
        <f>IF($C886="","",IFERROR(VLOOKUP($C886,sources!$A$2:$N$200,9,FALSE()),"?"))</f>
        <v>PRR company</v>
      </c>
    </row>
    <row r="887" spans="1:19" x14ac:dyDescent="0.2">
      <c r="A887" t="s">
        <v>3850</v>
      </c>
      <c r="B887" t="s">
        <v>379</v>
      </c>
      <c r="C887" t="s">
        <v>1359</v>
      </c>
      <c r="D887" t="s">
        <v>1594</v>
      </c>
      <c r="E887" t="s">
        <v>3110</v>
      </c>
      <c r="F887" t="s">
        <v>1587</v>
      </c>
      <c r="G887">
        <v>9.1186699999999998</v>
      </c>
      <c r="H887">
        <v>-79.787009999999995</v>
      </c>
      <c r="I887" t="s">
        <v>1595</v>
      </c>
      <c r="J887">
        <v>600</v>
      </c>
      <c r="K887">
        <v>1862</v>
      </c>
      <c r="L887">
        <v>1862</v>
      </c>
      <c r="M887" t="s">
        <v>222</v>
      </c>
      <c r="N887" t="s">
        <v>228</v>
      </c>
      <c r="O887" t="s">
        <v>3834</v>
      </c>
      <c r="P887" t="s">
        <v>3851</v>
      </c>
      <c r="Q887" t="str">
        <f>IF($C887="","",IFERROR(VLOOKUP($C887,sources!$A$2:$N$200,2,FALSE()),"?"))</f>
        <v>Map</v>
      </c>
      <c r="S887" t="str">
        <f>IF($C887="","",IFERROR(VLOOKUP($C887,sources!$A$2:$N$200,9,FALSE()),"?"))</f>
        <v>PRR company</v>
      </c>
    </row>
    <row r="888" spans="1:19" x14ac:dyDescent="0.2">
      <c r="A888" t="s">
        <v>3852</v>
      </c>
      <c r="B888" t="s">
        <v>462</v>
      </c>
      <c r="C888" t="s">
        <v>1359</v>
      </c>
      <c r="D888" t="s">
        <v>1599</v>
      </c>
      <c r="E888" t="s">
        <v>3853</v>
      </c>
      <c r="F888" t="s">
        <v>1587</v>
      </c>
      <c r="I888" t="s">
        <v>1077</v>
      </c>
      <c r="K888">
        <v>1862</v>
      </c>
      <c r="L888">
        <v>1862</v>
      </c>
      <c r="M888" t="s">
        <v>222</v>
      </c>
      <c r="N888" t="s">
        <v>222</v>
      </c>
      <c r="O888" t="s">
        <v>3834</v>
      </c>
      <c r="P888" t="s">
        <v>3854</v>
      </c>
      <c r="Q888" t="str">
        <f>IF($C888="","",IFERROR(VLOOKUP($C888,sources!$A$2:$N$200,2,FALSE()),"?"))</f>
        <v>Map</v>
      </c>
      <c r="S888" t="str">
        <f>IF($C888="","",IFERROR(VLOOKUP($C888,sources!$A$2:$N$200,9,FALSE()),"?"))</f>
        <v>PRR company</v>
      </c>
    </row>
    <row r="889" spans="1:19" x14ac:dyDescent="0.2">
      <c r="A889" t="s">
        <v>3855</v>
      </c>
      <c r="B889" t="s">
        <v>272</v>
      </c>
      <c r="C889" t="s">
        <v>1359</v>
      </c>
      <c r="D889" t="s">
        <v>1599</v>
      </c>
      <c r="E889" t="s">
        <v>3856</v>
      </c>
      <c r="F889" t="s">
        <v>1587</v>
      </c>
      <c r="I889" t="s">
        <v>1077</v>
      </c>
      <c r="K889">
        <v>1862</v>
      </c>
      <c r="L889">
        <v>1862</v>
      </c>
      <c r="M889" t="s">
        <v>228</v>
      </c>
      <c r="N889" t="s">
        <v>209</v>
      </c>
      <c r="O889" t="s">
        <v>3834</v>
      </c>
      <c r="P889" t="s">
        <v>3857</v>
      </c>
      <c r="Q889" t="str">
        <f>IF($C889="","",IFERROR(VLOOKUP($C889,sources!$A$2:$N$200,2,FALSE()),"?"))</f>
        <v>Map</v>
      </c>
      <c r="S889" t="str">
        <f>IF($C889="","",IFERROR(VLOOKUP($C889,sources!$A$2:$N$200,9,FALSE()),"?"))</f>
        <v>PRR company</v>
      </c>
    </row>
    <row r="890" spans="1:19" x14ac:dyDescent="0.2">
      <c r="A890" t="s">
        <v>3858</v>
      </c>
      <c r="B890" t="s">
        <v>626</v>
      </c>
      <c r="C890" t="s">
        <v>1359</v>
      </c>
      <c r="D890" t="s">
        <v>1585</v>
      </c>
      <c r="E890" t="s">
        <v>3859</v>
      </c>
      <c r="F890" t="s">
        <v>1587</v>
      </c>
      <c r="I890" t="s">
        <v>1077</v>
      </c>
      <c r="K890">
        <v>1862</v>
      </c>
      <c r="L890">
        <v>1862</v>
      </c>
      <c r="M890" t="s">
        <v>222</v>
      </c>
      <c r="N890" t="s">
        <v>222</v>
      </c>
      <c r="O890" t="s">
        <v>3834</v>
      </c>
      <c r="P890" t="s">
        <v>3860</v>
      </c>
      <c r="Q890" t="str">
        <f>IF($C890="","",IFERROR(VLOOKUP($C890,sources!$A$2:$N$200,2,FALSE()),"?"))</f>
        <v>Map</v>
      </c>
      <c r="S890" t="str">
        <f>IF($C890="","",IFERROR(VLOOKUP($C890,sources!$A$2:$N$200,9,FALSE()),"?"))</f>
        <v>PRR company</v>
      </c>
    </row>
    <row r="891" spans="1:19" x14ac:dyDescent="0.2">
      <c r="A891" t="s">
        <v>3861</v>
      </c>
      <c r="B891" t="s">
        <v>234</v>
      </c>
      <c r="C891" t="s">
        <v>1359</v>
      </c>
      <c r="D891" t="s">
        <v>1585</v>
      </c>
      <c r="E891" t="s">
        <v>3862</v>
      </c>
      <c r="F891" t="s">
        <v>1587</v>
      </c>
      <c r="I891" t="s">
        <v>1077</v>
      </c>
      <c r="K891">
        <v>1862</v>
      </c>
      <c r="L891">
        <v>1862</v>
      </c>
      <c r="M891" t="s">
        <v>222</v>
      </c>
      <c r="N891" t="s">
        <v>222</v>
      </c>
      <c r="O891" t="s">
        <v>3834</v>
      </c>
      <c r="P891" t="s">
        <v>3863</v>
      </c>
      <c r="Q891" t="str">
        <f>IF($C891="","",IFERROR(VLOOKUP($C891,sources!$A$2:$N$200,2,FALSE()),"?"))</f>
        <v>Map</v>
      </c>
      <c r="S891" t="str">
        <f>IF($C891="","",IFERROR(VLOOKUP($C891,sources!$A$2:$N$200,9,FALSE()),"?"))</f>
        <v>PRR company</v>
      </c>
    </row>
    <row r="892" spans="1:19" x14ac:dyDescent="0.2">
      <c r="A892" t="s">
        <v>3864</v>
      </c>
      <c r="B892" t="s">
        <v>284</v>
      </c>
      <c r="C892" t="s">
        <v>1359</v>
      </c>
      <c r="D892" t="s">
        <v>1585</v>
      </c>
      <c r="E892" t="s">
        <v>3865</v>
      </c>
      <c r="F892" t="s">
        <v>1587</v>
      </c>
      <c r="I892" t="s">
        <v>1077</v>
      </c>
      <c r="K892">
        <v>1862</v>
      </c>
      <c r="L892">
        <v>1862</v>
      </c>
      <c r="M892" t="s">
        <v>222</v>
      </c>
      <c r="N892" t="s">
        <v>222</v>
      </c>
      <c r="O892" t="s">
        <v>3834</v>
      </c>
      <c r="P892" t="s">
        <v>3866</v>
      </c>
      <c r="Q892" t="str">
        <f>IF($C892="","",IFERROR(VLOOKUP($C892,sources!$A$2:$N$200,2,FALSE()),"?"))</f>
        <v>Map</v>
      </c>
      <c r="S892" t="str">
        <f>IF($C892="","",IFERROR(VLOOKUP($C892,sources!$A$2:$N$200,9,FALSE()),"?"))</f>
        <v>PRR company</v>
      </c>
    </row>
    <row r="893" spans="1:19" x14ac:dyDescent="0.2">
      <c r="A893" t="s">
        <v>3867</v>
      </c>
      <c r="B893" t="s">
        <v>517</v>
      </c>
      <c r="C893" t="s">
        <v>1359</v>
      </c>
      <c r="D893" t="s">
        <v>1585</v>
      </c>
      <c r="E893" t="s">
        <v>3868</v>
      </c>
      <c r="F893" t="s">
        <v>1587</v>
      </c>
      <c r="I893" t="s">
        <v>1077</v>
      </c>
      <c r="K893">
        <v>1862</v>
      </c>
      <c r="L893">
        <v>1862</v>
      </c>
      <c r="M893" t="s">
        <v>222</v>
      </c>
      <c r="N893" t="s">
        <v>222</v>
      </c>
      <c r="O893" t="s">
        <v>3834</v>
      </c>
      <c r="P893" t="s">
        <v>3869</v>
      </c>
      <c r="Q893" t="str">
        <f>IF($C893="","",IFERROR(VLOOKUP($C893,sources!$A$2:$N$200,2,FALSE()),"?"))</f>
        <v>Map</v>
      </c>
      <c r="S893" t="str">
        <f>IF($C893="","",IFERROR(VLOOKUP($C893,sources!$A$2:$N$200,9,FALSE()),"?"))</f>
        <v>PRR company</v>
      </c>
    </row>
    <row r="894" spans="1:19" x14ac:dyDescent="0.2">
      <c r="A894" t="s">
        <v>3870</v>
      </c>
      <c r="B894" t="s">
        <v>452</v>
      </c>
      <c r="C894" t="s">
        <v>1359</v>
      </c>
      <c r="D894" t="s">
        <v>1585</v>
      </c>
      <c r="E894" t="s">
        <v>3871</v>
      </c>
      <c r="F894" t="s">
        <v>1587</v>
      </c>
      <c r="I894" t="s">
        <v>1077</v>
      </c>
      <c r="K894">
        <v>1862</v>
      </c>
      <c r="L894">
        <v>1862</v>
      </c>
      <c r="M894" t="s">
        <v>222</v>
      </c>
      <c r="N894" t="s">
        <v>222</v>
      </c>
      <c r="O894" t="s">
        <v>3834</v>
      </c>
      <c r="P894" t="s">
        <v>3872</v>
      </c>
      <c r="Q894" t="str">
        <f>IF($C894="","",IFERROR(VLOOKUP($C894,sources!$A$2:$N$200,2,FALSE()),"?"))</f>
        <v>Map</v>
      </c>
      <c r="S894" t="str">
        <f>IF($C894="","",IFERROR(VLOOKUP($C894,sources!$A$2:$N$200,9,FALSE()),"?"))</f>
        <v>PRR company</v>
      </c>
    </row>
    <row r="895" spans="1:19" x14ac:dyDescent="0.2">
      <c r="A895" t="s">
        <v>3873</v>
      </c>
      <c r="B895" t="s">
        <v>236</v>
      </c>
      <c r="C895" t="s">
        <v>1359</v>
      </c>
      <c r="D895" t="s">
        <v>1585</v>
      </c>
      <c r="E895" t="s">
        <v>3874</v>
      </c>
      <c r="F895" t="s">
        <v>1587</v>
      </c>
      <c r="I895" t="s">
        <v>1077</v>
      </c>
      <c r="K895">
        <v>1862</v>
      </c>
      <c r="L895">
        <v>1862</v>
      </c>
      <c r="M895" t="s">
        <v>222</v>
      </c>
      <c r="N895" t="s">
        <v>222</v>
      </c>
      <c r="O895" t="s">
        <v>3834</v>
      </c>
      <c r="P895" t="s">
        <v>3875</v>
      </c>
      <c r="Q895" t="str">
        <f>IF($C895="","",IFERROR(VLOOKUP($C895,sources!$A$2:$N$200,2,FALSE()),"?"))</f>
        <v>Map</v>
      </c>
      <c r="S895" t="str">
        <f>IF($C895="","",IFERROR(VLOOKUP($C895,sources!$A$2:$N$200,9,FALSE()),"?"))</f>
        <v>PRR company</v>
      </c>
    </row>
    <row r="896" spans="1:19" x14ac:dyDescent="0.2">
      <c r="A896" t="s">
        <v>3876</v>
      </c>
      <c r="B896" t="s">
        <v>499</v>
      </c>
      <c r="C896" t="s">
        <v>1359</v>
      </c>
      <c r="D896" t="s">
        <v>1585</v>
      </c>
      <c r="E896" t="s">
        <v>3877</v>
      </c>
      <c r="F896" t="s">
        <v>1587</v>
      </c>
      <c r="I896" t="s">
        <v>1077</v>
      </c>
      <c r="K896">
        <v>1862</v>
      </c>
      <c r="L896">
        <v>1862</v>
      </c>
      <c r="M896" t="s">
        <v>222</v>
      </c>
      <c r="N896" t="s">
        <v>222</v>
      </c>
      <c r="O896" t="s">
        <v>3834</v>
      </c>
      <c r="P896" t="s">
        <v>3878</v>
      </c>
      <c r="Q896" t="str">
        <f>IF($C896="","",IFERROR(VLOOKUP($C896,sources!$A$2:$N$200,2,FALSE()),"?"))</f>
        <v>Map</v>
      </c>
      <c r="S896" t="str">
        <f>IF($C896="","",IFERROR(VLOOKUP($C896,sources!$A$2:$N$200,9,FALSE()),"?"))</f>
        <v>PRR company</v>
      </c>
    </row>
    <row r="897" spans="1:19" x14ac:dyDescent="0.2">
      <c r="A897" t="s">
        <v>3879</v>
      </c>
      <c r="B897" t="s">
        <v>402</v>
      </c>
      <c r="C897" t="s">
        <v>1359</v>
      </c>
      <c r="D897" t="s">
        <v>1585</v>
      </c>
      <c r="E897" t="s">
        <v>3880</v>
      </c>
      <c r="F897" t="s">
        <v>1587</v>
      </c>
      <c r="I897" t="s">
        <v>1077</v>
      </c>
      <c r="K897">
        <v>1862</v>
      </c>
      <c r="L897">
        <v>1862</v>
      </c>
      <c r="M897" t="s">
        <v>222</v>
      </c>
      <c r="N897" t="s">
        <v>222</v>
      </c>
      <c r="O897" t="s">
        <v>3834</v>
      </c>
      <c r="P897" t="s">
        <v>3881</v>
      </c>
      <c r="Q897" t="str">
        <f>IF($C897="","",IFERROR(VLOOKUP($C897,sources!$A$2:$N$200,2,FALSE()),"?"))</f>
        <v>Map</v>
      </c>
      <c r="S897" t="str">
        <f>IF($C897="","",IFERROR(VLOOKUP($C897,sources!$A$2:$N$200,9,FALSE()),"?"))</f>
        <v>PRR company</v>
      </c>
    </row>
    <row r="898" spans="1:19" x14ac:dyDescent="0.2">
      <c r="A898" t="s">
        <v>3882</v>
      </c>
      <c r="B898" t="s">
        <v>230</v>
      </c>
      <c r="C898" t="s">
        <v>1359</v>
      </c>
      <c r="D898" t="s">
        <v>1666</v>
      </c>
      <c r="E898" t="s">
        <v>231</v>
      </c>
      <c r="F898" t="s">
        <v>1612</v>
      </c>
      <c r="I898" t="s">
        <v>1077</v>
      </c>
      <c r="K898">
        <v>1862</v>
      </c>
      <c r="L898">
        <v>1862</v>
      </c>
      <c r="M898" t="s">
        <v>228</v>
      </c>
      <c r="N898" t="s">
        <v>222</v>
      </c>
      <c r="O898" t="s">
        <v>3834</v>
      </c>
      <c r="P898" t="s">
        <v>3883</v>
      </c>
      <c r="Q898" t="str">
        <f>IF($C898="","",IFERROR(VLOOKUP($C898,sources!$A$2:$N$200,2,FALSE()),"?"))</f>
        <v>Map</v>
      </c>
      <c r="S898" t="str">
        <f>IF($C898="","",IFERROR(VLOOKUP($C898,sources!$A$2:$N$200,9,FALSE()),"?"))</f>
        <v>PRR company</v>
      </c>
    </row>
    <row r="899" spans="1:19" x14ac:dyDescent="0.2">
      <c r="A899" t="s">
        <v>3884</v>
      </c>
      <c r="B899" t="s">
        <v>618</v>
      </c>
      <c r="C899" t="s">
        <v>1359</v>
      </c>
      <c r="D899" t="s">
        <v>1666</v>
      </c>
      <c r="E899" t="s">
        <v>619</v>
      </c>
      <c r="F899" t="s">
        <v>1612</v>
      </c>
      <c r="I899" t="s">
        <v>1077</v>
      </c>
      <c r="K899">
        <v>1862</v>
      </c>
      <c r="L899">
        <v>1862</v>
      </c>
      <c r="M899" t="s">
        <v>228</v>
      </c>
      <c r="N899" t="s">
        <v>222</v>
      </c>
      <c r="O899" t="s">
        <v>3834</v>
      </c>
      <c r="P899" t="s">
        <v>3885</v>
      </c>
      <c r="Q899" t="str">
        <f>IF($C899="","",IFERROR(VLOOKUP($C899,sources!$A$2:$N$200,2,FALSE()),"?"))</f>
        <v>Map</v>
      </c>
      <c r="S899" t="str">
        <f>IF($C899="","",IFERROR(VLOOKUP($C899,sources!$A$2:$N$200,9,FALSE()),"?"))</f>
        <v>PRR company</v>
      </c>
    </row>
    <row r="900" spans="1:19" x14ac:dyDescent="0.2">
      <c r="A900" t="s">
        <v>3886</v>
      </c>
      <c r="B900" t="s">
        <v>232</v>
      </c>
      <c r="C900" t="s">
        <v>1359</v>
      </c>
      <c r="D900" t="s">
        <v>1666</v>
      </c>
      <c r="E900" t="s">
        <v>233</v>
      </c>
      <c r="F900" t="s">
        <v>1612</v>
      </c>
      <c r="I900" t="s">
        <v>1077</v>
      </c>
      <c r="K900">
        <v>1862</v>
      </c>
      <c r="L900">
        <v>1862</v>
      </c>
      <c r="M900" t="s">
        <v>228</v>
      </c>
      <c r="N900" t="s">
        <v>222</v>
      </c>
      <c r="O900" t="s">
        <v>3834</v>
      </c>
      <c r="P900" t="s">
        <v>3887</v>
      </c>
      <c r="Q900" t="str">
        <f>IF($C900="","",IFERROR(VLOOKUP($C900,sources!$A$2:$N$200,2,FALSE()),"?"))</f>
        <v>Map</v>
      </c>
      <c r="S900" t="str">
        <f>IF($C900="","",IFERROR(VLOOKUP($C900,sources!$A$2:$N$200,9,FALSE()),"?"))</f>
        <v>PRR company</v>
      </c>
    </row>
    <row r="901" spans="1:19" x14ac:dyDescent="0.2">
      <c r="A901" t="s">
        <v>3888</v>
      </c>
      <c r="B901" t="s">
        <v>349</v>
      </c>
      <c r="C901" t="s">
        <v>1359</v>
      </c>
      <c r="D901" t="s">
        <v>1666</v>
      </c>
      <c r="E901" t="s">
        <v>350</v>
      </c>
      <c r="F901" t="s">
        <v>1612</v>
      </c>
      <c r="I901" t="s">
        <v>1077</v>
      </c>
      <c r="K901">
        <v>1862</v>
      </c>
      <c r="L901">
        <v>1862</v>
      </c>
      <c r="M901" t="s">
        <v>228</v>
      </c>
      <c r="N901" t="s">
        <v>222</v>
      </c>
      <c r="O901" t="s">
        <v>3834</v>
      </c>
      <c r="P901" t="s">
        <v>3889</v>
      </c>
      <c r="Q901" t="str">
        <f>IF($C901="","",IFERROR(VLOOKUP($C901,sources!$A$2:$N$200,2,FALSE()),"?"))</f>
        <v>Map</v>
      </c>
      <c r="S901" t="str">
        <f>IF($C901="","",IFERROR(VLOOKUP($C901,sources!$A$2:$N$200,9,FALSE()),"?"))</f>
        <v>PRR company</v>
      </c>
    </row>
    <row r="902" spans="1:19" x14ac:dyDescent="0.2">
      <c r="A902" t="s">
        <v>3890</v>
      </c>
      <c r="B902" t="s">
        <v>434</v>
      </c>
      <c r="C902" t="s">
        <v>1359</v>
      </c>
      <c r="D902" t="s">
        <v>1666</v>
      </c>
      <c r="E902" t="s">
        <v>435</v>
      </c>
      <c r="F902" t="s">
        <v>1612</v>
      </c>
      <c r="I902" t="s">
        <v>1077</v>
      </c>
      <c r="K902">
        <v>1862</v>
      </c>
      <c r="L902">
        <v>1862</v>
      </c>
      <c r="M902" t="s">
        <v>228</v>
      </c>
      <c r="N902" t="s">
        <v>209</v>
      </c>
      <c r="O902" t="s">
        <v>3834</v>
      </c>
      <c r="P902" t="s">
        <v>3891</v>
      </c>
      <c r="Q902" t="str">
        <f>IF($C902="","",IFERROR(VLOOKUP($C902,sources!$A$2:$N$200,2,FALSE()),"?"))</f>
        <v>Map</v>
      </c>
      <c r="S902" t="str">
        <f>IF($C902="","",IFERROR(VLOOKUP($C902,sources!$A$2:$N$200,9,FALSE()),"?"))</f>
        <v>PRR company</v>
      </c>
    </row>
    <row r="903" spans="1:19" x14ac:dyDescent="0.2">
      <c r="A903" t="s">
        <v>3892</v>
      </c>
      <c r="B903" t="s">
        <v>455</v>
      </c>
      <c r="C903" t="s">
        <v>1359</v>
      </c>
      <c r="D903" t="s">
        <v>1666</v>
      </c>
      <c r="E903" t="s">
        <v>456</v>
      </c>
      <c r="F903" t="s">
        <v>1612</v>
      </c>
      <c r="I903" t="s">
        <v>1077</v>
      </c>
      <c r="K903">
        <v>1862</v>
      </c>
      <c r="L903">
        <v>1862</v>
      </c>
      <c r="M903" t="s">
        <v>228</v>
      </c>
      <c r="N903" t="s">
        <v>209</v>
      </c>
      <c r="O903" t="s">
        <v>3834</v>
      </c>
      <c r="P903" t="s">
        <v>3893</v>
      </c>
      <c r="Q903" t="str">
        <f>IF($C903="","",IFERROR(VLOOKUP($C903,sources!$A$2:$N$200,2,FALSE()),"?"))</f>
        <v>Map</v>
      </c>
      <c r="S903" t="str">
        <f>IF($C903="","",IFERROR(VLOOKUP($C903,sources!$A$2:$N$200,9,FALSE()),"?"))</f>
        <v>PRR company</v>
      </c>
    </row>
    <row r="904" spans="1:19" x14ac:dyDescent="0.2">
      <c r="A904" t="s">
        <v>3894</v>
      </c>
      <c r="B904" t="s">
        <v>611</v>
      </c>
      <c r="C904" t="s">
        <v>1359</v>
      </c>
      <c r="D904" t="s">
        <v>1666</v>
      </c>
      <c r="E904" t="s">
        <v>612</v>
      </c>
      <c r="F904" t="s">
        <v>1612</v>
      </c>
      <c r="I904" t="s">
        <v>1077</v>
      </c>
      <c r="K904">
        <v>1862</v>
      </c>
      <c r="L904">
        <v>1862</v>
      </c>
      <c r="M904" t="s">
        <v>228</v>
      </c>
      <c r="N904" t="s">
        <v>222</v>
      </c>
      <c r="O904" t="s">
        <v>3834</v>
      </c>
      <c r="P904" t="s">
        <v>3895</v>
      </c>
      <c r="Q904" t="str">
        <f>IF($C904="","",IFERROR(VLOOKUP($C904,sources!$A$2:$N$200,2,FALSE()),"?"))</f>
        <v>Map</v>
      </c>
      <c r="S904" t="str">
        <f>IF($C904="","",IFERROR(VLOOKUP($C904,sources!$A$2:$N$200,9,FALSE()),"?"))</f>
        <v>PRR company</v>
      </c>
    </row>
    <row r="905" spans="1:19" x14ac:dyDescent="0.2">
      <c r="A905" t="s">
        <v>3896</v>
      </c>
      <c r="B905" t="s">
        <v>503</v>
      </c>
      <c r="C905" t="s">
        <v>1359</v>
      </c>
      <c r="D905" t="s">
        <v>1666</v>
      </c>
      <c r="E905" t="s">
        <v>504</v>
      </c>
      <c r="F905" t="s">
        <v>1612</v>
      </c>
      <c r="I905" t="s">
        <v>1077</v>
      </c>
      <c r="K905">
        <v>1862</v>
      </c>
      <c r="L905">
        <v>1862</v>
      </c>
      <c r="M905" t="s">
        <v>228</v>
      </c>
      <c r="N905" t="s">
        <v>209</v>
      </c>
      <c r="O905" t="s">
        <v>3834</v>
      </c>
      <c r="P905" t="s">
        <v>3897</v>
      </c>
      <c r="Q905" t="str">
        <f>IF($C905="","",IFERROR(VLOOKUP($C905,sources!$A$2:$N$200,2,FALSE()),"?"))</f>
        <v>Map</v>
      </c>
      <c r="S905" t="str">
        <f>IF($C905="","",IFERROR(VLOOKUP($C905,sources!$A$2:$N$200,9,FALSE()),"?"))</f>
        <v>PRR company</v>
      </c>
    </row>
    <row r="906" spans="1:19" x14ac:dyDescent="0.2">
      <c r="A906" t="s">
        <v>3898</v>
      </c>
      <c r="B906" t="s">
        <v>336</v>
      </c>
      <c r="C906" t="s">
        <v>1323</v>
      </c>
      <c r="D906" t="s">
        <v>1594</v>
      </c>
      <c r="E906" t="s">
        <v>3899</v>
      </c>
      <c r="F906" t="s">
        <v>1612</v>
      </c>
      <c r="G906">
        <v>9.0628299999999999</v>
      </c>
      <c r="H906">
        <v>-79.670233999999994</v>
      </c>
      <c r="I906" t="s">
        <v>1595</v>
      </c>
      <c r="J906">
        <v>200</v>
      </c>
      <c r="K906">
        <v>1908</v>
      </c>
      <c r="L906">
        <v>1908</v>
      </c>
      <c r="M906" t="s">
        <v>222</v>
      </c>
      <c r="N906" t="s">
        <v>222</v>
      </c>
      <c r="O906" t="s">
        <v>3900</v>
      </c>
      <c r="P906" t="s">
        <v>3901</v>
      </c>
      <c r="Q906" t="str">
        <f>IF($C906="","",IFERROR(VLOOKUP($C906,sources!$A$2:$N$200,2,FALSE()),"?"))</f>
        <v>Map</v>
      </c>
      <c r="S906" t="str">
        <f>IF($C906="","",IFERROR(VLOOKUP($C906,sources!$A$2:$N$200,9,FALSE()),"?"))</f>
        <v>US official</v>
      </c>
    </row>
    <row r="907" spans="1:19" x14ac:dyDescent="0.2">
      <c r="A907" t="s">
        <v>3902</v>
      </c>
      <c r="B907" t="s">
        <v>509</v>
      </c>
      <c r="C907" t="s">
        <v>1371</v>
      </c>
      <c r="D907" t="s">
        <v>1594</v>
      </c>
      <c r="E907" t="s">
        <v>3903</v>
      </c>
      <c r="G907">
        <v>9.0797039999999996</v>
      </c>
      <c r="H907">
        <v>-79.677526</v>
      </c>
      <c r="I907" t="s">
        <v>1595</v>
      </c>
      <c r="J907">
        <v>200</v>
      </c>
      <c r="K907">
        <v>1907</v>
      </c>
      <c r="L907">
        <v>1907</v>
      </c>
      <c r="M907" t="s">
        <v>222</v>
      </c>
      <c r="N907" t="s">
        <v>228</v>
      </c>
      <c r="O907" t="s">
        <v>3164</v>
      </c>
      <c r="P907" t="s">
        <v>3904</v>
      </c>
      <c r="Q907" t="str">
        <f>IF($C907="","",IFERROR(VLOOKUP($C907,sources!$A$2:$N$200,2,FALSE()),"?"))</f>
        <v>Map</v>
      </c>
      <c r="S907" t="str">
        <f>IF($C907="","",IFERROR(VLOOKUP($C907,sources!$A$2:$N$200,9,FALSE()),"?"))</f>
        <v>US official</v>
      </c>
    </row>
    <row r="908" spans="1:19" x14ac:dyDescent="0.2">
      <c r="A908" t="s">
        <v>3905</v>
      </c>
      <c r="B908" t="s">
        <v>232</v>
      </c>
      <c r="C908" t="s">
        <v>1366</v>
      </c>
      <c r="D908" t="s">
        <v>1594</v>
      </c>
      <c r="E908" t="s">
        <v>3361</v>
      </c>
      <c r="F908" t="s">
        <v>1587</v>
      </c>
      <c r="G908">
        <v>9.1151560000000007</v>
      </c>
      <c r="H908">
        <v>-79.703084000000004</v>
      </c>
      <c r="I908" t="s">
        <v>1595</v>
      </c>
      <c r="J908">
        <v>350</v>
      </c>
      <c r="K908">
        <v>1895</v>
      </c>
      <c r="L908">
        <v>1895</v>
      </c>
      <c r="M908" t="s">
        <v>222</v>
      </c>
      <c r="N908" t="s">
        <v>228</v>
      </c>
      <c r="O908" t="s">
        <v>3906</v>
      </c>
      <c r="P908" t="s">
        <v>3907</v>
      </c>
      <c r="Q908" t="str">
        <f>IF($C908="","",IFERROR(VLOOKUP($C908,sources!$A$2:$N$200,2,FALSE()),"?"))</f>
        <v>Map</v>
      </c>
      <c r="S908" t="str">
        <f>IF($C908="","",IFERROR(VLOOKUP($C908,sources!$A$2:$N$200,9,FALSE()),"?"))</f>
        <v>French company</v>
      </c>
    </row>
    <row r="909" spans="1:19" x14ac:dyDescent="0.2">
      <c r="A909" t="s">
        <v>3908</v>
      </c>
      <c r="B909" t="s">
        <v>388</v>
      </c>
      <c r="C909" t="s">
        <v>1366</v>
      </c>
      <c r="D909" t="s">
        <v>1594</v>
      </c>
      <c r="E909" t="s">
        <v>3909</v>
      </c>
      <c r="F909" t="s">
        <v>1587</v>
      </c>
      <c r="G909">
        <v>9.1140349999999994</v>
      </c>
      <c r="H909">
        <v>-79.693575999999993</v>
      </c>
      <c r="I909" t="s">
        <v>1595</v>
      </c>
      <c r="J909">
        <v>300</v>
      </c>
      <c r="K909">
        <v>1895</v>
      </c>
      <c r="L909">
        <v>1895</v>
      </c>
      <c r="M909" t="s">
        <v>222</v>
      </c>
      <c r="N909" t="s">
        <v>222</v>
      </c>
      <c r="O909" t="s">
        <v>3906</v>
      </c>
      <c r="P909" t="s">
        <v>3910</v>
      </c>
      <c r="Q909" t="str">
        <f>IF($C909="","",IFERROR(VLOOKUP($C909,sources!$A$2:$N$200,2,FALSE()),"?"))</f>
        <v>Map</v>
      </c>
      <c r="S909" t="str">
        <f>IF($C909="","",IFERROR(VLOOKUP($C909,sources!$A$2:$N$200,9,FALSE()),"?"))</f>
        <v>French company</v>
      </c>
    </row>
    <row r="910" spans="1:19" x14ac:dyDescent="0.2">
      <c r="A910" t="s">
        <v>3911</v>
      </c>
      <c r="B910" t="s">
        <v>452</v>
      </c>
      <c r="C910" t="s">
        <v>1366</v>
      </c>
      <c r="D910" t="s">
        <v>1594</v>
      </c>
      <c r="E910" t="s">
        <v>453</v>
      </c>
      <c r="F910" t="s">
        <v>1587</v>
      </c>
      <c r="G910">
        <v>9.1173990000000007</v>
      </c>
      <c r="H910">
        <v>-79.738847000000007</v>
      </c>
      <c r="I910" t="s">
        <v>1595</v>
      </c>
      <c r="J910">
        <v>300</v>
      </c>
      <c r="K910">
        <v>1895</v>
      </c>
      <c r="L910">
        <v>1895</v>
      </c>
      <c r="M910" t="s">
        <v>222</v>
      </c>
      <c r="N910" t="s">
        <v>222</v>
      </c>
      <c r="O910" t="s">
        <v>3906</v>
      </c>
      <c r="P910" t="s">
        <v>3912</v>
      </c>
      <c r="Q910" t="str">
        <f>IF($C910="","",IFERROR(VLOOKUP($C910,sources!$A$2:$N$200,2,FALSE()),"?"))</f>
        <v>Map</v>
      </c>
      <c r="S910" t="str">
        <f>IF($C910="","",IFERROR(VLOOKUP($C910,sources!$A$2:$N$200,9,FALSE()),"?"))</f>
        <v>French company</v>
      </c>
    </row>
    <row r="911" spans="1:19" x14ac:dyDescent="0.2">
      <c r="A911" t="s">
        <v>3913</v>
      </c>
      <c r="B911" t="s">
        <v>611</v>
      </c>
      <c r="C911" t="s">
        <v>1366</v>
      </c>
      <c r="D911" t="s">
        <v>1594</v>
      </c>
      <c r="E911" t="s">
        <v>3914</v>
      </c>
      <c r="F911" t="s">
        <v>3285</v>
      </c>
      <c r="G911">
        <v>9.1171150000000001</v>
      </c>
      <c r="H911">
        <v>-79.732398000000003</v>
      </c>
      <c r="I911" t="s">
        <v>1595</v>
      </c>
      <c r="J911">
        <v>300</v>
      </c>
      <c r="K911">
        <v>1895</v>
      </c>
      <c r="L911">
        <v>1895</v>
      </c>
      <c r="M911" t="s">
        <v>222</v>
      </c>
      <c r="N911" t="s">
        <v>222</v>
      </c>
      <c r="O911" t="s">
        <v>3906</v>
      </c>
      <c r="P911" t="s">
        <v>3915</v>
      </c>
      <c r="Q911" t="str">
        <f>IF($C911="","",IFERROR(VLOOKUP($C911,sources!$A$2:$N$200,2,FALSE()),"?"))</f>
        <v>Map</v>
      </c>
      <c r="S911" t="str">
        <f>IF($C911="","",IFERROR(VLOOKUP($C911,sources!$A$2:$N$200,9,FALSE()),"?"))</f>
        <v>French company</v>
      </c>
    </row>
    <row r="912" spans="1:19" x14ac:dyDescent="0.2">
      <c r="A912" t="s">
        <v>3916</v>
      </c>
      <c r="B912" t="s">
        <v>611</v>
      </c>
      <c r="C912" t="s">
        <v>1366</v>
      </c>
      <c r="D912" t="s">
        <v>1585</v>
      </c>
      <c r="E912" t="s">
        <v>3914</v>
      </c>
      <c r="F912" t="s">
        <v>3285</v>
      </c>
      <c r="I912" t="s">
        <v>1077</v>
      </c>
      <c r="K912">
        <v>1895</v>
      </c>
      <c r="L912">
        <v>1895</v>
      </c>
      <c r="M912" t="s">
        <v>222</v>
      </c>
      <c r="N912" t="s">
        <v>222</v>
      </c>
      <c r="O912" t="s">
        <v>3906</v>
      </c>
      <c r="P912" t="s">
        <v>3917</v>
      </c>
      <c r="Q912" t="str">
        <f>IF($C912="","",IFERROR(VLOOKUP($C912,sources!$A$2:$N$200,2,FALSE()),"?"))</f>
        <v>Map</v>
      </c>
      <c r="S912" t="str">
        <f>IF($C912="","",IFERROR(VLOOKUP($C912,sources!$A$2:$N$200,9,FALSE()),"?"))</f>
        <v>French company</v>
      </c>
    </row>
    <row r="913" spans="1:19" x14ac:dyDescent="0.2">
      <c r="A913" t="s">
        <v>3918</v>
      </c>
      <c r="B913" t="s">
        <v>354</v>
      </c>
      <c r="C913" t="s">
        <v>1366</v>
      </c>
      <c r="D913" t="s">
        <v>1599</v>
      </c>
      <c r="E913" t="s">
        <v>3919</v>
      </c>
      <c r="F913" t="s">
        <v>1587</v>
      </c>
      <c r="G913">
        <v>8.9594100000000001</v>
      </c>
      <c r="H913">
        <v>-79.561989999999994</v>
      </c>
      <c r="I913" t="s">
        <v>1595</v>
      </c>
      <c r="J913">
        <v>300</v>
      </c>
      <c r="K913">
        <v>1895</v>
      </c>
      <c r="L913">
        <v>1895</v>
      </c>
      <c r="M913" t="s">
        <v>222</v>
      </c>
      <c r="N913" t="s">
        <v>228</v>
      </c>
      <c r="O913" t="s">
        <v>3906</v>
      </c>
      <c r="P913" t="s">
        <v>3920</v>
      </c>
      <c r="Q913" t="str">
        <f>IF($C913="","",IFERROR(VLOOKUP($C913,sources!$A$2:$N$200,2,FALSE()),"?"))</f>
        <v>Map</v>
      </c>
      <c r="S913" t="str">
        <f>IF($C913="","",IFERROR(VLOOKUP($C913,sources!$A$2:$N$200,9,FALSE()),"?"))</f>
        <v>French company</v>
      </c>
    </row>
    <row r="914" spans="1:19" x14ac:dyDescent="0.2">
      <c r="A914" t="s">
        <v>3921</v>
      </c>
      <c r="B914" t="s">
        <v>509</v>
      </c>
      <c r="C914" t="s">
        <v>1366</v>
      </c>
      <c r="D914" t="s">
        <v>1585</v>
      </c>
      <c r="E914" t="s">
        <v>3922</v>
      </c>
      <c r="F914" t="s">
        <v>1587</v>
      </c>
      <c r="I914" t="s">
        <v>1077</v>
      </c>
      <c r="K914">
        <v>1895</v>
      </c>
      <c r="L914">
        <v>1895</v>
      </c>
      <c r="M914" t="s">
        <v>222</v>
      </c>
      <c r="N914" t="s">
        <v>228</v>
      </c>
      <c r="O914" t="s">
        <v>3906</v>
      </c>
      <c r="P914" t="s">
        <v>3923</v>
      </c>
      <c r="Q914" t="str">
        <f>IF($C914="","",IFERROR(VLOOKUP($C914,sources!$A$2:$N$200,2,FALSE()),"?"))</f>
        <v>Map</v>
      </c>
      <c r="S914" t="str">
        <f>IF($C914="","",IFERROR(VLOOKUP($C914,sources!$A$2:$N$200,9,FALSE()),"?"))</f>
        <v>French company</v>
      </c>
    </row>
    <row r="915" spans="1:19" x14ac:dyDescent="0.2">
      <c r="A915" t="s">
        <v>3924</v>
      </c>
      <c r="B915" t="s">
        <v>649</v>
      </c>
      <c r="C915" t="s">
        <v>1366</v>
      </c>
      <c r="D915" t="s">
        <v>1585</v>
      </c>
      <c r="E915" t="s">
        <v>3925</v>
      </c>
      <c r="F915" t="s">
        <v>1587</v>
      </c>
      <c r="I915" t="s">
        <v>1077</v>
      </c>
      <c r="K915">
        <v>1895</v>
      </c>
      <c r="L915">
        <v>1895</v>
      </c>
      <c r="M915" t="s">
        <v>222</v>
      </c>
      <c r="N915" t="s">
        <v>222</v>
      </c>
      <c r="O915" t="s">
        <v>3906</v>
      </c>
      <c r="P915" t="s">
        <v>3926</v>
      </c>
      <c r="Q915" t="str">
        <f>IF($C915="","",IFERROR(VLOOKUP($C915,sources!$A$2:$N$200,2,FALSE()),"?"))</f>
        <v>Map</v>
      </c>
      <c r="S915" t="str">
        <f>IF($C915="","",IFERROR(VLOOKUP($C915,sources!$A$2:$N$200,9,FALSE()),"?"))</f>
        <v>French company</v>
      </c>
    </row>
    <row r="916" spans="1:19" x14ac:dyDescent="0.2">
      <c r="A916" t="s">
        <v>3927</v>
      </c>
      <c r="B916" t="s">
        <v>218</v>
      </c>
      <c r="C916" t="s">
        <v>1366</v>
      </c>
      <c r="D916" t="s">
        <v>1666</v>
      </c>
      <c r="E916" t="s">
        <v>219</v>
      </c>
      <c r="F916" t="s">
        <v>1612</v>
      </c>
      <c r="I916" t="s">
        <v>1077</v>
      </c>
      <c r="K916">
        <v>1895</v>
      </c>
      <c r="L916">
        <v>1895</v>
      </c>
      <c r="M916" t="s">
        <v>228</v>
      </c>
      <c r="N916" t="s">
        <v>209</v>
      </c>
      <c r="O916" t="s">
        <v>3906</v>
      </c>
      <c r="P916" t="s">
        <v>3928</v>
      </c>
      <c r="Q916" t="str">
        <f>IF($C916="","",IFERROR(VLOOKUP($C916,sources!$A$2:$N$200,2,FALSE()),"?"))</f>
        <v>Map</v>
      </c>
      <c r="S916" t="str">
        <f>IF($C916="","",IFERROR(VLOOKUP($C916,sources!$A$2:$N$200,9,FALSE()),"?"))</f>
        <v>French company</v>
      </c>
    </row>
    <row r="917" spans="1:19" x14ac:dyDescent="0.2">
      <c r="A917" t="s">
        <v>3929</v>
      </c>
      <c r="B917" t="s">
        <v>506</v>
      </c>
      <c r="C917" t="s">
        <v>1366</v>
      </c>
      <c r="D917" t="s">
        <v>1666</v>
      </c>
      <c r="E917" t="s">
        <v>507</v>
      </c>
      <c r="F917" t="s">
        <v>1612</v>
      </c>
      <c r="I917" t="s">
        <v>1077</v>
      </c>
      <c r="K917">
        <v>1895</v>
      </c>
      <c r="L917">
        <v>1895</v>
      </c>
      <c r="M917" t="s">
        <v>228</v>
      </c>
      <c r="N917" t="s">
        <v>222</v>
      </c>
      <c r="O917" t="s">
        <v>3906</v>
      </c>
      <c r="P917" t="s">
        <v>3930</v>
      </c>
      <c r="Q917" t="str">
        <f>IF($C917="","",IFERROR(VLOOKUP($C917,sources!$A$2:$N$200,2,FALSE()),"?"))</f>
        <v>Map</v>
      </c>
      <c r="S917" t="str">
        <f>IF($C917="","",IFERROR(VLOOKUP($C917,sources!$A$2:$N$200,9,FALSE()),"?"))</f>
        <v>French company</v>
      </c>
    </row>
    <row r="918" spans="1:19" x14ac:dyDescent="0.2">
      <c r="A918" t="s">
        <v>3931</v>
      </c>
      <c r="B918" t="s">
        <v>522</v>
      </c>
      <c r="C918" t="s">
        <v>1366</v>
      </c>
      <c r="D918" t="s">
        <v>1666</v>
      </c>
      <c r="E918" t="s">
        <v>523</v>
      </c>
      <c r="F918" t="s">
        <v>1612</v>
      </c>
      <c r="I918" t="s">
        <v>1077</v>
      </c>
      <c r="K918">
        <v>1895</v>
      </c>
      <c r="L918">
        <v>1895</v>
      </c>
      <c r="M918" t="s">
        <v>228</v>
      </c>
      <c r="N918" t="s">
        <v>222</v>
      </c>
      <c r="O918" t="s">
        <v>3906</v>
      </c>
      <c r="P918" t="s">
        <v>3932</v>
      </c>
      <c r="Q918" t="str">
        <f>IF($C918="","",IFERROR(VLOOKUP($C918,sources!$A$2:$N$200,2,FALSE()),"?"))</f>
        <v>Map</v>
      </c>
      <c r="S918" t="str">
        <f>IF($C918="","",IFERROR(VLOOKUP($C918,sources!$A$2:$N$200,9,FALSE()),"?"))</f>
        <v>French company</v>
      </c>
    </row>
    <row r="919" spans="1:19" x14ac:dyDescent="0.2">
      <c r="A919" t="s">
        <v>3933</v>
      </c>
      <c r="B919" t="s">
        <v>649</v>
      </c>
      <c r="C919" t="s">
        <v>1366</v>
      </c>
      <c r="D919" t="s">
        <v>1666</v>
      </c>
      <c r="E919" t="s">
        <v>3934</v>
      </c>
      <c r="F919" t="s">
        <v>1612</v>
      </c>
      <c r="I919" t="s">
        <v>1077</v>
      </c>
      <c r="K919">
        <v>1895</v>
      </c>
      <c r="L919">
        <v>1895</v>
      </c>
      <c r="M919" t="s">
        <v>228</v>
      </c>
      <c r="N919" t="s">
        <v>228</v>
      </c>
      <c r="O919" t="s">
        <v>3906</v>
      </c>
      <c r="P919" t="s">
        <v>3935</v>
      </c>
      <c r="Q919" t="str">
        <f>IF($C919="","",IFERROR(VLOOKUP($C919,sources!$A$2:$N$200,2,FALSE()),"?"))</f>
        <v>Map</v>
      </c>
      <c r="S919" t="str">
        <f>IF($C919="","",IFERROR(VLOOKUP($C919,sources!$A$2:$N$200,9,FALSE()),"?"))</f>
        <v>French company</v>
      </c>
    </row>
    <row r="920" spans="1:19" x14ac:dyDescent="0.2">
      <c r="A920" t="s">
        <v>3936</v>
      </c>
      <c r="B920" t="s">
        <v>739</v>
      </c>
      <c r="C920" t="s">
        <v>1330</v>
      </c>
      <c r="D920" t="s">
        <v>1594</v>
      </c>
      <c r="E920" t="s">
        <v>338</v>
      </c>
      <c r="F920" t="s">
        <v>1612</v>
      </c>
      <c r="G920">
        <v>9.0482089999999999</v>
      </c>
      <c r="H920">
        <v>-79.654803999999999</v>
      </c>
      <c r="I920" t="s">
        <v>1595</v>
      </c>
      <c r="J920">
        <v>100</v>
      </c>
      <c r="K920">
        <v>1910</v>
      </c>
      <c r="L920">
        <v>1910</v>
      </c>
      <c r="M920" t="s">
        <v>222</v>
      </c>
      <c r="N920" t="s">
        <v>222</v>
      </c>
      <c r="O920" t="s">
        <v>3937</v>
      </c>
      <c r="P920" t="s">
        <v>3938</v>
      </c>
      <c r="Q920" t="str">
        <f>IF($C920="","",IFERROR(VLOOKUP($C920,sources!$A$2:$N$200,2,FALSE()),"?"))</f>
        <v>Map</v>
      </c>
      <c r="S920" t="str">
        <f>IF($C920="","",IFERROR(VLOOKUP($C920,sources!$A$2:$N$200,9,FALSE()),"?"))</f>
        <v>US official</v>
      </c>
    </row>
    <row r="921" spans="1:19" x14ac:dyDescent="0.2">
      <c r="A921" t="s">
        <v>3939</v>
      </c>
      <c r="B921" t="s">
        <v>746</v>
      </c>
      <c r="C921" t="s">
        <v>1330</v>
      </c>
      <c r="D921" t="s">
        <v>1594</v>
      </c>
      <c r="E921" t="s">
        <v>3940</v>
      </c>
      <c r="F921" t="s">
        <v>1612</v>
      </c>
      <c r="G921">
        <v>9.0507100000000005</v>
      </c>
      <c r="H921">
        <v>-79.656959999999998</v>
      </c>
      <c r="I921" t="s">
        <v>1595</v>
      </c>
      <c r="J921">
        <v>150</v>
      </c>
      <c r="K921">
        <v>1910</v>
      </c>
      <c r="L921">
        <v>1910</v>
      </c>
      <c r="M921" t="s">
        <v>222</v>
      </c>
      <c r="N921" t="s">
        <v>222</v>
      </c>
      <c r="O921" t="s">
        <v>3941</v>
      </c>
      <c r="P921" t="s">
        <v>3942</v>
      </c>
      <c r="Q921" t="str">
        <f>IF($C921="","",IFERROR(VLOOKUP($C921,sources!$A$2:$N$200,2,FALSE()),"?"))</f>
        <v>Map</v>
      </c>
      <c r="S921" t="str">
        <f>IF($C921="","",IFERROR(VLOOKUP($C921,sources!$A$2:$N$200,9,FALSE()),"?"))</f>
        <v>US official</v>
      </c>
    </row>
    <row r="922" spans="1:19" x14ac:dyDescent="0.2">
      <c r="A922" t="s">
        <v>3943</v>
      </c>
      <c r="B922" t="s">
        <v>730</v>
      </c>
      <c r="C922" t="s">
        <v>1330</v>
      </c>
      <c r="D922" t="s">
        <v>1666</v>
      </c>
      <c r="E922" t="s">
        <v>731</v>
      </c>
      <c r="F922" t="s">
        <v>1612</v>
      </c>
      <c r="I922" t="s">
        <v>1077</v>
      </c>
      <c r="K922">
        <v>1910</v>
      </c>
      <c r="L922">
        <v>1910</v>
      </c>
      <c r="M922" t="s">
        <v>228</v>
      </c>
      <c r="N922" t="s">
        <v>228</v>
      </c>
      <c r="O922" t="s">
        <v>3941</v>
      </c>
      <c r="P922" t="s">
        <v>3944</v>
      </c>
      <c r="Q922" t="str">
        <f>IF($C922="","",IFERROR(VLOOKUP($C922,sources!$A$2:$N$200,2,FALSE()),"?"))</f>
        <v>Map</v>
      </c>
      <c r="S922" t="str">
        <f>IF($C922="","",IFERROR(VLOOKUP($C922,sources!$A$2:$N$200,9,FALSE()),"?"))</f>
        <v>US official</v>
      </c>
    </row>
    <row r="923" spans="1:19" x14ac:dyDescent="0.2">
      <c r="A923" t="s">
        <v>3945</v>
      </c>
      <c r="B923" t="s">
        <v>733</v>
      </c>
      <c r="C923" t="s">
        <v>1330</v>
      </c>
      <c r="D923" t="s">
        <v>1666</v>
      </c>
      <c r="E923" t="s">
        <v>734</v>
      </c>
      <c r="F923" t="s">
        <v>1612</v>
      </c>
      <c r="I923" t="s">
        <v>1077</v>
      </c>
      <c r="K923">
        <v>1910</v>
      </c>
      <c r="L923">
        <v>1910</v>
      </c>
      <c r="M923" t="s">
        <v>228</v>
      </c>
      <c r="N923" t="s">
        <v>228</v>
      </c>
      <c r="O923" t="s">
        <v>3941</v>
      </c>
      <c r="P923" t="s">
        <v>3946</v>
      </c>
      <c r="Q923" t="str">
        <f>IF($C923="","",IFERROR(VLOOKUP($C923,sources!$A$2:$N$200,2,FALSE()),"?"))</f>
        <v>Map</v>
      </c>
      <c r="S923" t="str">
        <f>IF($C923="","",IFERROR(VLOOKUP($C923,sources!$A$2:$N$200,9,FALSE()),"?"))</f>
        <v>US official</v>
      </c>
    </row>
    <row r="924" spans="1:19" x14ac:dyDescent="0.2">
      <c r="A924" t="s">
        <v>3947</v>
      </c>
      <c r="B924" t="s">
        <v>736</v>
      </c>
      <c r="C924" t="s">
        <v>1330</v>
      </c>
      <c r="D924" t="s">
        <v>1666</v>
      </c>
      <c r="E924" t="s">
        <v>737</v>
      </c>
      <c r="F924" t="s">
        <v>1612</v>
      </c>
      <c r="I924" t="s">
        <v>1077</v>
      </c>
      <c r="K924">
        <v>1910</v>
      </c>
      <c r="L924">
        <v>1910</v>
      </c>
      <c r="M924" t="s">
        <v>228</v>
      </c>
      <c r="N924" t="s">
        <v>228</v>
      </c>
      <c r="O924" t="s">
        <v>3941</v>
      </c>
      <c r="P924" t="s">
        <v>3948</v>
      </c>
      <c r="Q924" t="str">
        <f>IF($C924="","",IFERROR(VLOOKUP($C924,sources!$A$2:$N$200,2,FALSE()),"?"))</f>
        <v>Map</v>
      </c>
      <c r="S924" t="str">
        <f>IF($C924="","",IFERROR(VLOOKUP($C924,sources!$A$2:$N$200,9,FALSE()),"?"))</f>
        <v>US official</v>
      </c>
    </row>
    <row r="925" spans="1:19" x14ac:dyDescent="0.2">
      <c r="A925" t="s">
        <v>3949</v>
      </c>
      <c r="B925" t="s">
        <v>742</v>
      </c>
      <c r="C925" t="s">
        <v>1330</v>
      </c>
      <c r="D925" t="s">
        <v>1666</v>
      </c>
      <c r="E925" t="s">
        <v>743</v>
      </c>
      <c r="F925" t="s">
        <v>1612</v>
      </c>
      <c r="I925" t="s">
        <v>1077</v>
      </c>
      <c r="K925">
        <v>1910</v>
      </c>
      <c r="L925">
        <v>1910</v>
      </c>
      <c r="M925" t="s">
        <v>228</v>
      </c>
      <c r="N925" t="s">
        <v>228</v>
      </c>
      <c r="O925" t="s">
        <v>3941</v>
      </c>
      <c r="P925" t="s">
        <v>3950</v>
      </c>
      <c r="Q925" t="str">
        <f>IF($C925="","",IFERROR(VLOOKUP($C925,sources!$A$2:$N$200,2,FALSE()),"?"))</f>
        <v>Map</v>
      </c>
      <c r="S925" t="str">
        <f>IF($C925="","",IFERROR(VLOOKUP($C925,sources!$A$2:$N$200,9,FALSE()),"?"))</f>
        <v>US official</v>
      </c>
    </row>
    <row r="926" spans="1:19" x14ac:dyDescent="0.2">
      <c r="A926" t="s">
        <v>3951</v>
      </c>
      <c r="B926" t="s">
        <v>749</v>
      </c>
      <c r="C926" t="s">
        <v>1330</v>
      </c>
      <c r="D926" t="s">
        <v>1666</v>
      </c>
      <c r="E926" t="s">
        <v>750</v>
      </c>
      <c r="F926" t="s">
        <v>1612</v>
      </c>
      <c r="I926" t="s">
        <v>1077</v>
      </c>
      <c r="K926">
        <v>1910</v>
      </c>
      <c r="L926">
        <v>1910</v>
      </c>
      <c r="M926" t="s">
        <v>228</v>
      </c>
      <c r="N926" t="s">
        <v>228</v>
      </c>
      <c r="O926" t="s">
        <v>3941</v>
      </c>
      <c r="P926" t="s">
        <v>3952</v>
      </c>
      <c r="Q926" t="str">
        <f>IF($C926="","",IFERROR(VLOOKUP($C926,sources!$A$2:$N$200,2,FALSE()),"?"))</f>
        <v>Map</v>
      </c>
      <c r="S926" t="str">
        <f>IF($C926="","",IFERROR(VLOOKUP($C926,sources!$A$2:$N$200,9,FALSE()),"?"))</f>
        <v>US official</v>
      </c>
    </row>
    <row r="927" spans="1:19" x14ac:dyDescent="0.2">
      <c r="A927" t="s">
        <v>3953</v>
      </c>
      <c r="B927" t="s">
        <v>752</v>
      </c>
      <c r="C927" t="s">
        <v>1330</v>
      </c>
      <c r="D927" t="s">
        <v>1666</v>
      </c>
      <c r="E927" t="s">
        <v>753</v>
      </c>
      <c r="F927" t="s">
        <v>1612</v>
      </c>
      <c r="I927" t="s">
        <v>1077</v>
      </c>
      <c r="K927">
        <v>1910</v>
      </c>
      <c r="L927">
        <v>1910</v>
      </c>
      <c r="M927" t="s">
        <v>228</v>
      </c>
      <c r="N927" t="s">
        <v>228</v>
      </c>
      <c r="O927" t="s">
        <v>3941</v>
      </c>
      <c r="P927" t="s">
        <v>3954</v>
      </c>
      <c r="Q927" t="str">
        <f>IF($C927="","",IFERROR(VLOOKUP($C927,sources!$A$2:$N$200,2,FALSE()),"?"))</f>
        <v>Map</v>
      </c>
      <c r="S927" t="str">
        <f>IF($C927="","",IFERROR(VLOOKUP($C927,sources!$A$2:$N$200,9,FALSE()),"?"))</f>
        <v>US official</v>
      </c>
    </row>
    <row r="928" spans="1:19" x14ac:dyDescent="0.2">
      <c r="A928" t="s">
        <v>3955</v>
      </c>
      <c r="B928" t="s">
        <v>759</v>
      </c>
      <c r="C928" t="s">
        <v>1330</v>
      </c>
      <c r="D928" t="s">
        <v>1666</v>
      </c>
      <c r="E928" t="s">
        <v>760</v>
      </c>
      <c r="F928" t="s">
        <v>1612</v>
      </c>
      <c r="I928" t="s">
        <v>1077</v>
      </c>
      <c r="K928">
        <v>1910</v>
      </c>
      <c r="L928">
        <v>1910</v>
      </c>
      <c r="M928" t="s">
        <v>228</v>
      </c>
      <c r="N928" t="s">
        <v>228</v>
      </c>
      <c r="O928" t="s">
        <v>3941</v>
      </c>
      <c r="P928" t="s">
        <v>3956</v>
      </c>
      <c r="Q928" t="str">
        <f>IF($C928="","",IFERROR(VLOOKUP($C928,sources!$A$2:$N$200,2,FALSE()),"?"))</f>
        <v>Map</v>
      </c>
      <c r="S928" t="str">
        <f>IF($C928="","",IFERROR(VLOOKUP($C928,sources!$A$2:$N$200,9,FALSE()),"?"))</f>
        <v>US official</v>
      </c>
    </row>
    <row r="929" spans="1:19" x14ac:dyDescent="0.2">
      <c r="A929" t="s">
        <v>3957</v>
      </c>
      <c r="B929" t="s">
        <v>765</v>
      </c>
      <c r="C929" t="s">
        <v>1330</v>
      </c>
      <c r="D929" t="s">
        <v>1666</v>
      </c>
      <c r="E929" t="s">
        <v>766</v>
      </c>
      <c r="F929" t="s">
        <v>1612</v>
      </c>
      <c r="I929" t="s">
        <v>1077</v>
      </c>
      <c r="K929">
        <v>1910</v>
      </c>
      <c r="L929">
        <v>1910</v>
      </c>
      <c r="M929" t="s">
        <v>228</v>
      </c>
      <c r="N929" t="s">
        <v>228</v>
      </c>
      <c r="O929" t="s">
        <v>3941</v>
      </c>
      <c r="P929" t="s">
        <v>3958</v>
      </c>
      <c r="Q929" t="str">
        <f>IF($C929="","",IFERROR(VLOOKUP($C929,sources!$A$2:$N$200,2,FALSE()),"?"))</f>
        <v>Map</v>
      </c>
      <c r="S929" t="str">
        <f>IF($C929="","",IFERROR(VLOOKUP($C929,sources!$A$2:$N$200,9,FALSE()),"?"))</f>
        <v>US official</v>
      </c>
    </row>
    <row r="930" spans="1:19" x14ac:dyDescent="0.2">
      <c r="A930" t="s">
        <v>3959</v>
      </c>
      <c r="B930" t="s">
        <v>756</v>
      </c>
      <c r="C930" t="s">
        <v>1330</v>
      </c>
      <c r="D930" t="s">
        <v>1666</v>
      </c>
      <c r="E930" t="s">
        <v>757</v>
      </c>
      <c r="F930" t="s">
        <v>1612</v>
      </c>
      <c r="I930" t="s">
        <v>1077</v>
      </c>
      <c r="K930">
        <v>1910</v>
      </c>
      <c r="L930">
        <v>1910</v>
      </c>
      <c r="M930" t="s">
        <v>228</v>
      </c>
      <c r="N930" t="s">
        <v>228</v>
      </c>
      <c r="O930" t="s">
        <v>3941</v>
      </c>
      <c r="P930" t="s">
        <v>3960</v>
      </c>
      <c r="Q930" t="str">
        <f>IF($C930="","",IFERROR(VLOOKUP($C930,sources!$A$2:$N$200,2,FALSE()),"?"))</f>
        <v>Map</v>
      </c>
      <c r="S930" t="str">
        <f>IF($C930="","",IFERROR(VLOOKUP($C930,sources!$A$2:$N$200,9,FALSE()),"?"))</f>
        <v>US official</v>
      </c>
    </row>
    <row r="931" spans="1:19" x14ac:dyDescent="0.2">
      <c r="A931" t="s">
        <v>3961</v>
      </c>
      <c r="B931" t="s">
        <v>762</v>
      </c>
      <c r="C931" t="s">
        <v>1330</v>
      </c>
      <c r="D931" t="s">
        <v>1666</v>
      </c>
      <c r="E931" t="s">
        <v>763</v>
      </c>
      <c r="F931" t="s">
        <v>1612</v>
      </c>
      <c r="I931" t="s">
        <v>1077</v>
      </c>
      <c r="K931">
        <v>1910</v>
      </c>
      <c r="L931">
        <v>1910</v>
      </c>
      <c r="M931" t="s">
        <v>228</v>
      </c>
      <c r="N931" t="s">
        <v>228</v>
      </c>
      <c r="O931" t="s">
        <v>3941</v>
      </c>
      <c r="P931" t="s">
        <v>3960</v>
      </c>
      <c r="Q931" t="str">
        <f>IF($C931="","",IFERROR(VLOOKUP($C931,sources!$A$2:$N$200,2,FALSE()),"?"))</f>
        <v>Map</v>
      </c>
      <c r="S931" t="str">
        <f>IF($C931="","",IFERROR(VLOOKUP($C931,sources!$A$2:$N$200,9,FALSE()),"?"))</f>
        <v>US official</v>
      </c>
    </row>
    <row r="932" spans="1:19" x14ac:dyDescent="0.2">
      <c r="A932" t="s">
        <v>3962</v>
      </c>
      <c r="B932" t="s">
        <v>768</v>
      </c>
      <c r="C932" t="s">
        <v>1330</v>
      </c>
      <c r="D932" t="s">
        <v>1666</v>
      </c>
      <c r="E932" t="s">
        <v>769</v>
      </c>
      <c r="F932" t="s">
        <v>1612</v>
      </c>
      <c r="I932" t="s">
        <v>1077</v>
      </c>
      <c r="K932">
        <v>1910</v>
      </c>
      <c r="L932">
        <v>1910</v>
      </c>
      <c r="M932" t="s">
        <v>228</v>
      </c>
      <c r="N932" t="s">
        <v>228</v>
      </c>
      <c r="O932" t="s">
        <v>3941</v>
      </c>
      <c r="P932" t="s">
        <v>3960</v>
      </c>
      <c r="Q932" t="str">
        <f>IF($C932="","",IFERROR(VLOOKUP($C932,sources!$A$2:$N$200,2,FALSE()),"?"))</f>
        <v>Map</v>
      </c>
      <c r="S932" t="str">
        <f>IF($C932="","",IFERROR(VLOOKUP($C932,sources!$A$2:$N$200,9,FALSE()),"?"))</f>
        <v>US official</v>
      </c>
    </row>
    <row r="933" spans="1:19" x14ac:dyDescent="0.2">
      <c r="A933" t="s">
        <v>3963</v>
      </c>
      <c r="B933" t="s">
        <v>503</v>
      </c>
      <c r="C933" t="s">
        <v>1167</v>
      </c>
      <c r="D933" t="s">
        <v>1599</v>
      </c>
      <c r="E933" t="s">
        <v>504</v>
      </c>
      <c r="F933" t="s">
        <v>1612</v>
      </c>
      <c r="I933" t="s">
        <v>1077</v>
      </c>
      <c r="K933">
        <v>1919</v>
      </c>
      <c r="L933">
        <v>1920</v>
      </c>
      <c r="M933" t="s">
        <v>228</v>
      </c>
      <c r="N933" t="s">
        <v>222</v>
      </c>
      <c r="O933" t="s">
        <v>3964</v>
      </c>
      <c r="P933" t="s">
        <v>3965</v>
      </c>
      <c r="Q933" t="str">
        <f>IF($C933="","",IFERROR(VLOOKUP($C933,sources!$A$2:$N$200,2,FALSE()),"?"))</f>
        <v>Report</v>
      </c>
      <c r="S933" t="str">
        <f>IF($C933="","",IFERROR(VLOOKUP($C933,sources!$A$2:$N$200,9,FALSE()),"?"))</f>
        <v>US official</v>
      </c>
    </row>
    <row r="934" spans="1:19" x14ac:dyDescent="0.2">
      <c r="A934" t="s">
        <v>3966</v>
      </c>
      <c r="B934" t="s">
        <v>514</v>
      </c>
      <c r="C934" t="s">
        <v>1167</v>
      </c>
      <c r="D934" t="s">
        <v>1599</v>
      </c>
      <c r="E934" t="s">
        <v>515</v>
      </c>
      <c r="F934" t="s">
        <v>1612</v>
      </c>
      <c r="I934" t="s">
        <v>1077</v>
      </c>
      <c r="K934">
        <v>1911</v>
      </c>
      <c r="L934">
        <v>1912</v>
      </c>
      <c r="M934" t="s">
        <v>228</v>
      </c>
      <c r="N934" t="s">
        <v>228</v>
      </c>
      <c r="O934" t="s">
        <v>3964</v>
      </c>
      <c r="P934" t="s">
        <v>3967</v>
      </c>
      <c r="Q934" t="str">
        <f>IF($C934="","",IFERROR(VLOOKUP($C934,sources!$A$2:$N$200,2,FALSE()),"?"))</f>
        <v>Report</v>
      </c>
      <c r="S934" t="str">
        <f>IF($C934="","",IFERROR(VLOOKUP($C934,sources!$A$2:$N$200,9,FALSE()),"?"))</f>
        <v>US official</v>
      </c>
    </row>
    <row r="935" spans="1:19" x14ac:dyDescent="0.2">
      <c r="A935" t="s">
        <v>3968</v>
      </c>
      <c r="B935" t="s">
        <v>517</v>
      </c>
      <c r="C935" t="s">
        <v>1167</v>
      </c>
      <c r="D935" t="s">
        <v>1599</v>
      </c>
      <c r="E935" t="s">
        <v>518</v>
      </c>
      <c r="F935" t="s">
        <v>1612</v>
      </c>
      <c r="I935" t="s">
        <v>1077</v>
      </c>
      <c r="K935">
        <v>1911</v>
      </c>
      <c r="L935">
        <v>1912</v>
      </c>
      <c r="M935" t="s">
        <v>228</v>
      </c>
      <c r="N935" t="s">
        <v>228</v>
      </c>
      <c r="O935" t="s">
        <v>3964</v>
      </c>
      <c r="P935" t="s">
        <v>3969</v>
      </c>
      <c r="Q935" t="str">
        <f>IF($C935="","",IFERROR(VLOOKUP($C935,sources!$A$2:$N$200,2,FALSE()),"?"))</f>
        <v>Report</v>
      </c>
      <c r="S935" t="str">
        <f>IF($C935="","",IFERROR(VLOOKUP($C935,sources!$A$2:$N$200,9,FALSE()),"?"))</f>
        <v>US official</v>
      </c>
    </row>
    <row r="936" spans="1:19" x14ac:dyDescent="0.2">
      <c r="A936" t="s">
        <v>3970</v>
      </c>
      <c r="B936" t="s">
        <v>584</v>
      </c>
      <c r="C936" t="s">
        <v>1167</v>
      </c>
      <c r="D936" t="s">
        <v>1599</v>
      </c>
      <c r="E936" t="s">
        <v>585</v>
      </c>
      <c r="F936" t="s">
        <v>1612</v>
      </c>
      <c r="I936" t="s">
        <v>1077</v>
      </c>
      <c r="K936">
        <v>1922</v>
      </c>
      <c r="L936">
        <v>1913</v>
      </c>
      <c r="M936" t="s">
        <v>228</v>
      </c>
      <c r="N936" t="s">
        <v>222</v>
      </c>
      <c r="O936" t="s">
        <v>3964</v>
      </c>
      <c r="P936" t="s">
        <v>3971</v>
      </c>
      <c r="Q936" t="str">
        <f>IF($C936="","",IFERROR(VLOOKUP($C936,sources!$A$2:$N$200,2,FALSE()),"?"))</f>
        <v>Report</v>
      </c>
      <c r="S936" t="str">
        <f>IF($C936="","",IFERROR(VLOOKUP($C936,sources!$A$2:$N$200,9,FALSE()),"?"))</f>
        <v>US official</v>
      </c>
    </row>
    <row r="937" spans="1:19" x14ac:dyDescent="0.2">
      <c r="A937" t="s">
        <v>3972</v>
      </c>
      <c r="B937" t="s">
        <v>599</v>
      </c>
      <c r="C937" t="s">
        <v>1167</v>
      </c>
      <c r="D937" t="s">
        <v>1599</v>
      </c>
      <c r="E937" t="s">
        <v>600</v>
      </c>
      <c r="F937" t="s">
        <v>1612</v>
      </c>
      <c r="I937" t="s">
        <v>1077</v>
      </c>
      <c r="K937">
        <v>1909</v>
      </c>
      <c r="L937">
        <v>1910</v>
      </c>
      <c r="M937" t="s">
        <v>228</v>
      </c>
      <c r="N937" t="s">
        <v>228</v>
      </c>
      <c r="O937" t="s">
        <v>3964</v>
      </c>
      <c r="P937" t="s">
        <v>3973</v>
      </c>
      <c r="Q937" t="str">
        <f>IF($C937="","",IFERROR(VLOOKUP($C937,sources!$A$2:$N$200,2,FALSE()),"?"))</f>
        <v>Report</v>
      </c>
      <c r="S937" t="str">
        <f>IF($C937="","",IFERROR(VLOOKUP($C937,sources!$A$2:$N$200,9,FALSE()),"?"))</f>
        <v>US official</v>
      </c>
    </row>
    <row r="938" spans="1:19" x14ac:dyDescent="0.2">
      <c r="A938" t="s">
        <v>3974</v>
      </c>
      <c r="B938" t="s">
        <v>611</v>
      </c>
      <c r="C938" t="s">
        <v>1167</v>
      </c>
      <c r="D938" t="s">
        <v>1599</v>
      </c>
      <c r="E938" t="s">
        <v>612</v>
      </c>
      <c r="F938" t="s">
        <v>1612</v>
      </c>
      <c r="I938" t="s">
        <v>1077</v>
      </c>
      <c r="K938">
        <v>1909</v>
      </c>
      <c r="L938">
        <v>1910</v>
      </c>
      <c r="M938" t="s">
        <v>228</v>
      </c>
      <c r="N938" t="s">
        <v>228</v>
      </c>
      <c r="O938" t="s">
        <v>3964</v>
      </c>
      <c r="P938" t="s">
        <v>3975</v>
      </c>
      <c r="Q938" t="str">
        <f>IF($C938="","",IFERROR(VLOOKUP($C938,sources!$A$2:$N$200,2,FALSE()),"?"))</f>
        <v>Report</v>
      </c>
      <c r="S938" t="str">
        <f>IF($C938="","",IFERROR(VLOOKUP($C938,sources!$A$2:$N$200,9,FALSE()),"?"))</f>
        <v>US official</v>
      </c>
    </row>
    <row r="939" spans="1:19" x14ac:dyDescent="0.2">
      <c r="A939" t="s">
        <v>3976</v>
      </c>
      <c r="B939" t="s">
        <v>638</v>
      </c>
      <c r="C939" t="s">
        <v>1167</v>
      </c>
      <c r="D939" t="s">
        <v>1599</v>
      </c>
      <c r="E939" t="s">
        <v>639</v>
      </c>
      <c r="F939" t="s">
        <v>1612</v>
      </c>
      <c r="I939" t="s">
        <v>1077</v>
      </c>
      <c r="K939">
        <v>1915</v>
      </c>
      <c r="L939">
        <v>1916</v>
      </c>
      <c r="M939" t="s">
        <v>222</v>
      </c>
      <c r="N939" t="s">
        <v>222</v>
      </c>
      <c r="O939" t="s">
        <v>3964</v>
      </c>
      <c r="P939" t="s">
        <v>3977</v>
      </c>
      <c r="Q939" t="str">
        <f>IF($C939="","",IFERROR(VLOOKUP($C939,sources!$A$2:$N$200,2,FALSE()),"?"))</f>
        <v>Report</v>
      </c>
      <c r="S939" t="str">
        <f>IF($C939="","",IFERROR(VLOOKUP($C939,sources!$A$2:$N$200,9,FALSE()),"?"))</f>
        <v>US official</v>
      </c>
    </row>
    <row r="940" spans="1:19" x14ac:dyDescent="0.2">
      <c r="A940" t="s">
        <v>3978</v>
      </c>
      <c r="B940" t="s">
        <v>644</v>
      </c>
      <c r="C940" t="s">
        <v>1167</v>
      </c>
      <c r="D940" t="s">
        <v>1599</v>
      </c>
      <c r="E940" t="s">
        <v>645</v>
      </c>
      <c r="F940" t="s">
        <v>1612</v>
      </c>
      <c r="I940" t="s">
        <v>1077</v>
      </c>
      <c r="K940">
        <v>1910</v>
      </c>
      <c r="L940">
        <v>1917</v>
      </c>
      <c r="M940" t="s">
        <v>228</v>
      </c>
      <c r="N940" t="s">
        <v>222</v>
      </c>
      <c r="O940" t="s">
        <v>3964</v>
      </c>
      <c r="P940" t="s">
        <v>3979</v>
      </c>
      <c r="Q940" t="str">
        <f>IF($C940="","",IFERROR(VLOOKUP($C940,sources!$A$2:$N$200,2,FALSE()),"?"))</f>
        <v>Report</v>
      </c>
      <c r="S940" t="str">
        <f>IF($C940="","",IFERROR(VLOOKUP($C940,sources!$A$2:$N$200,9,FALSE()),"?"))</f>
        <v>US official</v>
      </c>
    </row>
    <row r="941" spans="1:19" x14ac:dyDescent="0.2">
      <c r="A941" t="s">
        <v>3980</v>
      </c>
      <c r="B941" t="s">
        <v>649</v>
      </c>
      <c r="C941" t="s">
        <v>1167</v>
      </c>
      <c r="D941" t="s">
        <v>1585</v>
      </c>
      <c r="E941" t="s">
        <v>650</v>
      </c>
      <c r="F941" t="s">
        <v>1612</v>
      </c>
      <c r="I941" t="s">
        <v>1077</v>
      </c>
      <c r="K941">
        <v>1908</v>
      </c>
      <c r="L941">
        <v>1909</v>
      </c>
      <c r="M941" t="s">
        <v>228</v>
      </c>
      <c r="N941" t="s">
        <v>222</v>
      </c>
      <c r="O941" t="s">
        <v>3964</v>
      </c>
      <c r="P941" t="s">
        <v>3981</v>
      </c>
      <c r="Q941" t="str">
        <f>IF($C941="","",IFERROR(VLOOKUP($C941,sources!$A$2:$N$200,2,FALSE()),"?"))</f>
        <v>Report</v>
      </c>
      <c r="S941" t="str">
        <f>IF($C941="","",IFERROR(VLOOKUP($C941,sources!$A$2:$N$200,9,FALSE()),"?"))</f>
        <v>US official</v>
      </c>
    </row>
    <row r="942" spans="1:19" x14ac:dyDescent="0.2">
      <c r="A942" t="s">
        <v>3982</v>
      </c>
      <c r="B942" t="s">
        <v>665</v>
      </c>
      <c r="C942" t="s">
        <v>1167</v>
      </c>
      <c r="D942" t="s">
        <v>1585</v>
      </c>
      <c r="E942" t="s">
        <v>666</v>
      </c>
      <c r="F942" t="s">
        <v>1612</v>
      </c>
      <c r="I942" t="s">
        <v>1077</v>
      </c>
      <c r="K942">
        <v>1909</v>
      </c>
      <c r="L942">
        <v>1910</v>
      </c>
      <c r="M942" t="s">
        <v>228</v>
      </c>
      <c r="N942" t="s">
        <v>222</v>
      </c>
      <c r="O942" t="s">
        <v>3964</v>
      </c>
      <c r="P942" t="s">
        <v>3983</v>
      </c>
      <c r="Q942" t="str">
        <f>IF($C942="","",IFERROR(VLOOKUP($C942,sources!$A$2:$N$200,2,FALSE()),"?"))</f>
        <v>Report</v>
      </c>
      <c r="S942" t="str">
        <f>IF($C942="","",IFERROR(VLOOKUP($C942,sources!$A$2:$N$200,9,FALSE()),"?"))</f>
        <v>US official</v>
      </c>
    </row>
    <row r="943" spans="1:19" x14ac:dyDescent="0.2">
      <c r="A943" t="s">
        <v>3984</v>
      </c>
      <c r="B943" t="s">
        <v>589</v>
      </c>
      <c r="C943" t="s">
        <v>1167</v>
      </c>
      <c r="D943" t="s">
        <v>1666</v>
      </c>
      <c r="E943" t="s">
        <v>590</v>
      </c>
      <c r="F943" t="s">
        <v>1612</v>
      </c>
      <c r="I943" t="s">
        <v>1077</v>
      </c>
      <c r="K943">
        <v>1907</v>
      </c>
      <c r="L943">
        <v>1941</v>
      </c>
      <c r="M943" t="s">
        <v>228</v>
      </c>
      <c r="N943" t="s">
        <v>222</v>
      </c>
      <c r="O943" t="s">
        <v>3964</v>
      </c>
      <c r="P943" t="s">
        <v>3985</v>
      </c>
      <c r="Q943" t="str">
        <f>IF($C943="","",IFERROR(VLOOKUP($C943,sources!$A$2:$N$200,2,FALSE()),"?"))</f>
        <v>Report</v>
      </c>
      <c r="S943" t="str">
        <f>IF($C943="","",IFERROR(VLOOKUP($C943,sources!$A$2:$N$200,9,FALSE()),"?"))</f>
        <v>US official</v>
      </c>
    </row>
    <row r="944" spans="1:19" x14ac:dyDescent="0.2">
      <c r="A944" t="s">
        <v>3986</v>
      </c>
      <c r="B944" t="s">
        <v>594</v>
      </c>
      <c r="C944" t="s">
        <v>1167</v>
      </c>
      <c r="D944" t="s">
        <v>1666</v>
      </c>
      <c r="E944" t="s">
        <v>595</v>
      </c>
      <c r="F944" t="s">
        <v>1612</v>
      </c>
      <c r="I944" t="s">
        <v>1077</v>
      </c>
      <c r="K944">
        <v>1907</v>
      </c>
      <c r="L944">
        <v>1941</v>
      </c>
      <c r="M944" t="s">
        <v>228</v>
      </c>
      <c r="N944" t="s">
        <v>222</v>
      </c>
      <c r="O944" t="s">
        <v>3964</v>
      </c>
      <c r="P944" t="s">
        <v>3985</v>
      </c>
      <c r="Q944" t="str">
        <f>IF($C944="","",IFERROR(VLOOKUP($C944,sources!$A$2:$N$200,2,FALSE()),"?"))</f>
        <v>Report</v>
      </c>
      <c r="S944" t="str">
        <f>IF($C944="","",IFERROR(VLOOKUP($C944,sources!$A$2:$N$200,9,FALSE()),"?"))</f>
        <v>US official</v>
      </c>
    </row>
    <row r="945" spans="1:19" x14ac:dyDescent="0.2">
      <c r="A945" t="s">
        <v>3987</v>
      </c>
      <c r="B945" t="s">
        <v>614</v>
      </c>
      <c r="C945" t="s">
        <v>1167</v>
      </c>
      <c r="D945" t="s">
        <v>1666</v>
      </c>
      <c r="E945" t="s">
        <v>615</v>
      </c>
      <c r="F945" t="s">
        <v>1612</v>
      </c>
      <c r="I945" t="s">
        <v>1077</v>
      </c>
      <c r="K945">
        <v>1907</v>
      </c>
      <c r="L945">
        <v>1941</v>
      </c>
      <c r="M945" t="s">
        <v>228</v>
      </c>
      <c r="N945" t="s">
        <v>222</v>
      </c>
      <c r="O945" t="s">
        <v>3964</v>
      </c>
      <c r="P945" t="s">
        <v>3985</v>
      </c>
      <c r="Q945" t="str">
        <f>IF($C945="","",IFERROR(VLOOKUP($C945,sources!$A$2:$N$200,2,FALSE()),"?"))</f>
        <v>Report</v>
      </c>
      <c r="S945" t="str">
        <f>IF($C945="","",IFERROR(VLOOKUP($C945,sources!$A$2:$N$200,9,FALSE()),"?"))</f>
        <v>US official</v>
      </c>
    </row>
    <row r="946" spans="1:19" x14ac:dyDescent="0.2">
      <c r="A946" t="s">
        <v>3988</v>
      </c>
      <c r="B946" t="s">
        <v>622</v>
      </c>
      <c r="C946" t="s">
        <v>1167</v>
      </c>
      <c r="D946" t="s">
        <v>1666</v>
      </c>
      <c r="E946" t="s">
        <v>623</v>
      </c>
      <c r="F946" t="s">
        <v>1612</v>
      </c>
      <c r="I946" t="s">
        <v>1077</v>
      </c>
      <c r="K946">
        <v>1907</v>
      </c>
      <c r="L946">
        <v>1941</v>
      </c>
      <c r="M946" t="s">
        <v>228</v>
      </c>
      <c r="N946" t="s">
        <v>222</v>
      </c>
      <c r="O946" t="s">
        <v>3964</v>
      </c>
      <c r="P946" t="s">
        <v>3985</v>
      </c>
      <c r="Q946" t="str">
        <f>IF($C946="","",IFERROR(VLOOKUP($C946,sources!$A$2:$N$200,2,FALSE()),"?"))</f>
        <v>Report</v>
      </c>
      <c r="S946" t="str">
        <f>IF($C946="","",IFERROR(VLOOKUP($C946,sources!$A$2:$N$200,9,FALSE()),"?"))</f>
        <v>US official</v>
      </c>
    </row>
    <row r="947" spans="1:19" x14ac:dyDescent="0.2">
      <c r="A947" t="s">
        <v>3989</v>
      </c>
      <c r="B947" t="s">
        <v>626</v>
      </c>
      <c r="C947" t="s">
        <v>1167</v>
      </c>
      <c r="D947" t="s">
        <v>1666</v>
      </c>
      <c r="E947" t="s">
        <v>627</v>
      </c>
      <c r="F947" t="s">
        <v>1612</v>
      </c>
      <c r="I947" t="s">
        <v>1077</v>
      </c>
      <c r="K947">
        <v>1907</v>
      </c>
      <c r="L947">
        <v>1941</v>
      </c>
      <c r="M947" t="s">
        <v>228</v>
      </c>
      <c r="N947" t="s">
        <v>222</v>
      </c>
      <c r="O947" t="s">
        <v>3964</v>
      </c>
      <c r="P947" t="s">
        <v>3985</v>
      </c>
      <c r="Q947" t="str">
        <f>IF($C947="","",IFERROR(VLOOKUP($C947,sources!$A$2:$N$200,2,FALSE()),"?"))</f>
        <v>Report</v>
      </c>
      <c r="S947" t="str">
        <f>IF($C947="","",IFERROR(VLOOKUP($C947,sources!$A$2:$N$200,9,FALSE()),"?"))</f>
        <v>US official</v>
      </c>
    </row>
    <row r="948" spans="1:19" x14ac:dyDescent="0.2">
      <c r="A948" t="s">
        <v>3990</v>
      </c>
      <c r="B948" t="s">
        <v>654</v>
      </c>
      <c r="C948" t="s">
        <v>1167</v>
      </c>
      <c r="D948" t="s">
        <v>1666</v>
      </c>
      <c r="E948" t="s">
        <v>655</v>
      </c>
      <c r="F948" t="s">
        <v>1612</v>
      </c>
      <c r="I948" t="s">
        <v>1077</v>
      </c>
      <c r="K948">
        <v>1907</v>
      </c>
      <c r="L948">
        <v>1941</v>
      </c>
      <c r="M948" t="s">
        <v>228</v>
      </c>
      <c r="N948" t="s">
        <v>222</v>
      </c>
      <c r="O948" t="s">
        <v>3964</v>
      </c>
      <c r="P948" t="s">
        <v>3985</v>
      </c>
      <c r="Q948" t="str">
        <f>IF($C948="","",IFERROR(VLOOKUP($C948,sources!$A$2:$N$200,2,FALSE()),"?"))</f>
        <v>Report</v>
      </c>
      <c r="S948" t="str">
        <f>IF($C948="","",IFERROR(VLOOKUP($C948,sources!$A$2:$N$200,9,FALSE()),"?"))</f>
        <v>US official</v>
      </c>
    </row>
    <row r="949" spans="1:19" x14ac:dyDescent="0.2">
      <c r="A949" t="s">
        <v>3991</v>
      </c>
      <c r="B949" t="s">
        <v>662</v>
      </c>
      <c r="C949" t="s">
        <v>1167</v>
      </c>
      <c r="D949" t="s">
        <v>1666</v>
      </c>
      <c r="E949" t="s">
        <v>663</v>
      </c>
      <c r="F949" t="s">
        <v>1612</v>
      </c>
      <c r="I949" t="s">
        <v>1077</v>
      </c>
      <c r="K949">
        <v>1907</v>
      </c>
      <c r="L949">
        <v>1941</v>
      </c>
      <c r="M949" t="s">
        <v>228</v>
      </c>
      <c r="N949" t="s">
        <v>222</v>
      </c>
      <c r="O949" t="s">
        <v>3964</v>
      </c>
      <c r="P949" t="s">
        <v>3985</v>
      </c>
      <c r="Q949" t="str">
        <f>IF($C949="","",IFERROR(VLOOKUP($C949,sources!$A$2:$N$200,2,FALSE()),"?"))</f>
        <v>Report</v>
      </c>
      <c r="S949" t="str">
        <f>IF($C949="","",IFERROR(VLOOKUP($C949,sources!$A$2:$N$200,9,FALSE()),"?"))</f>
        <v>US official</v>
      </c>
    </row>
    <row r="950" spans="1:19" x14ac:dyDescent="0.2">
      <c r="A950" t="s">
        <v>3992</v>
      </c>
      <c r="B950" t="s">
        <v>668</v>
      </c>
      <c r="C950" t="s">
        <v>1167</v>
      </c>
      <c r="D950" t="s">
        <v>1666</v>
      </c>
      <c r="E950" t="s">
        <v>669</v>
      </c>
      <c r="F950" t="s">
        <v>1612</v>
      </c>
      <c r="I950" t="s">
        <v>1077</v>
      </c>
      <c r="K950">
        <v>1907</v>
      </c>
      <c r="L950">
        <v>1941</v>
      </c>
      <c r="M950" t="s">
        <v>228</v>
      </c>
      <c r="N950" t="s">
        <v>222</v>
      </c>
      <c r="O950" t="s">
        <v>3964</v>
      </c>
      <c r="P950" t="s">
        <v>3985</v>
      </c>
      <c r="Q950" t="str">
        <f>IF($C950="","",IFERROR(VLOOKUP($C950,sources!$A$2:$N$200,2,FALSE()),"?"))</f>
        <v>Report</v>
      </c>
      <c r="S950" t="str">
        <f>IF($C950="","",IFERROR(VLOOKUP($C950,sources!$A$2:$N$200,9,FALSE()),"?"))</f>
        <v>US official</v>
      </c>
    </row>
    <row r="951" spans="1:19" x14ac:dyDescent="0.2">
      <c r="A951" t="s">
        <v>3993</v>
      </c>
      <c r="B951" t="s">
        <v>499</v>
      </c>
      <c r="C951" t="s">
        <v>1167</v>
      </c>
      <c r="D951" t="s">
        <v>1599</v>
      </c>
      <c r="E951" t="s">
        <v>500</v>
      </c>
      <c r="F951" t="s">
        <v>1612</v>
      </c>
      <c r="I951" t="s">
        <v>1077</v>
      </c>
      <c r="K951">
        <v>1910</v>
      </c>
      <c r="L951">
        <v>1911</v>
      </c>
      <c r="M951" t="s">
        <v>228</v>
      </c>
      <c r="N951" t="s">
        <v>222</v>
      </c>
      <c r="O951" t="s">
        <v>3994</v>
      </c>
      <c r="P951" t="s">
        <v>3995</v>
      </c>
      <c r="Q951" t="str">
        <f>IF($C951="","",IFERROR(VLOOKUP($C951,sources!$A$2:$N$200,2,FALSE()),"?"))</f>
        <v>Report</v>
      </c>
      <c r="S951" t="str">
        <f>IF($C951="","",IFERROR(VLOOKUP($C951,sources!$A$2:$N$200,9,FALSE()),"?"))</f>
        <v>US official</v>
      </c>
    </row>
    <row r="952" spans="1:19" x14ac:dyDescent="0.2">
      <c r="A952" t="s">
        <v>3996</v>
      </c>
      <c r="B952" t="s">
        <v>509</v>
      </c>
      <c r="C952" t="s">
        <v>1167</v>
      </c>
      <c r="D952" t="s">
        <v>1599</v>
      </c>
      <c r="E952" t="s">
        <v>510</v>
      </c>
      <c r="F952" t="s">
        <v>1612</v>
      </c>
      <c r="I952" t="s">
        <v>1077</v>
      </c>
      <c r="K952">
        <v>1929</v>
      </c>
      <c r="L952">
        <v>1930</v>
      </c>
      <c r="M952" t="s">
        <v>228</v>
      </c>
      <c r="N952" t="s">
        <v>228</v>
      </c>
      <c r="O952" t="s">
        <v>3994</v>
      </c>
      <c r="P952" t="s">
        <v>3997</v>
      </c>
      <c r="Q952" t="str">
        <f>IF($C952="","",IFERROR(VLOOKUP($C952,sources!$A$2:$N$200,2,FALSE()),"?"))</f>
        <v>Report</v>
      </c>
      <c r="S952" t="str">
        <f>IF($C952="","",IFERROR(VLOOKUP($C952,sources!$A$2:$N$200,9,FALSE()),"?"))</f>
        <v>US official</v>
      </c>
    </row>
    <row r="953" spans="1:19" x14ac:dyDescent="0.2">
      <c r="A953" t="s">
        <v>3998</v>
      </c>
      <c r="B953" t="s">
        <v>522</v>
      </c>
      <c r="C953" t="s">
        <v>1167</v>
      </c>
      <c r="D953" t="s">
        <v>1599</v>
      </c>
      <c r="E953" t="s">
        <v>523</v>
      </c>
      <c r="F953" t="s">
        <v>1612</v>
      </c>
      <c r="I953" t="s">
        <v>1077</v>
      </c>
      <c r="K953">
        <v>1912</v>
      </c>
      <c r="L953">
        <v>1913</v>
      </c>
      <c r="M953" t="s">
        <v>228</v>
      </c>
      <c r="N953" t="s">
        <v>228</v>
      </c>
      <c r="O953" t="s">
        <v>3994</v>
      </c>
      <c r="P953" t="s">
        <v>3999</v>
      </c>
      <c r="Q953" t="str">
        <f>IF($C953="","",IFERROR(VLOOKUP($C953,sources!$A$2:$N$200,2,FALSE()),"?"))</f>
        <v>Report</v>
      </c>
      <c r="S953" t="str">
        <f>IF($C953="","",IFERROR(VLOOKUP($C953,sources!$A$2:$N$200,9,FALSE()),"?"))</f>
        <v>US official</v>
      </c>
    </row>
    <row r="954" spans="1:19" x14ac:dyDescent="0.2">
      <c r="A954" t="s">
        <v>4000</v>
      </c>
      <c r="B954" t="s">
        <v>526</v>
      </c>
      <c r="C954" t="s">
        <v>1167</v>
      </c>
      <c r="D954" t="s">
        <v>1599</v>
      </c>
      <c r="E954" t="s">
        <v>527</v>
      </c>
      <c r="F954" t="s">
        <v>1612</v>
      </c>
      <c r="I954" t="s">
        <v>1077</v>
      </c>
      <c r="K954">
        <v>1912</v>
      </c>
      <c r="L954">
        <v>1913</v>
      </c>
      <c r="M954" t="s">
        <v>228</v>
      </c>
      <c r="N954" t="s">
        <v>228</v>
      </c>
      <c r="O954" t="s">
        <v>3994</v>
      </c>
      <c r="P954" t="s">
        <v>4001</v>
      </c>
      <c r="Q954" t="str">
        <f>IF($C954="","",IFERROR(VLOOKUP($C954,sources!$A$2:$N$200,2,FALSE()),"?"))</f>
        <v>Report</v>
      </c>
      <c r="S954" t="str">
        <f>IF($C954="","",IFERROR(VLOOKUP($C954,sources!$A$2:$N$200,9,FALSE()),"?"))</f>
        <v>US official</v>
      </c>
    </row>
    <row r="955" spans="1:19" x14ac:dyDescent="0.2">
      <c r="A955" t="s">
        <v>4002</v>
      </c>
      <c r="B955" t="s">
        <v>529</v>
      </c>
      <c r="C955" t="s">
        <v>1167</v>
      </c>
      <c r="D955" t="s">
        <v>1599</v>
      </c>
      <c r="E955" t="s">
        <v>530</v>
      </c>
      <c r="F955" t="s">
        <v>1612</v>
      </c>
      <c r="I955" t="s">
        <v>1077</v>
      </c>
      <c r="K955">
        <v>1909</v>
      </c>
      <c r="L955">
        <v>1910</v>
      </c>
      <c r="M955" t="s">
        <v>228</v>
      </c>
      <c r="N955" t="s">
        <v>228</v>
      </c>
      <c r="O955" t="s">
        <v>3994</v>
      </c>
      <c r="P955" t="s">
        <v>4003</v>
      </c>
      <c r="Q955" t="str">
        <f>IF($C955="","",IFERROR(VLOOKUP($C955,sources!$A$2:$N$200,2,FALSE()),"?"))</f>
        <v>Report</v>
      </c>
      <c r="S955" t="str">
        <f>IF($C955="","",IFERROR(VLOOKUP($C955,sources!$A$2:$N$200,9,FALSE()),"?"))</f>
        <v>US official</v>
      </c>
    </row>
    <row r="956" spans="1:19" x14ac:dyDescent="0.2">
      <c r="A956" t="s">
        <v>4004</v>
      </c>
      <c r="B956" t="s">
        <v>534</v>
      </c>
      <c r="C956" t="s">
        <v>1167</v>
      </c>
      <c r="D956" t="s">
        <v>1585</v>
      </c>
      <c r="E956" t="s">
        <v>535</v>
      </c>
      <c r="F956" t="s">
        <v>1612</v>
      </c>
      <c r="I956" t="s">
        <v>1077</v>
      </c>
      <c r="K956">
        <v>1917</v>
      </c>
      <c r="L956">
        <v>1918</v>
      </c>
      <c r="M956" t="s">
        <v>228</v>
      </c>
      <c r="N956" t="s">
        <v>228</v>
      </c>
      <c r="O956" t="s">
        <v>3994</v>
      </c>
      <c r="P956" t="s">
        <v>4005</v>
      </c>
      <c r="Q956" t="str">
        <f>IF($C956="","",IFERROR(VLOOKUP($C956,sources!$A$2:$N$200,2,FALSE()),"?"))</f>
        <v>Report</v>
      </c>
      <c r="S956" t="str">
        <f>IF($C956="","",IFERROR(VLOOKUP($C956,sources!$A$2:$N$200,9,FALSE()),"?"))</f>
        <v>US official</v>
      </c>
    </row>
    <row r="957" spans="1:19" x14ac:dyDescent="0.2">
      <c r="A957" t="s">
        <v>4006</v>
      </c>
      <c r="B957" t="s">
        <v>539</v>
      </c>
      <c r="C957" t="s">
        <v>1167</v>
      </c>
      <c r="D957" t="s">
        <v>1599</v>
      </c>
      <c r="E957" t="s">
        <v>540</v>
      </c>
      <c r="F957" t="s">
        <v>1612</v>
      </c>
      <c r="I957" t="s">
        <v>1077</v>
      </c>
      <c r="K957">
        <v>1928</v>
      </c>
      <c r="L957">
        <v>1929</v>
      </c>
      <c r="M957" t="s">
        <v>228</v>
      </c>
      <c r="N957" t="s">
        <v>228</v>
      </c>
      <c r="O957" t="s">
        <v>3994</v>
      </c>
      <c r="P957" t="s">
        <v>4007</v>
      </c>
      <c r="Q957" t="str">
        <f>IF($C957="","",IFERROR(VLOOKUP($C957,sources!$A$2:$N$200,2,FALSE()),"?"))</f>
        <v>Report</v>
      </c>
      <c r="S957" t="str">
        <f>IF($C957="","",IFERROR(VLOOKUP($C957,sources!$A$2:$N$200,9,FALSE()),"?"))</f>
        <v>US official</v>
      </c>
    </row>
    <row r="958" spans="1:19" x14ac:dyDescent="0.2">
      <c r="A958" t="s">
        <v>4008</v>
      </c>
      <c r="B958" t="s">
        <v>544</v>
      </c>
      <c r="C958" t="s">
        <v>1167</v>
      </c>
      <c r="D958" t="s">
        <v>1599</v>
      </c>
      <c r="E958" t="s">
        <v>545</v>
      </c>
      <c r="F958" t="s">
        <v>1612</v>
      </c>
      <c r="I958" t="s">
        <v>1077</v>
      </c>
      <c r="K958">
        <v>1919</v>
      </c>
      <c r="L958">
        <v>1920</v>
      </c>
      <c r="M958" t="s">
        <v>228</v>
      </c>
      <c r="N958" t="s">
        <v>228</v>
      </c>
      <c r="O958" t="s">
        <v>3994</v>
      </c>
      <c r="P958" t="s">
        <v>4009</v>
      </c>
      <c r="Q958" t="str">
        <f>IF($C958="","",IFERROR(VLOOKUP($C958,sources!$A$2:$N$200,2,FALSE()),"?"))</f>
        <v>Report</v>
      </c>
      <c r="S958" t="str">
        <f>IF($C958="","",IFERROR(VLOOKUP($C958,sources!$A$2:$N$200,9,FALSE()),"?"))</f>
        <v>US official</v>
      </c>
    </row>
    <row r="959" spans="1:19" x14ac:dyDescent="0.2">
      <c r="A959" t="s">
        <v>4010</v>
      </c>
      <c r="B959" t="s">
        <v>549</v>
      </c>
      <c r="C959" t="s">
        <v>1167</v>
      </c>
      <c r="D959" t="s">
        <v>1599</v>
      </c>
      <c r="E959" t="s">
        <v>550</v>
      </c>
      <c r="F959" t="s">
        <v>1612</v>
      </c>
      <c r="I959" t="s">
        <v>1077</v>
      </c>
      <c r="K959">
        <v>1928</v>
      </c>
      <c r="L959">
        <v>1929</v>
      </c>
      <c r="M959" t="s">
        <v>228</v>
      </c>
      <c r="N959" t="s">
        <v>228</v>
      </c>
      <c r="O959" t="s">
        <v>3994</v>
      </c>
      <c r="P959" t="s">
        <v>4011</v>
      </c>
      <c r="Q959" t="str">
        <f>IF($C959="","",IFERROR(VLOOKUP($C959,sources!$A$2:$N$200,2,FALSE()),"?"))</f>
        <v>Report</v>
      </c>
      <c r="S959" t="str">
        <f>IF($C959="","",IFERROR(VLOOKUP($C959,sources!$A$2:$N$200,9,FALSE()),"?"))</f>
        <v>US official</v>
      </c>
    </row>
    <row r="960" spans="1:19" x14ac:dyDescent="0.2">
      <c r="A960" t="s">
        <v>4012</v>
      </c>
      <c r="B960" t="s">
        <v>553</v>
      </c>
      <c r="C960" t="s">
        <v>1167</v>
      </c>
      <c r="D960" t="s">
        <v>1599</v>
      </c>
      <c r="E960" t="s">
        <v>554</v>
      </c>
      <c r="F960" t="s">
        <v>1612</v>
      </c>
      <c r="I960" t="s">
        <v>1077</v>
      </c>
      <c r="K960">
        <v>1917</v>
      </c>
      <c r="L960">
        <v>1918</v>
      </c>
      <c r="M960" t="s">
        <v>228</v>
      </c>
      <c r="N960" t="s">
        <v>228</v>
      </c>
      <c r="O960" t="s">
        <v>3994</v>
      </c>
      <c r="P960" t="s">
        <v>4013</v>
      </c>
      <c r="Q960" t="str">
        <f>IF($C960="","",IFERROR(VLOOKUP($C960,sources!$A$2:$N$200,2,FALSE()),"?"))</f>
        <v>Report</v>
      </c>
      <c r="S960" t="str">
        <f>IF($C960="","",IFERROR(VLOOKUP($C960,sources!$A$2:$N$200,9,FALSE()),"?"))</f>
        <v>US official</v>
      </c>
    </row>
    <row r="961" spans="1:19" x14ac:dyDescent="0.2">
      <c r="A961" t="s">
        <v>4014</v>
      </c>
      <c r="B961" t="s">
        <v>557</v>
      </c>
      <c r="C961" t="s">
        <v>1167</v>
      </c>
      <c r="D961" t="s">
        <v>1599</v>
      </c>
      <c r="E961" t="s">
        <v>558</v>
      </c>
      <c r="F961" t="s">
        <v>1612</v>
      </c>
      <c r="I961" t="s">
        <v>1077</v>
      </c>
      <c r="K961">
        <v>1919</v>
      </c>
      <c r="L961">
        <v>1920</v>
      </c>
      <c r="M961" t="s">
        <v>228</v>
      </c>
      <c r="N961" t="s">
        <v>228</v>
      </c>
      <c r="O961" t="s">
        <v>3994</v>
      </c>
      <c r="P961" t="s">
        <v>4015</v>
      </c>
      <c r="Q961" t="str">
        <f>IF($C961="","",IFERROR(VLOOKUP($C961,sources!$A$2:$N$200,2,FALSE()),"?"))</f>
        <v>Report</v>
      </c>
      <c r="S961" t="str">
        <f>IF($C961="","",IFERROR(VLOOKUP($C961,sources!$A$2:$N$200,9,FALSE()),"?"))</f>
        <v>US official</v>
      </c>
    </row>
    <row r="962" spans="1:19" x14ac:dyDescent="0.2">
      <c r="A962" t="s">
        <v>4016</v>
      </c>
      <c r="B962" t="s">
        <v>561</v>
      </c>
      <c r="C962" t="s">
        <v>1167</v>
      </c>
      <c r="D962" t="s">
        <v>1599</v>
      </c>
      <c r="E962" t="s">
        <v>562</v>
      </c>
      <c r="F962" t="s">
        <v>1612</v>
      </c>
      <c r="I962" t="s">
        <v>1077</v>
      </c>
      <c r="K962">
        <v>1928</v>
      </c>
      <c r="L962">
        <v>1929</v>
      </c>
      <c r="M962" t="s">
        <v>228</v>
      </c>
      <c r="N962" t="s">
        <v>228</v>
      </c>
      <c r="O962" t="s">
        <v>3994</v>
      </c>
      <c r="P962" t="s">
        <v>4017</v>
      </c>
      <c r="Q962" t="str">
        <f>IF($C962="","",IFERROR(VLOOKUP($C962,sources!$A$2:$N$200,2,FALSE()),"?"))</f>
        <v>Report</v>
      </c>
      <c r="S962" t="str">
        <f>IF($C962="","",IFERROR(VLOOKUP($C962,sources!$A$2:$N$200,9,FALSE()),"?"))</f>
        <v>US official</v>
      </c>
    </row>
    <row r="963" spans="1:19" x14ac:dyDescent="0.2">
      <c r="A963" t="s">
        <v>4018</v>
      </c>
      <c r="B963" t="s">
        <v>566</v>
      </c>
      <c r="C963" t="s">
        <v>1167</v>
      </c>
      <c r="D963" t="s">
        <v>1599</v>
      </c>
      <c r="E963" t="s">
        <v>567</v>
      </c>
      <c r="F963" t="s">
        <v>1612</v>
      </c>
      <c r="I963" t="s">
        <v>1077</v>
      </c>
      <c r="K963">
        <v>1919</v>
      </c>
      <c r="L963">
        <v>1920</v>
      </c>
      <c r="M963" t="s">
        <v>228</v>
      </c>
      <c r="N963" t="s">
        <v>228</v>
      </c>
      <c r="O963" t="s">
        <v>3994</v>
      </c>
      <c r="P963" t="s">
        <v>4019</v>
      </c>
      <c r="Q963" t="str">
        <f>IF($C963="","",IFERROR(VLOOKUP($C963,sources!$A$2:$N$200,2,FALSE()),"?"))</f>
        <v>Report</v>
      </c>
      <c r="S963" t="str">
        <f>IF($C963="","",IFERROR(VLOOKUP($C963,sources!$A$2:$N$200,9,FALSE()),"?"))</f>
        <v>US official</v>
      </c>
    </row>
    <row r="964" spans="1:19" x14ac:dyDescent="0.2">
      <c r="A964" t="s">
        <v>4020</v>
      </c>
      <c r="B964" t="s">
        <v>571</v>
      </c>
      <c r="C964" t="s">
        <v>1167</v>
      </c>
      <c r="D964" t="s">
        <v>1599</v>
      </c>
      <c r="E964" t="s">
        <v>573</v>
      </c>
      <c r="F964" t="s">
        <v>1612</v>
      </c>
      <c r="I964" t="s">
        <v>1077</v>
      </c>
      <c r="K964">
        <v>1917</v>
      </c>
      <c r="L964">
        <v>1918</v>
      </c>
      <c r="M964" t="s">
        <v>228</v>
      </c>
      <c r="N964" t="s">
        <v>228</v>
      </c>
      <c r="O964" t="s">
        <v>3994</v>
      </c>
      <c r="P964" t="s">
        <v>4021</v>
      </c>
      <c r="Q964" t="str">
        <f>IF($C964="","",IFERROR(VLOOKUP($C964,sources!$A$2:$N$200,2,FALSE()),"?"))</f>
        <v>Report</v>
      </c>
      <c r="S964" t="str">
        <f>IF($C964="","",IFERROR(VLOOKUP($C964,sources!$A$2:$N$200,9,FALSE()),"?"))</f>
        <v>US official</v>
      </c>
    </row>
    <row r="965" spans="1:19" x14ac:dyDescent="0.2">
      <c r="A965" t="s">
        <v>4022</v>
      </c>
      <c r="B965" t="s">
        <v>405</v>
      </c>
      <c r="C965" t="s">
        <v>1167</v>
      </c>
      <c r="D965" t="s">
        <v>1666</v>
      </c>
      <c r="E965" t="s">
        <v>579</v>
      </c>
      <c r="F965" t="s">
        <v>1612</v>
      </c>
      <c r="I965" t="s">
        <v>1077</v>
      </c>
      <c r="K965">
        <v>1907</v>
      </c>
      <c r="L965">
        <v>1941</v>
      </c>
      <c r="M965" t="s">
        <v>228</v>
      </c>
      <c r="N965" t="s">
        <v>222</v>
      </c>
      <c r="O965" t="s">
        <v>3994</v>
      </c>
      <c r="P965" t="s">
        <v>4023</v>
      </c>
      <c r="Q965" t="str">
        <f>IF($C965="","",IFERROR(VLOOKUP($C965,sources!$A$2:$N$200,2,FALSE()),"?"))</f>
        <v>Report</v>
      </c>
      <c r="S965" t="str">
        <f>IF($C965="","",IFERROR(VLOOKUP($C965,sources!$A$2:$N$200,9,FALSE()),"?"))</f>
        <v>US official</v>
      </c>
    </row>
    <row r="966" spans="1:19" x14ac:dyDescent="0.2">
      <c r="A966" t="s">
        <v>4024</v>
      </c>
      <c r="B966" t="s">
        <v>603</v>
      </c>
      <c r="C966" t="s">
        <v>1167</v>
      </c>
      <c r="D966" t="s">
        <v>1599</v>
      </c>
      <c r="E966" t="s">
        <v>605</v>
      </c>
      <c r="F966" t="s">
        <v>1612</v>
      </c>
      <c r="I966" t="s">
        <v>1077</v>
      </c>
      <c r="K966">
        <v>1913</v>
      </c>
      <c r="L966">
        <v>1916</v>
      </c>
      <c r="M966" t="s">
        <v>228</v>
      </c>
      <c r="N966" t="s">
        <v>222</v>
      </c>
      <c r="O966" t="s">
        <v>3994</v>
      </c>
      <c r="P966" t="s">
        <v>4025</v>
      </c>
      <c r="Q966" t="str">
        <f>IF($C966="","",IFERROR(VLOOKUP($C966,sources!$A$2:$N$200,2,FALSE()),"?"))</f>
        <v>Report</v>
      </c>
      <c r="S966" t="str">
        <f>IF($C966="","",IFERROR(VLOOKUP($C966,sources!$A$2:$N$200,9,FALSE()),"?"))</f>
        <v>US official</v>
      </c>
    </row>
    <row r="967" spans="1:19" x14ac:dyDescent="0.2">
      <c r="A967" t="s">
        <v>4026</v>
      </c>
      <c r="B967" t="s">
        <v>618</v>
      </c>
      <c r="C967" t="s">
        <v>1167</v>
      </c>
      <c r="D967" t="s">
        <v>1599</v>
      </c>
      <c r="E967" t="s">
        <v>4027</v>
      </c>
      <c r="F967" t="s">
        <v>1612</v>
      </c>
      <c r="I967" t="s">
        <v>1077</v>
      </c>
      <c r="K967">
        <v>1907</v>
      </c>
      <c r="L967">
        <v>1908</v>
      </c>
      <c r="M967" t="s">
        <v>228</v>
      </c>
      <c r="N967" t="s">
        <v>222</v>
      </c>
      <c r="O967" t="s">
        <v>3994</v>
      </c>
      <c r="P967" t="s">
        <v>4028</v>
      </c>
      <c r="Q967" t="str">
        <f>IF($C967="","",IFERROR(VLOOKUP($C967,sources!$A$2:$N$200,2,FALSE()),"?"))</f>
        <v>Report</v>
      </c>
      <c r="S967" t="str">
        <f>IF($C967="","",IFERROR(VLOOKUP($C967,sources!$A$2:$N$200,9,FALSE()),"?"))</f>
        <v>US official</v>
      </c>
    </row>
    <row r="968" spans="1:19" x14ac:dyDescent="0.2">
      <c r="A968" t="s">
        <v>4029</v>
      </c>
      <c r="B968" t="s">
        <v>658</v>
      </c>
      <c r="C968" t="s">
        <v>1167</v>
      </c>
      <c r="D968" t="s">
        <v>1666</v>
      </c>
      <c r="E968" t="s">
        <v>4030</v>
      </c>
      <c r="F968" t="s">
        <v>1612</v>
      </c>
      <c r="I968" t="s">
        <v>1077</v>
      </c>
      <c r="K968">
        <v>1907</v>
      </c>
      <c r="L968">
        <v>1941</v>
      </c>
      <c r="M968" t="s">
        <v>228</v>
      </c>
      <c r="N968" t="s">
        <v>209</v>
      </c>
      <c r="O968" t="s">
        <v>3994</v>
      </c>
      <c r="P968" t="s">
        <v>4031</v>
      </c>
      <c r="Q968" t="str">
        <f>IF($C968="","",IFERROR(VLOOKUP($C968,sources!$A$2:$N$200,2,FALSE()),"?"))</f>
        <v>Report</v>
      </c>
      <c r="S968" t="str">
        <f>IF($C968="","",IFERROR(VLOOKUP($C968,sources!$A$2:$N$200,9,FALSE()),"?"))</f>
        <v>US official</v>
      </c>
    </row>
    <row r="969" spans="1:19" x14ac:dyDescent="0.2">
      <c r="A969" t="s">
        <v>4032</v>
      </c>
      <c r="B969" t="s">
        <v>306</v>
      </c>
      <c r="C969" t="s">
        <v>1167</v>
      </c>
      <c r="D969" t="s">
        <v>1666</v>
      </c>
      <c r="E969" t="s">
        <v>4033</v>
      </c>
      <c r="F969" t="s">
        <v>1612</v>
      </c>
      <c r="I969" t="s">
        <v>1077</v>
      </c>
      <c r="K969">
        <v>1907</v>
      </c>
      <c r="L969">
        <v>1941</v>
      </c>
      <c r="M969" t="s">
        <v>228</v>
      </c>
      <c r="N969" t="s">
        <v>228</v>
      </c>
      <c r="O969" t="s">
        <v>3994</v>
      </c>
      <c r="P969" t="s">
        <v>4034</v>
      </c>
      <c r="Q969" t="str">
        <f>IF($C969="","",IFERROR(VLOOKUP($C969,sources!$A$2:$N$200,2,FALSE()),"?"))</f>
        <v>Report</v>
      </c>
      <c r="S969" t="str">
        <f>IF($C969="","",IFERROR(VLOOKUP($C969,sources!$A$2:$N$200,9,FALSE()),"?"))</f>
        <v>US official</v>
      </c>
    </row>
    <row r="970" spans="1:19" x14ac:dyDescent="0.2">
      <c r="A970" t="s">
        <v>4035</v>
      </c>
      <c r="B970" t="s">
        <v>313</v>
      </c>
      <c r="C970" t="s">
        <v>1167</v>
      </c>
      <c r="D970" t="s">
        <v>1666</v>
      </c>
      <c r="E970" t="s">
        <v>4036</v>
      </c>
      <c r="F970" t="s">
        <v>1612</v>
      </c>
      <c r="I970" t="s">
        <v>1077</v>
      </c>
      <c r="K970">
        <v>1907</v>
      </c>
      <c r="L970">
        <v>1941</v>
      </c>
      <c r="M970" t="s">
        <v>228</v>
      </c>
      <c r="N970" t="s">
        <v>228</v>
      </c>
      <c r="O970" t="s">
        <v>3994</v>
      </c>
      <c r="P970" t="s">
        <v>4037</v>
      </c>
      <c r="Q970" t="str">
        <f>IF($C970="","",IFERROR(VLOOKUP($C970,sources!$A$2:$N$200,2,FALSE()),"?"))</f>
        <v>Report</v>
      </c>
      <c r="S970" t="str">
        <f>IF($C970="","",IFERROR(VLOOKUP($C970,sources!$A$2:$N$200,9,FALSE()),"?"))</f>
        <v>US official</v>
      </c>
    </row>
    <row r="971" spans="1:19" x14ac:dyDescent="0.2">
      <c r="A971" t="s">
        <v>4038</v>
      </c>
      <c r="B971" t="s">
        <v>679</v>
      </c>
      <c r="C971" t="s">
        <v>1167</v>
      </c>
      <c r="D971" t="s">
        <v>1666</v>
      </c>
      <c r="E971" t="s">
        <v>4039</v>
      </c>
      <c r="F971" t="s">
        <v>1612</v>
      </c>
      <c r="I971" t="s">
        <v>1077</v>
      </c>
      <c r="K971">
        <v>1907</v>
      </c>
      <c r="L971">
        <v>1941</v>
      </c>
      <c r="M971" t="s">
        <v>228</v>
      </c>
      <c r="N971" t="s">
        <v>228</v>
      </c>
      <c r="O971" t="s">
        <v>3994</v>
      </c>
      <c r="P971" t="s">
        <v>4040</v>
      </c>
      <c r="Q971" t="str">
        <f>IF($C971="","",IFERROR(VLOOKUP($C971,sources!$A$2:$N$200,2,FALSE()),"?"))</f>
        <v>Report</v>
      </c>
      <c r="S971" t="str">
        <f>IF($C971="","",IFERROR(VLOOKUP($C971,sources!$A$2:$N$200,9,FALSE()),"?"))</f>
        <v>US official</v>
      </c>
    </row>
    <row r="972" spans="1:19" x14ac:dyDescent="0.2">
      <c r="A972" t="s">
        <v>4041</v>
      </c>
      <c r="B972" t="s">
        <v>336</v>
      </c>
      <c r="C972" t="s">
        <v>1167</v>
      </c>
      <c r="D972" t="s">
        <v>1599</v>
      </c>
      <c r="E972" t="s">
        <v>4042</v>
      </c>
      <c r="F972" t="s">
        <v>1612</v>
      </c>
      <c r="I972" t="s">
        <v>1077</v>
      </c>
      <c r="K972">
        <v>1909</v>
      </c>
      <c r="L972">
        <v>1910</v>
      </c>
      <c r="M972" t="s">
        <v>228</v>
      </c>
      <c r="N972" t="s">
        <v>228</v>
      </c>
      <c r="O972" t="s">
        <v>3994</v>
      </c>
      <c r="P972" t="s">
        <v>4043</v>
      </c>
      <c r="Q972" t="str">
        <f>IF($C972="","",IFERROR(VLOOKUP($C972,sources!$A$2:$N$200,2,FALSE()),"?"))</f>
        <v>Report</v>
      </c>
      <c r="S972" t="str">
        <f>IF($C972="","",IFERROR(VLOOKUP($C972,sources!$A$2:$N$200,9,FALSE()),"?"))</f>
        <v>US official</v>
      </c>
    </row>
    <row r="973" spans="1:19" x14ac:dyDescent="0.2">
      <c r="A973" t="s">
        <v>4044</v>
      </c>
      <c r="B973" t="s">
        <v>341</v>
      </c>
      <c r="C973" t="s">
        <v>1167</v>
      </c>
      <c r="D973" t="s">
        <v>1666</v>
      </c>
      <c r="E973" t="s">
        <v>4045</v>
      </c>
      <c r="F973" t="s">
        <v>1612</v>
      </c>
      <c r="I973" t="s">
        <v>1077</v>
      </c>
      <c r="K973">
        <v>1907</v>
      </c>
      <c r="L973">
        <v>1941</v>
      </c>
      <c r="M973" t="s">
        <v>228</v>
      </c>
      <c r="N973" t="s">
        <v>228</v>
      </c>
      <c r="O973" t="s">
        <v>3994</v>
      </c>
      <c r="P973" t="s">
        <v>4046</v>
      </c>
      <c r="Q973" t="str">
        <f>IF($C973="","",IFERROR(VLOOKUP($C973,sources!$A$2:$N$200,2,FALSE()),"?"))</f>
        <v>Report</v>
      </c>
      <c r="S973" t="str">
        <f>IF($C973="","",IFERROR(VLOOKUP($C973,sources!$A$2:$N$200,9,FALSE()),"?"))</f>
        <v>US official</v>
      </c>
    </row>
    <row r="974" spans="1:19" x14ac:dyDescent="0.2">
      <c r="A974" t="s">
        <v>4047</v>
      </c>
      <c r="B974" t="s">
        <v>671</v>
      </c>
      <c r="C974" t="s">
        <v>1167</v>
      </c>
      <c r="D974" t="s">
        <v>1599</v>
      </c>
      <c r="E974" t="s">
        <v>4048</v>
      </c>
      <c r="F974" t="s">
        <v>1612</v>
      </c>
      <c r="I974" t="s">
        <v>1077</v>
      </c>
      <c r="K974">
        <v>1908</v>
      </c>
      <c r="L974">
        <v>1909</v>
      </c>
      <c r="M974" t="s">
        <v>228</v>
      </c>
      <c r="N974" t="s">
        <v>228</v>
      </c>
      <c r="O974" t="s">
        <v>3994</v>
      </c>
      <c r="P974" t="s">
        <v>4049</v>
      </c>
      <c r="Q974" t="str">
        <f>IF($C974="","",IFERROR(VLOOKUP($C974,sources!$A$2:$N$200,2,FALSE()),"?"))</f>
        <v>Report</v>
      </c>
      <c r="S974" t="str">
        <f>IF($C974="","",IFERROR(VLOOKUP($C974,sources!$A$2:$N$200,9,FALSE()),"?"))</f>
        <v>US official</v>
      </c>
    </row>
    <row r="975" spans="1:19" x14ac:dyDescent="0.2">
      <c r="A975" t="s">
        <v>4050</v>
      </c>
      <c r="B975" t="s">
        <v>675</v>
      </c>
      <c r="C975" t="s">
        <v>1167</v>
      </c>
      <c r="D975" t="s">
        <v>1599</v>
      </c>
      <c r="E975" t="s">
        <v>4051</v>
      </c>
      <c r="F975" t="s">
        <v>1612</v>
      </c>
      <c r="I975" t="s">
        <v>1077</v>
      </c>
      <c r="K975">
        <v>1907</v>
      </c>
      <c r="L975">
        <v>1908</v>
      </c>
      <c r="M975" t="s">
        <v>228</v>
      </c>
      <c r="N975" t="s">
        <v>228</v>
      </c>
      <c r="O975" t="s">
        <v>3994</v>
      </c>
      <c r="P975" t="s">
        <v>4052</v>
      </c>
      <c r="Q975" t="str">
        <f>IF($C975="","",IFERROR(VLOOKUP($C975,sources!$A$2:$N$200,2,FALSE()),"?"))</f>
        <v>Report</v>
      </c>
      <c r="S975" t="str">
        <f>IF($C975="","",IFERROR(VLOOKUP($C975,sources!$A$2:$N$200,9,FALSE()),"?"))</f>
        <v>US official</v>
      </c>
    </row>
    <row r="976" spans="1:19" x14ac:dyDescent="0.2">
      <c r="A976" t="s">
        <v>4053</v>
      </c>
      <c r="B976" t="s">
        <v>679</v>
      </c>
      <c r="C976" t="s">
        <v>1167</v>
      </c>
      <c r="D976" t="s">
        <v>1666</v>
      </c>
      <c r="E976" t="s">
        <v>4054</v>
      </c>
      <c r="F976" t="s">
        <v>1612</v>
      </c>
      <c r="I976" t="s">
        <v>1077</v>
      </c>
      <c r="K976">
        <v>1907</v>
      </c>
      <c r="L976">
        <v>1941</v>
      </c>
      <c r="M976" t="s">
        <v>228</v>
      </c>
      <c r="N976" t="s">
        <v>228</v>
      </c>
      <c r="O976" t="s">
        <v>3994</v>
      </c>
      <c r="P976" t="s">
        <v>4055</v>
      </c>
      <c r="Q976" t="str">
        <f>IF($C976="","",IFERROR(VLOOKUP($C976,sources!$A$2:$N$200,2,FALSE()),"?"))</f>
        <v>Report</v>
      </c>
      <c r="S976" t="str">
        <f>IF($C976="","",IFERROR(VLOOKUP($C976,sources!$A$2:$N$200,9,FALSE()),"?"))</f>
        <v>US official</v>
      </c>
    </row>
    <row r="977" spans="1:19" x14ac:dyDescent="0.2">
      <c r="A977" t="s">
        <v>4056</v>
      </c>
      <c r="B977" t="s">
        <v>682</v>
      </c>
      <c r="C977" t="s">
        <v>1167</v>
      </c>
      <c r="D977" t="s">
        <v>1599</v>
      </c>
      <c r="E977" t="s">
        <v>4057</v>
      </c>
      <c r="F977" t="s">
        <v>1612</v>
      </c>
      <c r="I977" t="s">
        <v>1077</v>
      </c>
      <c r="K977">
        <v>1907</v>
      </c>
      <c r="L977">
        <v>1908</v>
      </c>
      <c r="M977" t="s">
        <v>228</v>
      </c>
      <c r="N977" t="s">
        <v>228</v>
      </c>
      <c r="O977" t="s">
        <v>3994</v>
      </c>
      <c r="P977" t="s">
        <v>4058</v>
      </c>
      <c r="Q977" t="str">
        <f>IF($C977="","",IFERROR(VLOOKUP($C977,sources!$A$2:$N$200,2,FALSE()),"?"))</f>
        <v>Report</v>
      </c>
      <c r="S977" t="str">
        <f>IF($C977="","",IFERROR(VLOOKUP($C977,sources!$A$2:$N$200,9,FALSE()),"?"))</f>
        <v>US official</v>
      </c>
    </row>
    <row r="978" spans="1:19" x14ac:dyDescent="0.2">
      <c r="A978" t="s">
        <v>4059</v>
      </c>
      <c r="B978" t="s">
        <v>686</v>
      </c>
      <c r="C978" t="s">
        <v>1167</v>
      </c>
      <c r="D978" t="s">
        <v>1599</v>
      </c>
      <c r="E978" t="s">
        <v>4060</v>
      </c>
      <c r="F978" t="s">
        <v>1612</v>
      </c>
      <c r="I978" t="s">
        <v>1077</v>
      </c>
      <c r="K978">
        <v>1909</v>
      </c>
      <c r="L978">
        <v>1910</v>
      </c>
      <c r="M978" t="s">
        <v>228</v>
      </c>
      <c r="N978" t="s">
        <v>228</v>
      </c>
      <c r="O978" t="s">
        <v>3994</v>
      </c>
      <c r="P978" t="s">
        <v>4061</v>
      </c>
      <c r="Q978" t="str">
        <f>IF($C978="","",IFERROR(VLOOKUP($C978,sources!$A$2:$N$200,2,FALSE()),"?"))</f>
        <v>Report</v>
      </c>
      <c r="S978" t="str">
        <f>IF($C978="","",IFERROR(VLOOKUP($C978,sources!$A$2:$N$200,9,FALSE()),"?"))</f>
        <v>US official</v>
      </c>
    </row>
    <row r="979" spans="1:19" x14ac:dyDescent="0.2">
      <c r="A979" t="s">
        <v>4062</v>
      </c>
      <c r="B979" t="s">
        <v>689</v>
      </c>
      <c r="C979" t="s">
        <v>1167</v>
      </c>
      <c r="D979" t="s">
        <v>1666</v>
      </c>
      <c r="E979" t="s">
        <v>4063</v>
      </c>
      <c r="F979" t="s">
        <v>1612</v>
      </c>
      <c r="I979" t="s">
        <v>1077</v>
      </c>
      <c r="K979">
        <v>1907</v>
      </c>
      <c r="L979">
        <v>1941</v>
      </c>
      <c r="M979" t="s">
        <v>228</v>
      </c>
      <c r="N979" t="s">
        <v>228</v>
      </c>
      <c r="O979" t="s">
        <v>3994</v>
      </c>
      <c r="P979" t="s">
        <v>4064</v>
      </c>
      <c r="Q979" t="str">
        <f>IF($C979="","",IFERROR(VLOOKUP($C979,sources!$A$2:$N$200,2,FALSE()),"?"))</f>
        <v>Report</v>
      </c>
      <c r="S979" t="str">
        <f>IF($C979="","",IFERROR(VLOOKUP($C979,sources!$A$2:$N$200,9,FALSE()),"?"))</f>
        <v>US official</v>
      </c>
    </row>
    <row r="980" spans="1:19" x14ac:dyDescent="0.2">
      <c r="A980" t="s">
        <v>4065</v>
      </c>
      <c r="B980" t="s">
        <v>692</v>
      </c>
      <c r="C980" t="s">
        <v>1167</v>
      </c>
      <c r="D980" t="s">
        <v>1599</v>
      </c>
      <c r="E980" t="s">
        <v>4066</v>
      </c>
      <c r="F980" t="s">
        <v>1612</v>
      </c>
      <c r="I980" t="s">
        <v>1077</v>
      </c>
      <c r="K980">
        <v>1909</v>
      </c>
      <c r="L980">
        <v>1914</v>
      </c>
      <c r="M980" t="s">
        <v>228</v>
      </c>
      <c r="N980" t="s">
        <v>222</v>
      </c>
      <c r="O980" t="s">
        <v>3994</v>
      </c>
      <c r="P980" t="s">
        <v>4067</v>
      </c>
      <c r="Q980" t="str">
        <f>IF($C980="","",IFERROR(VLOOKUP($C980,sources!$A$2:$N$200,2,FALSE()),"?"))</f>
        <v>Report</v>
      </c>
      <c r="S980" t="str">
        <f>IF($C980="","",IFERROR(VLOOKUP($C980,sources!$A$2:$N$200,9,FALSE()),"?"))</f>
        <v>US official</v>
      </c>
    </row>
    <row r="981" spans="1:19" x14ac:dyDescent="0.2">
      <c r="A981" t="s">
        <v>4068</v>
      </c>
      <c r="B981" t="s">
        <v>696</v>
      </c>
      <c r="C981" t="s">
        <v>1167</v>
      </c>
      <c r="D981" t="s">
        <v>1599</v>
      </c>
      <c r="E981" t="s">
        <v>4069</v>
      </c>
      <c r="F981" t="s">
        <v>1612</v>
      </c>
      <c r="I981" t="s">
        <v>1077</v>
      </c>
      <c r="K981">
        <v>1911</v>
      </c>
      <c r="L981">
        <v>1912</v>
      </c>
      <c r="M981" t="s">
        <v>228</v>
      </c>
      <c r="N981" t="s">
        <v>228</v>
      </c>
      <c r="O981" t="s">
        <v>3994</v>
      </c>
      <c r="P981" t="s">
        <v>4070</v>
      </c>
      <c r="Q981" t="str">
        <f>IF($C981="","",IFERROR(VLOOKUP($C981,sources!$A$2:$N$200,2,FALSE()),"?"))</f>
        <v>Report</v>
      </c>
      <c r="S981" t="str">
        <f>IF($C981="","",IFERROR(VLOOKUP($C981,sources!$A$2:$N$200,9,FALSE()),"?"))</f>
        <v>US official</v>
      </c>
    </row>
    <row r="982" spans="1:19" x14ac:dyDescent="0.2">
      <c r="A982" t="s">
        <v>4071</v>
      </c>
      <c r="B982" t="s">
        <v>699</v>
      </c>
      <c r="C982" t="s">
        <v>1167</v>
      </c>
      <c r="D982" t="s">
        <v>1599</v>
      </c>
      <c r="E982" t="s">
        <v>4072</v>
      </c>
      <c r="F982" t="s">
        <v>1612</v>
      </c>
      <c r="I982" t="s">
        <v>1077</v>
      </c>
      <c r="K982">
        <v>1912</v>
      </c>
      <c r="L982">
        <v>1913</v>
      </c>
      <c r="M982" t="s">
        <v>228</v>
      </c>
      <c r="N982" t="s">
        <v>228</v>
      </c>
      <c r="O982" t="s">
        <v>3994</v>
      </c>
      <c r="P982" t="s">
        <v>4073</v>
      </c>
      <c r="Q982" t="str">
        <f>IF($C982="","",IFERROR(VLOOKUP($C982,sources!$A$2:$N$200,2,FALSE()),"?"))</f>
        <v>Report</v>
      </c>
      <c r="S982" t="str">
        <f>IF($C982="","",IFERROR(VLOOKUP($C982,sources!$A$2:$N$200,9,FALSE()),"?"))</f>
        <v>US official</v>
      </c>
    </row>
    <row r="983" spans="1:19" x14ac:dyDescent="0.2">
      <c r="A983" t="s">
        <v>4074</v>
      </c>
      <c r="B983" t="s">
        <v>702</v>
      </c>
      <c r="C983" t="s">
        <v>1167</v>
      </c>
      <c r="D983" t="s">
        <v>1666</v>
      </c>
      <c r="E983" t="s">
        <v>4075</v>
      </c>
      <c r="F983" t="s">
        <v>1612</v>
      </c>
      <c r="I983" t="s">
        <v>1077</v>
      </c>
      <c r="K983">
        <v>1907</v>
      </c>
      <c r="L983">
        <v>1941</v>
      </c>
      <c r="M983" t="s">
        <v>228</v>
      </c>
      <c r="N983" t="s">
        <v>228</v>
      </c>
      <c r="O983" t="s">
        <v>3994</v>
      </c>
      <c r="P983" t="s">
        <v>4076</v>
      </c>
      <c r="Q983" t="str">
        <f>IF($C983="","",IFERROR(VLOOKUP($C983,sources!$A$2:$N$200,2,FALSE()),"?"))</f>
        <v>Report</v>
      </c>
      <c r="S983" t="str">
        <f>IF($C983="","",IFERROR(VLOOKUP($C983,sources!$A$2:$N$200,9,FALSE()),"?"))</f>
        <v>US official</v>
      </c>
    </row>
    <row r="984" spans="1:19" x14ac:dyDescent="0.2">
      <c r="A984" t="s">
        <v>4077</v>
      </c>
      <c r="B984" t="s">
        <v>705</v>
      </c>
      <c r="C984" t="s">
        <v>1167</v>
      </c>
      <c r="D984" t="s">
        <v>1666</v>
      </c>
      <c r="E984" t="s">
        <v>4078</v>
      </c>
      <c r="F984" t="s">
        <v>1612</v>
      </c>
      <c r="I984" t="s">
        <v>1077</v>
      </c>
      <c r="K984">
        <v>1907</v>
      </c>
      <c r="L984">
        <v>1941</v>
      </c>
      <c r="M984" t="s">
        <v>228</v>
      </c>
      <c r="N984" t="s">
        <v>228</v>
      </c>
      <c r="O984" t="s">
        <v>3994</v>
      </c>
      <c r="P984" t="s">
        <v>4079</v>
      </c>
      <c r="Q984" t="str">
        <f>IF($C984="","",IFERROR(VLOOKUP($C984,sources!$A$2:$N$200,2,FALSE()),"?"))</f>
        <v>Report</v>
      </c>
      <c r="S984" t="str">
        <f>IF($C984="","",IFERROR(VLOOKUP($C984,sources!$A$2:$N$200,9,FALSE()),"?"))</f>
        <v>US official</v>
      </c>
    </row>
    <row r="985" spans="1:19" x14ac:dyDescent="0.2">
      <c r="A985" t="s">
        <v>4080</v>
      </c>
      <c r="B985" t="s">
        <v>708</v>
      </c>
      <c r="C985" t="s">
        <v>1167</v>
      </c>
      <c r="D985" t="s">
        <v>1599</v>
      </c>
      <c r="E985" t="s">
        <v>4081</v>
      </c>
      <c r="F985" t="s">
        <v>1612</v>
      </c>
      <c r="I985" t="s">
        <v>1077</v>
      </c>
      <c r="K985">
        <v>1908</v>
      </c>
      <c r="L985">
        <v>1909</v>
      </c>
      <c r="M985" t="s">
        <v>228</v>
      </c>
      <c r="N985" t="s">
        <v>228</v>
      </c>
      <c r="O985" t="s">
        <v>3994</v>
      </c>
      <c r="P985" t="s">
        <v>4082</v>
      </c>
      <c r="Q985" t="str">
        <f>IF($C985="","",IFERROR(VLOOKUP($C985,sources!$A$2:$N$200,2,FALSE()),"?"))</f>
        <v>Report</v>
      </c>
      <c r="S985" t="str">
        <f>IF($C985="","",IFERROR(VLOOKUP($C985,sources!$A$2:$N$200,9,FALSE()),"?"))</f>
        <v>US official</v>
      </c>
    </row>
    <row r="986" spans="1:19" x14ac:dyDescent="0.2">
      <c r="A986" t="s">
        <v>4083</v>
      </c>
      <c r="B986" t="s">
        <v>712</v>
      </c>
      <c r="C986" t="s">
        <v>1167</v>
      </c>
      <c r="D986" t="s">
        <v>1599</v>
      </c>
      <c r="E986" t="s">
        <v>4084</v>
      </c>
      <c r="F986" t="s">
        <v>1612</v>
      </c>
      <c r="I986" t="s">
        <v>1077</v>
      </c>
      <c r="K986">
        <v>1912</v>
      </c>
      <c r="L986">
        <v>1913</v>
      </c>
      <c r="M986" t="s">
        <v>228</v>
      </c>
      <c r="N986" t="s">
        <v>228</v>
      </c>
      <c r="O986" t="s">
        <v>3994</v>
      </c>
      <c r="P986" t="s">
        <v>4085</v>
      </c>
      <c r="Q986" t="str">
        <f>IF($C986="","",IFERROR(VLOOKUP($C986,sources!$A$2:$N$200,2,FALSE()),"?"))</f>
        <v>Report</v>
      </c>
      <c r="S986" t="str">
        <f>IF($C986="","",IFERROR(VLOOKUP($C986,sources!$A$2:$N$200,9,FALSE()),"?"))</f>
        <v>US official</v>
      </c>
    </row>
    <row r="987" spans="1:19" x14ac:dyDescent="0.2">
      <c r="A987" t="s">
        <v>4086</v>
      </c>
      <c r="B987" t="s">
        <v>717</v>
      </c>
      <c r="C987" t="s">
        <v>1167</v>
      </c>
      <c r="D987" t="s">
        <v>1599</v>
      </c>
      <c r="E987" t="s">
        <v>4087</v>
      </c>
      <c r="F987" t="s">
        <v>1612</v>
      </c>
      <c r="I987" t="s">
        <v>1077</v>
      </c>
      <c r="K987">
        <v>1912</v>
      </c>
      <c r="L987">
        <v>1913</v>
      </c>
      <c r="M987" t="s">
        <v>228</v>
      </c>
      <c r="N987" t="s">
        <v>228</v>
      </c>
      <c r="O987" t="s">
        <v>3994</v>
      </c>
      <c r="P987" t="s">
        <v>4088</v>
      </c>
      <c r="Q987" t="str">
        <f>IF($C987="","",IFERROR(VLOOKUP($C987,sources!$A$2:$N$200,2,FALSE()),"?"))</f>
        <v>Report</v>
      </c>
      <c r="S987" t="str">
        <f>IF($C987="","",IFERROR(VLOOKUP($C987,sources!$A$2:$N$200,9,FALSE()),"?"))</f>
        <v>US official</v>
      </c>
    </row>
    <row r="988" spans="1:19" x14ac:dyDescent="0.2">
      <c r="A988" t="s">
        <v>4089</v>
      </c>
      <c r="B988" t="s">
        <v>720</v>
      </c>
      <c r="C988" t="s">
        <v>1167</v>
      </c>
      <c r="D988" t="s">
        <v>1666</v>
      </c>
      <c r="E988" t="s">
        <v>4090</v>
      </c>
      <c r="F988" t="s">
        <v>1612</v>
      </c>
      <c r="I988" t="s">
        <v>1077</v>
      </c>
      <c r="K988">
        <v>1907</v>
      </c>
      <c r="L988">
        <v>1941</v>
      </c>
      <c r="M988" t="s">
        <v>228</v>
      </c>
      <c r="N988" t="s">
        <v>228</v>
      </c>
      <c r="O988" t="s">
        <v>3994</v>
      </c>
      <c r="P988" t="s">
        <v>4091</v>
      </c>
      <c r="Q988" t="str">
        <f>IF($C988="","",IFERROR(VLOOKUP($C988,sources!$A$2:$N$200,2,FALSE()),"?"))</f>
        <v>Report</v>
      </c>
      <c r="S988" t="str">
        <f>IF($C988="","",IFERROR(VLOOKUP($C988,sources!$A$2:$N$200,9,FALSE()),"?"))</f>
        <v>US official</v>
      </c>
    </row>
    <row r="989" spans="1:19" x14ac:dyDescent="0.2">
      <c r="A989" t="s">
        <v>4092</v>
      </c>
      <c r="B989" t="s">
        <v>723</v>
      </c>
      <c r="C989" t="s">
        <v>1167</v>
      </c>
      <c r="D989" t="s">
        <v>1599</v>
      </c>
      <c r="E989" t="s">
        <v>4093</v>
      </c>
      <c r="F989" t="s">
        <v>1612</v>
      </c>
      <c r="I989" t="s">
        <v>1077</v>
      </c>
      <c r="K989">
        <v>1910</v>
      </c>
      <c r="L989">
        <v>1911</v>
      </c>
      <c r="M989" t="s">
        <v>228</v>
      </c>
      <c r="N989" t="s">
        <v>222</v>
      </c>
      <c r="O989" t="s">
        <v>3994</v>
      </c>
      <c r="P989" t="s">
        <v>4094</v>
      </c>
      <c r="Q989" t="str">
        <f>IF($C989="","",IFERROR(VLOOKUP($C989,sources!$A$2:$N$200,2,FALSE()),"?"))</f>
        <v>Report</v>
      </c>
      <c r="S989" t="str">
        <f>IF($C989="","",IFERROR(VLOOKUP($C989,sources!$A$2:$N$200,9,FALSE()),"?"))</f>
        <v>US official</v>
      </c>
    </row>
    <row r="990" spans="1:19" x14ac:dyDescent="0.2">
      <c r="A990" t="s">
        <v>4095</v>
      </c>
      <c r="B990" t="s">
        <v>726</v>
      </c>
      <c r="C990" t="s">
        <v>1167</v>
      </c>
      <c r="D990" t="s">
        <v>1666</v>
      </c>
      <c r="E990" t="s">
        <v>4096</v>
      </c>
      <c r="F990" t="s">
        <v>1612</v>
      </c>
      <c r="I990" t="s">
        <v>1077</v>
      </c>
      <c r="K990">
        <v>1907</v>
      </c>
      <c r="L990">
        <v>1941</v>
      </c>
      <c r="M990" t="s">
        <v>228</v>
      </c>
      <c r="N990" t="s">
        <v>228</v>
      </c>
      <c r="O990" t="s">
        <v>3994</v>
      </c>
      <c r="P990" t="s">
        <v>4097</v>
      </c>
      <c r="Q990" t="str">
        <f>IF($C990="","",IFERROR(VLOOKUP($C990,sources!$A$2:$N$200,2,FALSE()),"?"))</f>
        <v>Report</v>
      </c>
      <c r="S990" t="str">
        <f>IF($C990="","",IFERROR(VLOOKUP($C990,sources!$A$2:$N$200,9,FALSE()),"?"))</f>
        <v>US official</v>
      </c>
    </row>
    <row r="991" spans="1:19" x14ac:dyDescent="0.2">
      <c r="A991" t="s">
        <v>4098</v>
      </c>
      <c r="B991" t="s">
        <v>730</v>
      </c>
      <c r="C991" t="s">
        <v>1167</v>
      </c>
      <c r="D991" t="s">
        <v>1599</v>
      </c>
      <c r="E991" t="s">
        <v>4099</v>
      </c>
      <c r="F991" t="s">
        <v>1612</v>
      </c>
      <c r="I991" t="s">
        <v>1077</v>
      </c>
      <c r="K991">
        <v>1913</v>
      </c>
      <c r="L991">
        <v>1914</v>
      </c>
      <c r="M991" t="s">
        <v>228</v>
      </c>
      <c r="N991" t="s">
        <v>228</v>
      </c>
      <c r="O991" t="s">
        <v>3994</v>
      </c>
      <c r="P991" t="s">
        <v>4100</v>
      </c>
      <c r="Q991" t="str">
        <f>IF($C991="","",IFERROR(VLOOKUP($C991,sources!$A$2:$N$200,2,FALSE()),"?"))</f>
        <v>Report</v>
      </c>
      <c r="S991" t="str">
        <f>IF($C991="","",IFERROR(VLOOKUP($C991,sources!$A$2:$N$200,9,FALSE()),"?"))</f>
        <v>US official</v>
      </c>
    </row>
    <row r="992" spans="1:19" x14ac:dyDescent="0.2">
      <c r="A992" t="s">
        <v>4101</v>
      </c>
      <c r="B992" t="s">
        <v>733</v>
      </c>
      <c r="C992" t="s">
        <v>1167</v>
      </c>
      <c r="D992" t="s">
        <v>1599</v>
      </c>
      <c r="E992" t="s">
        <v>4102</v>
      </c>
      <c r="F992" t="s">
        <v>1612</v>
      </c>
      <c r="I992" t="s">
        <v>1077</v>
      </c>
      <c r="K992">
        <v>1910</v>
      </c>
      <c r="L992">
        <v>1911</v>
      </c>
      <c r="M992" t="s">
        <v>228</v>
      </c>
      <c r="N992" t="s">
        <v>228</v>
      </c>
      <c r="O992" t="s">
        <v>3994</v>
      </c>
      <c r="P992" t="s">
        <v>4103</v>
      </c>
      <c r="Q992" t="str">
        <f>IF($C992="","",IFERROR(VLOOKUP($C992,sources!$A$2:$N$200,2,FALSE()),"?"))</f>
        <v>Report</v>
      </c>
      <c r="S992" t="str">
        <f>IF($C992="","",IFERROR(VLOOKUP($C992,sources!$A$2:$N$200,9,FALSE()),"?"))</f>
        <v>US official</v>
      </c>
    </row>
    <row r="993" spans="1:19" x14ac:dyDescent="0.2">
      <c r="A993" t="s">
        <v>4104</v>
      </c>
      <c r="B993" t="s">
        <v>736</v>
      </c>
      <c r="C993" t="s">
        <v>1167</v>
      </c>
      <c r="D993" t="s">
        <v>1599</v>
      </c>
      <c r="E993" t="s">
        <v>4105</v>
      </c>
      <c r="F993" t="s">
        <v>1612</v>
      </c>
      <c r="I993" t="s">
        <v>1077</v>
      </c>
      <c r="K993">
        <v>1909</v>
      </c>
      <c r="L993">
        <v>1910</v>
      </c>
      <c r="M993" t="s">
        <v>228</v>
      </c>
      <c r="N993" t="s">
        <v>228</v>
      </c>
      <c r="O993" t="s">
        <v>3994</v>
      </c>
      <c r="P993" t="s">
        <v>4106</v>
      </c>
      <c r="Q993" t="str">
        <f>IF($C993="","",IFERROR(VLOOKUP($C993,sources!$A$2:$N$200,2,FALSE()),"?"))</f>
        <v>Report</v>
      </c>
      <c r="S993" t="str">
        <f>IF($C993="","",IFERROR(VLOOKUP($C993,sources!$A$2:$N$200,9,FALSE()),"?"))</f>
        <v>US official</v>
      </c>
    </row>
    <row r="994" spans="1:19" x14ac:dyDescent="0.2">
      <c r="A994" t="s">
        <v>4107</v>
      </c>
      <c r="B994" t="s">
        <v>739</v>
      </c>
      <c r="C994" t="s">
        <v>1167</v>
      </c>
      <c r="D994" t="s">
        <v>1599</v>
      </c>
      <c r="E994" t="s">
        <v>4108</v>
      </c>
      <c r="F994" t="s">
        <v>1612</v>
      </c>
      <c r="I994" t="s">
        <v>1077</v>
      </c>
      <c r="K994">
        <v>1908</v>
      </c>
      <c r="L994">
        <v>1909</v>
      </c>
      <c r="M994" t="s">
        <v>228</v>
      </c>
      <c r="N994" t="s">
        <v>228</v>
      </c>
      <c r="O994" t="s">
        <v>3994</v>
      </c>
      <c r="P994" t="s">
        <v>4109</v>
      </c>
      <c r="Q994" t="str">
        <f>IF($C994="","",IFERROR(VLOOKUP($C994,sources!$A$2:$N$200,2,FALSE()),"?"))</f>
        <v>Report</v>
      </c>
      <c r="S994" t="str">
        <f>IF($C994="","",IFERROR(VLOOKUP($C994,sources!$A$2:$N$200,9,FALSE()),"?"))</f>
        <v>US official</v>
      </c>
    </row>
    <row r="995" spans="1:19" x14ac:dyDescent="0.2">
      <c r="A995" t="s">
        <v>4110</v>
      </c>
      <c r="B995" t="s">
        <v>742</v>
      </c>
      <c r="C995" t="s">
        <v>1167</v>
      </c>
      <c r="D995" t="s">
        <v>1666</v>
      </c>
      <c r="E995" t="s">
        <v>4111</v>
      </c>
      <c r="F995" t="s">
        <v>1612</v>
      </c>
      <c r="I995" t="s">
        <v>1077</v>
      </c>
      <c r="K995">
        <v>1907</v>
      </c>
      <c r="L995">
        <v>1941</v>
      </c>
      <c r="M995" t="s">
        <v>228</v>
      </c>
      <c r="N995" t="s">
        <v>228</v>
      </c>
      <c r="O995" t="s">
        <v>3994</v>
      </c>
      <c r="P995" t="s">
        <v>4112</v>
      </c>
      <c r="Q995" t="str">
        <f>IF($C995="","",IFERROR(VLOOKUP($C995,sources!$A$2:$N$200,2,FALSE()),"?"))</f>
        <v>Report</v>
      </c>
      <c r="S995" t="str">
        <f>IF($C995="","",IFERROR(VLOOKUP($C995,sources!$A$2:$N$200,9,FALSE()),"?"))</f>
        <v>US official</v>
      </c>
    </row>
    <row r="996" spans="1:19" x14ac:dyDescent="0.2">
      <c r="A996" t="s">
        <v>4113</v>
      </c>
      <c r="B996" t="s">
        <v>746</v>
      </c>
      <c r="C996" t="s">
        <v>1167</v>
      </c>
      <c r="D996" t="s">
        <v>1599</v>
      </c>
      <c r="E996" t="s">
        <v>4114</v>
      </c>
      <c r="F996" t="s">
        <v>1612</v>
      </c>
      <c r="I996" t="s">
        <v>1077</v>
      </c>
      <c r="K996">
        <v>1918</v>
      </c>
      <c r="L996">
        <v>1919</v>
      </c>
      <c r="M996" t="s">
        <v>228</v>
      </c>
      <c r="N996" t="s">
        <v>228</v>
      </c>
      <c r="O996" t="s">
        <v>3994</v>
      </c>
      <c r="P996" t="s">
        <v>4115</v>
      </c>
      <c r="Q996" t="str">
        <f>IF($C996="","",IFERROR(VLOOKUP($C996,sources!$A$2:$N$200,2,FALSE()),"?"))</f>
        <v>Report</v>
      </c>
      <c r="S996" t="str">
        <f>IF($C996="","",IFERROR(VLOOKUP($C996,sources!$A$2:$N$200,9,FALSE()),"?"))</f>
        <v>US official</v>
      </c>
    </row>
    <row r="997" spans="1:19" x14ac:dyDescent="0.2">
      <c r="A997" t="s">
        <v>4116</v>
      </c>
      <c r="B997" t="s">
        <v>749</v>
      </c>
      <c r="C997" t="s">
        <v>1167</v>
      </c>
      <c r="D997" t="s">
        <v>1666</v>
      </c>
      <c r="E997" t="s">
        <v>4117</v>
      </c>
      <c r="F997" t="s">
        <v>1612</v>
      </c>
      <c r="I997" t="s">
        <v>1077</v>
      </c>
      <c r="K997">
        <v>1907</v>
      </c>
      <c r="L997">
        <v>1941</v>
      </c>
      <c r="M997" t="s">
        <v>228</v>
      </c>
      <c r="N997" t="s">
        <v>228</v>
      </c>
      <c r="O997" t="s">
        <v>3994</v>
      </c>
      <c r="P997" t="s">
        <v>4118</v>
      </c>
      <c r="Q997" t="str">
        <f>IF($C997="","",IFERROR(VLOOKUP($C997,sources!$A$2:$N$200,2,FALSE()),"?"))</f>
        <v>Report</v>
      </c>
      <c r="S997" t="str">
        <f>IF($C997="","",IFERROR(VLOOKUP($C997,sources!$A$2:$N$200,9,FALSE()),"?"))</f>
        <v>US official</v>
      </c>
    </row>
    <row r="998" spans="1:19" x14ac:dyDescent="0.2">
      <c r="A998" t="s">
        <v>4119</v>
      </c>
      <c r="B998" t="s">
        <v>752</v>
      </c>
      <c r="C998" t="s">
        <v>1167</v>
      </c>
      <c r="D998" t="s">
        <v>1666</v>
      </c>
      <c r="E998" t="s">
        <v>4120</v>
      </c>
      <c r="F998" t="s">
        <v>1612</v>
      </c>
      <c r="I998" t="s">
        <v>1077</v>
      </c>
      <c r="K998">
        <v>1907</v>
      </c>
      <c r="L998">
        <v>1941</v>
      </c>
      <c r="M998" t="s">
        <v>228</v>
      </c>
      <c r="N998" t="s">
        <v>228</v>
      </c>
      <c r="O998" t="s">
        <v>3994</v>
      </c>
      <c r="P998" t="s">
        <v>4121</v>
      </c>
      <c r="Q998" t="str">
        <f>IF($C998="","",IFERROR(VLOOKUP($C998,sources!$A$2:$N$200,2,FALSE()),"?"))</f>
        <v>Report</v>
      </c>
      <c r="S998" t="str">
        <f>IF($C998="","",IFERROR(VLOOKUP($C998,sources!$A$2:$N$200,9,FALSE()),"?"))</f>
        <v>US official</v>
      </c>
    </row>
    <row r="999" spans="1:19" x14ac:dyDescent="0.2">
      <c r="A999" t="s">
        <v>4122</v>
      </c>
      <c r="B999" t="s">
        <v>756</v>
      </c>
      <c r="C999" t="s">
        <v>1167</v>
      </c>
      <c r="D999" t="s">
        <v>1599</v>
      </c>
      <c r="E999" t="s">
        <v>4123</v>
      </c>
      <c r="F999" t="s">
        <v>1612</v>
      </c>
      <c r="I999" t="s">
        <v>1077</v>
      </c>
      <c r="K999">
        <v>1909</v>
      </c>
      <c r="L999">
        <v>1910</v>
      </c>
      <c r="M999" t="s">
        <v>228</v>
      </c>
      <c r="N999" t="s">
        <v>228</v>
      </c>
      <c r="O999" t="s">
        <v>3994</v>
      </c>
      <c r="P999" t="s">
        <v>4124</v>
      </c>
      <c r="Q999" t="str">
        <f>IF($C999="","",IFERROR(VLOOKUP($C999,sources!$A$2:$N$200,2,FALSE()),"?"))</f>
        <v>Report</v>
      </c>
      <c r="S999" t="str">
        <f>IF($C999="","",IFERROR(VLOOKUP($C999,sources!$A$2:$N$200,9,FALSE()),"?"))</f>
        <v>US official</v>
      </c>
    </row>
    <row r="1000" spans="1:19" x14ac:dyDescent="0.2">
      <c r="A1000" t="s">
        <v>4125</v>
      </c>
      <c r="B1000" t="s">
        <v>759</v>
      </c>
      <c r="C1000" t="s">
        <v>1167</v>
      </c>
      <c r="D1000" t="s">
        <v>1666</v>
      </c>
      <c r="E1000" t="s">
        <v>4126</v>
      </c>
      <c r="F1000" t="s">
        <v>1612</v>
      </c>
      <c r="I1000" t="s">
        <v>1077</v>
      </c>
      <c r="K1000">
        <v>1907</v>
      </c>
      <c r="L1000">
        <v>1941</v>
      </c>
      <c r="M1000" t="s">
        <v>228</v>
      </c>
      <c r="N1000" t="s">
        <v>228</v>
      </c>
      <c r="O1000" t="s">
        <v>3994</v>
      </c>
      <c r="P1000" t="s">
        <v>4127</v>
      </c>
      <c r="Q1000" t="str">
        <f>IF($C1000="","",IFERROR(VLOOKUP($C1000,sources!$A$2:$N$200,2,FALSE()),"?"))</f>
        <v>Report</v>
      </c>
      <c r="S1000" t="str">
        <f>IF($C1000="","",IFERROR(VLOOKUP($C1000,sources!$A$2:$N$200,9,FALSE()),"?"))</f>
        <v>US official</v>
      </c>
    </row>
    <row r="1001" spans="1:19" x14ac:dyDescent="0.2">
      <c r="A1001" t="s">
        <v>4128</v>
      </c>
      <c r="B1001" t="s">
        <v>762</v>
      </c>
      <c r="C1001" t="s">
        <v>1167</v>
      </c>
      <c r="D1001" t="s">
        <v>1666</v>
      </c>
      <c r="E1001" t="s">
        <v>4129</v>
      </c>
      <c r="F1001" t="s">
        <v>1612</v>
      </c>
      <c r="I1001" t="s">
        <v>1077</v>
      </c>
      <c r="K1001">
        <v>1907</v>
      </c>
      <c r="L1001">
        <v>1941</v>
      </c>
      <c r="M1001" t="s">
        <v>228</v>
      </c>
      <c r="N1001" t="s">
        <v>228</v>
      </c>
      <c r="O1001" t="s">
        <v>3994</v>
      </c>
      <c r="P1001" t="s">
        <v>4130</v>
      </c>
      <c r="Q1001" t="str">
        <f>IF($C1001="","",IFERROR(VLOOKUP($C1001,sources!$A$2:$N$200,2,FALSE()),"?"))</f>
        <v>Report</v>
      </c>
      <c r="S1001" t="str">
        <f>IF($C1001="","",IFERROR(VLOOKUP($C1001,sources!$A$2:$N$200,9,FALSE()),"?"))</f>
        <v>US official</v>
      </c>
    </row>
    <row r="1002" spans="1:19" x14ac:dyDescent="0.2">
      <c r="A1002" t="s">
        <v>4131</v>
      </c>
      <c r="B1002" t="s">
        <v>765</v>
      </c>
      <c r="C1002" t="s">
        <v>1167</v>
      </c>
      <c r="D1002" t="s">
        <v>1666</v>
      </c>
      <c r="E1002" t="s">
        <v>4132</v>
      </c>
      <c r="F1002" t="s">
        <v>1612</v>
      </c>
      <c r="I1002" t="s">
        <v>1077</v>
      </c>
      <c r="K1002">
        <v>1907</v>
      </c>
      <c r="L1002">
        <v>1941</v>
      </c>
      <c r="M1002" t="s">
        <v>228</v>
      </c>
      <c r="N1002" t="s">
        <v>228</v>
      </c>
      <c r="O1002" t="s">
        <v>3994</v>
      </c>
      <c r="P1002" t="s">
        <v>4133</v>
      </c>
      <c r="Q1002" t="str">
        <f>IF($C1002="","",IFERROR(VLOOKUP($C1002,sources!$A$2:$N$200,2,FALSE()),"?"))</f>
        <v>Report</v>
      </c>
      <c r="S1002" t="str">
        <f>IF($C1002="","",IFERROR(VLOOKUP($C1002,sources!$A$2:$N$200,9,FALSE()),"?"))</f>
        <v>US official</v>
      </c>
    </row>
    <row r="1003" spans="1:19" x14ac:dyDescent="0.2">
      <c r="A1003" t="s">
        <v>4134</v>
      </c>
      <c r="B1003" t="s">
        <v>768</v>
      </c>
      <c r="C1003" t="s">
        <v>1167</v>
      </c>
      <c r="D1003" t="s">
        <v>1666</v>
      </c>
      <c r="E1003" t="s">
        <v>4135</v>
      </c>
      <c r="F1003" t="s">
        <v>1612</v>
      </c>
      <c r="I1003" t="s">
        <v>1077</v>
      </c>
      <c r="K1003">
        <v>1907</v>
      </c>
      <c r="L1003">
        <v>1941</v>
      </c>
      <c r="M1003" t="s">
        <v>228</v>
      </c>
      <c r="N1003" t="s">
        <v>228</v>
      </c>
      <c r="O1003" t="s">
        <v>3994</v>
      </c>
      <c r="P1003" t="s">
        <v>4136</v>
      </c>
      <c r="Q1003" t="str">
        <f>IF($C1003="","",IFERROR(VLOOKUP($C1003,sources!$A$2:$N$200,2,FALSE()),"?"))</f>
        <v>Report</v>
      </c>
      <c r="S1003" t="str">
        <f>IF($C1003="","",IFERROR(VLOOKUP($C1003,sources!$A$2:$N$200,9,FALSE()),"?"))</f>
        <v>US official</v>
      </c>
    </row>
    <row r="1004" spans="1:19" x14ac:dyDescent="0.2">
      <c r="A1004" t="s">
        <v>4137</v>
      </c>
      <c r="B1004" t="s">
        <v>771</v>
      </c>
      <c r="C1004" t="s">
        <v>1167</v>
      </c>
      <c r="D1004" t="s">
        <v>1666</v>
      </c>
      <c r="E1004" t="s">
        <v>4138</v>
      </c>
      <c r="F1004" t="s">
        <v>1612</v>
      </c>
      <c r="I1004" t="s">
        <v>1077</v>
      </c>
      <c r="K1004">
        <v>1907</v>
      </c>
      <c r="L1004">
        <v>1941</v>
      </c>
      <c r="M1004" t="s">
        <v>228</v>
      </c>
      <c r="N1004" t="s">
        <v>228</v>
      </c>
      <c r="O1004" t="s">
        <v>3994</v>
      </c>
      <c r="P1004" t="s">
        <v>4139</v>
      </c>
      <c r="Q1004" t="str">
        <f>IF($C1004="","",IFERROR(VLOOKUP($C1004,sources!$A$2:$N$200,2,FALSE()),"?"))</f>
        <v>Report</v>
      </c>
      <c r="S1004" t="str">
        <f>IF($C1004="","",IFERROR(VLOOKUP($C1004,sources!$A$2:$N$200,9,FALSE()),"?"))</f>
        <v>US official</v>
      </c>
    </row>
    <row r="1005" spans="1:19" x14ac:dyDescent="0.2">
      <c r="A1005" t="s">
        <v>4140</v>
      </c>
      <c r="B1005" t="s">
        <v>774</v>
      </c>
      <c r="C1005" t="s">
        <v>1167</v>
      </c>
      <c r="D1005" t="s">
        <v>1666</v>
      </c>
      <c r="E1005" t="s">
        <v>4141</v>
      </c>
      <c r="F1005" t="s">
        <v>1612</v>
      </c>
      <c r="I1005" t="s">
        <v>1077</v>
      </c>
      <c r="K1005">
        <v>1907</v>
      </c>
      <c r="L1005">
        <v>1941</v>
      </c>
      <c r="M1005" t="s">
        <v>228</v>
      </c>
      <c r="N1005" t="s">
        <v>228</v>
      </c>
      <c r="O1005" t="s">
        <v>3994</v>
      </c>
      <c r="P1005" t="s">
        <v>4142</v>
      </c>
      <c r="Q1005" t="str">
        <f>IF($C1005="","",IFERROR(VLOOKUP($C1005,sources!$A$2:$N$200,2,FALSE()),"?"))</f>
        <v>Report</v>
      </c>
      <c r="S1005" t="str">
        <f>IF($C1005="","",IFERROR(VLOOKUP($C1005,sources!$A$2:$N$200,9,FALSE()),"?"))</f>
        <v>US official</v>
      </c>
    </row>
    <row r="1006" spans="1:19" x14ac:dyDescent="0.2">
      <c r="A1006" t="s">
        <v>4143</v>
      </c>
      <c r="B1006" t="s">
        <v>777</v>
      </c>
      <c r="C1006" t="s">
        <v>1167</v>
      </c>
      <c r="D1006" t="s">
        <v>1599</v>
      </c>
      <c r="E1006" t="s">
        <v>4144</v>
      </c>
      <c r="F1006" t="s">
        <v>1612</v>
      </c>
      <c r="I1006" t="s">
        <v>1077</v>
      </c>
      <c r="K1006">
        <v>1913</v>
      </c>
      <c r="L1006">
        <v>1914</v>
      </c>
      <c r="M1006" t="s">
        <v>228</v>
      </c>
      <c r="N1006" t="s">
        <v>228</v>
      </c>
      <c r="O1006" t="s">
        <v>3994</v>
      </c>
      <c r="P1006" t="s">
        <v>4145</v>
      </c>
      <c r="Q1006" t="str">
        <f>IF($C1006="","",IFERROR(VLOOKUP($C1006,sources!$A$2:$N$200,2,FALSE()),"?"))</f>
        <v>Report</v>
      </c>
      <c r="S1006" t="str">
        <f>IF($C1006="","",IFERROR(VLOOKUP($C1006,sources!$A$2:$N$200,9,FALSE()),"?"))</f>
        <v>US official</v>
      </c>
    </row>
    <row r="1007" spans="1:19" x14ac:dyDescent="0.2">
      <c r="A1007" t="s">
        <v>4146</v>
      </c>
      <c r="B1007" t="s">
        <v>780</v>
      </c>
      <c r="C1007" t="s">
        <v>1167</v>
      </c>
      <c r="D1007" t="s">
        <v>1599</v>
      </c>
      <c r="E1007" t="s">
        <v>4147</v>
      </c>
      <c r="F1007" t="s">
        <v>1612</v>
      </c>
      <c r="I1007" t="s">
        <v>1077</v>
      </c>
      <c r="K1007">
        <v>1915</v>
      </c>
      <c r="L1007">
        <v>1916</v>
      </c>
      <c r="M1007" t="s">
        <v>228</v>
      </c>
      <c r="N1007" t="s">
        <v>228</v>
      </c>
      <c r="O1007" t="s">
        <v>3994</v>
      </c>
      <c r="P1007" t="s">
        <v>4148</v>
      </c>
      <c r="Q1007" t="str">
        <f>IF($C1007="","",IFERROR(VLOOKUP($C1007,sources!$A$2:$N$200,2,FALSE()),"?"))</f>
        <v>Report</v>
      </c>
      <c r="S1007" t="str">
        <f>IF($C1007="","",IFERROR(VLOOKUP($C1007,sources!$A$2:$N$200,9,FALSE()),"?"))</f>
        <v>US official</v>
      </c>
    </row>
    <row r="1008" spans="1:19" x14ac:dyDescent="0.2">
      <c r="A1008" t="s">
        <v>4149</v>
      </c>
      <c r="B1008" t="s">
        <v>783</v>
      </c>
      <c r="C1008" t="s">
        <v>1167</v>
      </c>
      <c r="D1008" t="s">
        <v>1666</v>
      </c>
      <c r="E1008" t="s">
        <v>4150</v>
      </c>
      <c r="F1008" t="s">
        <v>1612</v>
      </c>
      <c r="I1008" t="s">
        <v>1077</v>
      </c>
      <c r="K1008">
        <v>1907</v>
      </c>
      <c r="L1008">
        <v>1941</v>
      </c>
      <c r="M1008" t="s">
        <v>228</v>
      </c>
      <c r="N1008" t="s">
        <v>228</v>
      </c>
      <c r="O1008" t="s">
        <v>3994</v>
      </c>
      <c r="P1008" t="s">
        <v>4151</v>
      </c>
      <c r="Q1008" t="str">
        <f>IF($C1008="","",IFERROR(VLOOKUP($C1008,sources!$A$2:$N$200,2,FALSE()),"?"))</f>
        <v>Report</v>
      </c>
      <c r="S1008" t="str">
        <f>IF($C1008="","",IFERROR(VLOOKUP($C1008,sources!$A$2:$N$200,9,FALSE()),"?"))</f>
        <v>US official</v>
      </c>
    </row>
    <row r="1009" spans="1:19" x14ac:dyDescent="0.2">
      <c r="A1009" t="s">
        <v>4152</v>
      </c>
      <c r="B1009" t="s">
        <v>786</v>
      </c>
      <c r="C1009" t="s">
        <v>1167</v>
      </c>
      <c r="D1009" t="s">
        <v>1599</v>
      </c>
      <c r="E1009" t="s">
        <v>4153</v>
      </c>
      <c r="F1009" t="s">
        <v>1612</v>
      </c>
      <c r="I1009" t="s">
        <v>1077</v>
      </c>
      <c r="K1009">
        <v>1915</v>
      </c>
      <c r="L1009">
        <v>1916</v>
      </c>
      <c r="M1009" t="s">
        <v>228</v>
      </c>
      <c r="N1009" t="s">
        <v>228</v>
      </c>
      <c r="O1009" t="s">
        <v>3994</v>
      </c>
      <c r="P1009" t="s">
        <v>4154</v>
      </c>
      <c r="Q1009" t="str">
        <f>IF($C1009="","",IFERROR(VLOOKUP($C1009,sources!$A$2:$N$200,2,FALSE()),"?"))</f>
        <v>Report</v>
      </c>
      <c r="S1009" t="str">
        <f>IF($C1009="","",IFERROR(VLOOKUP($C1009,sources!$A$2:$N$200,9,FALSE()),"?"))</f>
        <v>US official</v>
      </c>
    </row>
    <row r="1010" spans="1:19" x14ac:dyDescent="0.2">
      <c r="A1010" t="s">
        <v>4155</v>
      </c>
      <c r="B1010" t="s">
        <v>789</v>
      </c>
      <c r="C1010" t="s">
        <v>1167</v>
      </c>
      <c r="D1010" t="s">
        <v>1599</v>
      </c>
      <c r="E1010" t="s">
        <v>4156</v>
      </c>
      <c r="F1010" t="s">
        <v>1612</v>
      </c>
      <c r="I1010" t="s">
        <v>1077</v>
      </c>
      <c r="K1010">
        <v>1912</v>
      </c>
      <c r="L1010">
        <v>1913</v>
      </c>
      <c r="M1010" t="s">
        <v>228</v>
      </c>
      <c r="N1010" t="s">
        <v>228</v>
      </c>
      <c r="O1010" t="s">
        <v>3994</v>
      </c>
      <c r="P1010" t="s">
        <v>4157</v>
      </c>
      <c r="Q1010" t="str">
        <f>IF($C1010="","",IFERROR(VLOOKUP($C1010,sources!$A$2:$N$200,2,FALSE()),"?"))</f>
        <v>Report</v>
      </c>
      <c r="S1010" t="str">
        <f>IF($C1010="","",IFERROR(VLOOKUP($C1010,sources!$A$2:$N$200,9,FALSE()),"?"))</f>
        <v>US official</v>
      </c>
    </row>
    <row r="1011" spans="1:19" x14ac:dyDescent="0.2">
      <c r="A1011" t="s">
        <v>4158</v>
      </c>
      <c r="B1011" t="s">
        <v>491</v>
      </c>
      <c r="C1011" t="s">
        <v>1260</v>
      </c>
      <c r="D1011" t="s">
        <v>1599</v>
      </c>
      <c r="E1011" t="s">
        <v>492</v>
      </c>
      <c r="F1011" t="s">
        <v>1612</v>
      </c>
      <c r="I1011" t="s">
        <v>1077</v>
      </c>
      <c r="M1011" t="s">
        <v>209</v>
      </c>
      <c r="N1011" t="s">
        <v>228</v>
      </c>
      <c r="O1011" t="s">
        <v>4159</v>
      </c>
      <c r="P1011" t="s">
        <v>4160</v>
      </c>
      <c r="Q1011" t="str">
        <f>IF($C1011="","",IFERROR(VLOOKUP($C1011,sources!$A$2:$N$200,2,FALSE()),"?"))</f>
        <v>Photograph</v>
      </c>
      <c r="S1011" t="str">
        <f>IF($C1011="","",IFERROR(VLOOKUP($C1011,sources!$A$2:$N$200,9,FALSE()),"?"))</f>
        <v>US official</v>
      </c>
    </row>
    <row r="1012" spans="1:19" x14ac:dyDescent="0.2">
      <c r="A1012" t="s">
        <v>4161</v>
      </c>
      <c r="B1012" t="s">
        <v>503</v>
      </c>
      <c r="C1012" t="s">
        <v>1260</v>
      </c>
      <c r="D1012" t="s">
        <v>1599</v>
      </c>
      <c r="E1012" t="s">
        <v>504</v>
      </c>
      <c r="F1012" t="s">
        <v>1612</v>
      </c>
      <c r="I1012" t="s">
        <v>1077</v>
      </c>
      <c r="M1012" t="s">
        <v>209</v>
      </c>
      <c r="N1012" t="s">
        <v>228</v>
      </c>
      <c r="O1012" t="s">
        <v>4159</v>
      </c>
      <c r="P1012" t="s">
        <v>4162</v>
      </c>
      <c r="Q1012" t="str">
        <f>IF($C1012="","",IFERROR(VLOOKUP($C1012,sources!$A$2:$N$200,2,FALSE()),"?"))</f>
        <v>Photograph</v>
      </c>
      <c r="S1012" t="str">
        <f>IF($C1012="","",IFERROR(VLOOKUP($C1012,sources!$A$2:$N$200,9,FALSE()),"?"))</f>
        <v>US official</v>
      </c>
    </row>
    <row r="1013" spans="1:19" x14ac:dyDescent="0.2">
      <c r="A1013" t="s">
        <v>4163</v>
      </c>
      <c r="B1013" t="s">
        <v>514</v>
      </c>
      <c r="C1013" t="s">
        <v>1260</v>
      </c>
      <c r="D1013" t="s">
        <v>1599</v>
      </c>
      <c r="E1013" t="s">
        <v>515</v>
      </c>
      <c r="F1013" t="s">
        <v>1612</v>
      </c>
      <c r="I1013" t="s">
        <v>1077</v>
      </c>
      <c r="M1013" t="s">
        <v>209</v>
      </c>
      <c r="N1013" t="s">
        <v>228</v>
      </c>
      <c r="O1013" t="s">
        <v>4159</v>
      </c>
      <c r="P1013" t="s">
        <v>4164</v>
      </c>
      <c r="Q1013" t="str">
        <f>IF($C1013="","",IFERROR(VLOOKUP($C1013,sources!$A$2:$N$200,2,FALSE()),"?"))</f>
        <v>Photograph</v>
      </c>
      <c r="S1013" t="str">
        <f>IF($C1013="","",IFERROR(VLOOKUP($C1013,sources!$A$2:$N$200,9,FALSE()),"?"))</f>
        <v>US official</v>
      </c>
    </row>
    <row r="1014" spans="1:19" x14ac:dyDescent="0.2">
      <c r="A1014" t="s">
        <v>4165</v>
      </c>
      <c r="B1014" t="s">
        <v>654</v>
      </c>
      <c r="C1014" t="s">
        <v>1260</v>
      </c>
      <c r="D1014" t="s">
        <v>1599</v>
      </c>
      <c r="E1014" t="s">
        <v>655</v>
      </c>
      <c r="F1014" t="s">
        <v>1612</v>
      </c>
      <c r="I1014" t="s">
        <v>1077</v>
      </c>
      <c r="M1014" t="s">
        <v>209</v>
      </c>
      <c r="N1014" t="s">
        <v>228</v>
      </c>
      <c r="O1014" t="s">
        <v>4159</v>
      </c>
      <c r="P1014" t="s">
        <v>4166</v>
      </c>
      <c r="Q1014" t="str">
        <f>IF($C1014="","",IFERROR(VLOOKUP($C1014,sources!$A$2:$N$200,2,FALSE()),"?"))</f>
        <v>Photograph</v>
      </c>
      <c r="S1014" t="str">
        <f>IF($C1014="","",IFERROR(VLOOKUP($C1014,sources!$A$2:$N$200,9,FALSE()),"?"))</f>
        <v>US official</v>
      </c>
    </row>
    <row r="1015" spans="1:19" x14ac:dyDescent="0.2">
      <c r="A1015" t="s">
        <v>4167</v>
      </c>
      <c r="B1015" t="s">
        <v>662</v>
      </c>
      <c r="C1015" t="s">
        <v>1260</v>
      </c>
      <c r="D1015" t="s">
        <v>1599</v>
      </c>
      <c r="E1015" t="s">
        <v>663</v>
      </c>
      <c r="F1015" t="s">
        <v>1612</v>
      </c>
      <c r="I1015" t="s">
        <v>1077</v>
      </c>
      <c r="M1015" t="s">
        <v>209</v>
      </c>
      <c r="N1015" t="s">
        <v>228</v>
      </c>
      <c r="O1015" t="s">
        <v>4159</v>
      </c>
      <c r="P1015" t="s">
        <v>4168</v>
      </c>
      <c r="Q1015" t="str">
        <f>IF($C1015="","",IFERROR(VLOOKUP($C1015,sources!$A$2:$N$200,2,FALSE()),"?"))</f>
        <v>Photograph</v>
      </c>
      <c r="S1015" t="str">
        <f>IF($C1015="","",IFERROR(VLOOKUP($C1015,sources!$A$2:$N$200,9,FALSE()),"?"))</f>
        <v>US official</v>
      </c>
    </row>
    <row r="1016" spans="1:19" x14ac:dyDescent="0.2">
      <c r="A1016" t="s">
        <v>4169</v>
      </c>
      <c r="B1016" t="s">
        <v>665</v>
      </c>
      <c r="C1016" t="s">
        <v>1260</v>
      </c>
      <c r="D1016" t="s">
        <v>1599</v>
      </c>
      <c r="E1016" t="s">
        <v>666</v>
      </c>
      <c r="F1016" t="s">
        <v>1612</v>
      </c>
      <c r="I1016" t="s">
        <v>1077</v>
      </c>
      <c r="M1016" t="s">
        <v>209</v>
      </c>
      <c r="N1016" t="s">
        <v>228</v>
      </c>
      <c r="O1016" t="s">
        <v>4159</v>
      </c>
      <c r="P1016" t="s">
        <v>4170</v>
      </c>
      <c r="Q1016" t="str">
        <f>IF($C1016="","",IFERROR(VLOOKUP($C1016,sources!$A$2:$N$200,2,FALSE()),"?"))</f>
        <v>Photograph</v>
      </c>
      <c r="S1016" t="str">
        <f>IF($C1016="","",IFERROR(VLOOKUP($C1016,sources!$A$2:$N$200,9,FALSE()),"?"))</f>
        <v>US official</v>
      </c>
    </row>
    <row r="1017" spans="1:19" x14ac:dyDescent="0.2">
      <c r="A1017" t="s">
        <v>4171</v>
      </c>
      <c r="B1017" t="s">
        <v>668</v>
      </c>
      <c r="C1017" t="s">
        <v>1260</v>
      </c>
      <c r="D1017" t="s">
        <v>1599</v>
      </c>
      <c r="E1017" t="s">
        <v>669</v>
      </c>
      <c r="F1017" t="s">
        <v>1612</v>
      </c>
      <c r="I1017" t="s">
        <v>1077</v>
      </c>
      <c r="M1017" t="s">
        <v>209</v>
      </c>
      <c r="N1017" t="s">
        <v>228</v>
      </c>
      <c r="O1017" t="s">
        <v>4159</v>
      </c>
      <c r="P1017" t="s">
        <v>4172</v>
      </c>
      <c r="Q1017" t="str">
        <f>IF($C1017="","",IFERROR(VLOOKUP($C1017,sources!$A$2:$N$200,2,FALSE()),"?"))</f>
        <v>Photograph</v>
      </c>
      <c r="S1017" t="str">
        <f>IF($C1017="","",IFERROR(VLOOKUP($C1017,sources!$A$2:$N$200,9,FALSE()),"?"))</f>
        <v>US official</v>
      </c>
    </row>
    <row r="1018" spans="1:19" x14ac:dyDescent="0.2">
      <c r="A1018" t="s">
        <v>4173</v>
      </c>
      <c r="B1018" t="s">
        <v>638</v>
      </c>
      <c r="C1018" t="s">
        <v>1260</v>
      </c>
      <c r="D1018" t="s">
        <v>1599</v>
      </c>
      <c r="E1018" t="s">
        <v>639</v>
      </c>
      <c r="F1018" t="s">
        <v>1612</v>
      </c>
      <c r="I1018" t="s">
        <v>1077</v>
      </c>
      <c r="M1018" t="s">
        <v>209</v>
      </c>
      <c r="N1018" t="s">
        <v>228</v>
      </c>
      <c r="O1018" t="s">
        <v>4159</v>
      </c>
      <c r="P1018" t="s">
        <v>4174</v>
      </c>
      <c r="Q1018" t="str">
        <f>IF($C1018="","",IFERROR(VLOOKUP($C1018,sources!$A$2:$N$200,2,FALSE()),"?"))</f>
        <v>Photograph</v>
      </c>
      <c r="S1018" t="str">
        <f>IF($C1018="","",IFERROR(VLOOKUP($C1018,sources!$A$2:$N$200,9,FALSE()),"?"))</f>
        <v>US official</v>
      </c>
    </row>
    <row r="1019" spans="1:19" x14ac:dyDescent="0.2">
      <c r="A1019" t="s">
        <v>4175</v>
      </c>
      <c r="B1019" t="s">
        <v>644</v>
      </c>
      <c r="C1019" t="s">
        <v>1260</v>
      </c>
      <c r="D1019" t="s">
        <v>1599</v>
      </c>
      <c r="E1019" t="s">
        <v>645</v>
      </c>
      <c r="F1019" t="s">
        <v>1612</v>
      </c>
      <c r="I1019" t="s">
        <v>1077</v>
      </c>
      <c r="M1019" t="s">
        <v>209</v>
      </c>
      <c r="N1019" t="s">
        <v>228</v>
      </c>
      <c r="O1019" t="s">
        <v>4159</v>
      </c>
      <c r="P1019" t="s">
        <v>4176</v>
      </c>
      <c r="Q1019" t="str">
        <f>IF($C1019="","",IFERROR(VLOOKUP($C1019,sources!$A$2:$N$200,2,FALSE()),"?"))</f>
        <v>Photograph</v>
      </c>
      <c r="S1019" t="str">
        <f>IF($C1019="","",IFERROR(VLOOKUP($C1019,sources!$A$2:$N$200,9,FALSE()),"?"))</f>
        <v>US official</v>
      </c>
    </row>
    <row r="1020" spans="1:19" x14ac:dyDescent="0.2">
      <c r="A1020" t="s">
        <v>4177</v>
      </c>
      <c r="B1020" t="s">
        <v>649</v>
      </c>
      <c r="C1020" t="s">
        <v>1260</v>
      </c>
      <c r="D1020" t="s">
        <v>1599</v>
      </c>
      <c r="E1020" t="s">
        <v>650</v>
      </c>
      <c r="F1020" t="s">
        <v>1612</v>
      </c>
      <c r="I1020" t="s">
        <v>1077</v>
      </c>
      <c r="M1020" t="s">
        <v>209</v>
      </c>
      <c r="N1020" t="s">
        <v>228</v>
      </c>
      <c r="O1020" t="s">
        <v>4159</v>
      </c>
      <c r="P1020" t="s">
        <v>4178</v>
      </c>
      <c r="Q1020" t="str">
        <f>IF($C1020="","",IFERROR(VLOOKUP($C1020,sources!$A$2:$N$200,2,FALSE()),"?"))</f>
        <v>Photograph</v>
      </c>
      <c r="S1020" t="str">
        <f>IF($C1020="","",IFERROR(VLOOKUP($C1020,sources!$A$2:$N$200,9,FALSE()),"?"))</f>
        <v>US official</v>
      </c>
    </row>
    <row r="1021" spans="1:19" x14ac:dyDescent="0.2">
      <c r="A1021" t="s">
        <v>4179</v>
      </c>
      <c r="B1021" t="s">
        <v>611</v>
      </c>
      <c r="C1021" t="s">
        <v>1260</v>
      </c>
      <c r="D1021" t="s">
        <v>1599</v>
      </c>
      <c r="E1021" t="s">
        <v>612</v>
      </c>
      <c r="F1021" t="s">
        <v>1612</v>
      </c>
      <c r="I1021" t="s">
        <v>1077</v>
      </c>
      <c r="M1021" t="s">
        <v>209</v>
      </c>
      <c r="N1021" t="s">
        <v>228</v>
      </c>
      <c r="O1021" t="s">
        <v>4159</v>
      </c>
      <c r="P1021" t="s">
        <v>4180</v>
      </c>
      <c r="Q1021" t="str">
        <f>IF($C1021="","",IFERROR(VLOOKUP($C1021,sources!$A$2:$N$200,2,FALSE()),"?"))</f>
        <v>Photograph</v>
      </c>
      <c r="S1021" t="str">
        <f>IF($C1021="","",IFERROR(VLOOKUP($C1021,sources!$A$2:$N$200,9,FALSE()),"?"))</f>
        <v>US official</v>
      </c>
    </row>
    <row r="1022" spans="1:19" x14ac:dyDescent="0.2">
      <c r="A1022" t="s">
        <v>4181</v>
      </c>
      <c r="B1022" t="s">
        <v>584</v>
      </c>
      <c r="C1022" t="s">
        <v>1260</v>
      </c>
      <c r="D1022" t="s">
        <v>1599</v>
      </c>
      <c r="E1022" t="s">
        <v>585</v>
      </c>
      <c r="F1022" t="s">
        <v>1612</v>
      </c>
      <c r="I1022" t="s">
        <v>1077</v>
      </c>
      <c r="K1022">
        <v>1896</v>
      </c>
      <c r="L1022">
        <v>1896</v>
      </c>
      <c r="M1022" t="s">
        <v>222</v>
      </c>
      <c r="N1022" t="s">
        <v>228</v>
      </c>
      <c r="O1022" t="s">
        <v>4159</v>
      </c>
      <c r="P1022" t="s">
        <v>4182</v>
      </c>
      <c r="Q1022" t="str">
        <f>IF($C1022="","",IFERROR(VLOOKUP($C1022,sources!$A$2:$N$200,2,FALSE()),"?"))</f>
        <v>Photograph</v>
      </c>
      <c r="S1022" t="str">
        <f>IF($C1022="","",IFERROR(VLOOKUP($C1022,sources!$A$2:$N$200,9,FALSE()),"?"))</f>
        <v>US official</v>
      </c>
    </row>
    <row r="1023" spans="1:19" x14ac:dyDescent="0.2">
      <c r="A1023" t="s">
        <v>4183</v>
      </c>
      <c r="B1023" t="s">
        <v>594</v>
      </c>
      <c r="C1023" t="s">
        <v>1260</v>
      </c>
      <c r="D1023" t="s">
        <v>1666</v>
      </c>
      <c r="E1023" t="s">
        <v>595</v>
      </c>
      <c r="F1023" t="s">
        <v>1612</v>
      </c>
      <c r="I1023" t="s">
        <v>1077</v>
      </c>
      <c r="M1023" t="s">
        <v>209</v>
      </c>
      <c r="N1023" t="s">
        <v>228</v>
      </c>
      <c r="O1023" t="s">
        <v>4159</v>
      </c>
      <c r="P1023" t="s">
        <v>4184</v>
      </c>
      <c r="Q1023" t="str">
        <f>IF($C1023="","",IFERROR(VLOOKUP($C1023,sources!$A$2:$N$200,2,FALSE()),"?"))</f>
        <v>Photograph</v>
      </c>
      <c r="S1023" t="str">
        <f>IF($C1023="","",IFERROR(VLOOKUP($C1023,sources!$A$2:$N$200,9,FALSE()),"?"))</f>
        <v>US official</v>
      </c>
    </row>
    <row r="1024" spans="1:19" x14ac:dyDescent="0.2">
      <c r="A1024" t="s">
        <v>4185</v>
      </c>
      <c r="B1024" t="s">
        <v>599</v>
      </c>
      <c r="C1024" t="s">
        <v>1260</v>
      </c>
      <c r="D1024" t="s">
        <v>1599</v>
      </c>
      <c r="E1024" t="s">
        <v>600</v>
      </c>
      <c r="F1024" t="s">
        <v>1612</v>
      </c>
      <c r="I1024" t="s">
        <v>1077</v>
      </c>
      <c r="K1024">
        <v>1905</v>
      </c>
      <c r="L1024">
        <v>1905</v>
      </c>
      <c r="M1024" t="s">
        <v>222</v>
      </c>
      <c r="N1024" t="s">
        <v>228</v>
      </c>
      <c r="O1024" t="s">
        <v>4159</v>
      </c>
      <c r="P1024" t="s">
        <v>4186</v>
      </c>
      <c r="Q1024" t="str">
        <f>IF($C1024="","",IFERROR(VLOOKUP($C1024,sources!$A$2:$N$200,2,FALSE()),"?"))</f>
        <v>Photograph</v>
      </c>
      <c r="S1024" t="str">
        <f>IF($C1024="","",IFERROR(VLOOKUP($C1024,sources!$A$2:$N$200,9,FALSE()),"?"))</f>
        <v>US official</v>
      </c>
    </row>
    <row r="1025" spans="1:19" x14ac:dyDescent="0.2">
      <c r="A1025" t="s">
        <v>4187</v>
      </c>
      <c r="B1025" t="s">
        <v>614</v>
      </c>
      <c r="C1025" t="s">
        <v>1260</v>
      </c>
      <c r="D1025" t="s">
        <v>1599</v>
      </c>
      <c r="E1025" t="s">
        <v>615</v>
      </c>
      <c r="F1025" t="s">
        <v>1612</v>
      </c>
      <c r="I1025" t="s">
        <v>1077</v>
      </c>
      <c r="M1025" t="s">
        <v>209</v>
      </c>
      <c r="N1025" t="s">
        <v>228</v>
      </c>
      <c r="O1025" t="s">
        <v>4159</v>
      </c>
      <c r="P1025" t="s">
        <v>4188</v>
      </c>
      <c r="Q1025" t="str">
        <f>IF($C1025="","",IFERROR(VLOOKUP($C1025,sources!$A$2:$N$200,2,FALSE()),"?"))</f>
        <v>Photograph</v>
      </c>
      <c r="S1025" t="str">
        <f>IF($C1025="","",IFERROR(VLOOKUP($C1025,sources!$A$2:$N$200,9,FALSE()),"?"))</f>
        <v>US official</v>
      </c>
    </row>
    <row r="1026" spans="1:19" x14ac:dyDescent="0.2">
      <c r="A1026" t="s">
        <v>4189</v>
      </c>
      <c r="B1026" t="s">
        <v>622</v>
      </c>
      <c r="C1026" t="s">
        <v>1260</v>
      </c>
      <c r="D1026" t="s">
        <v>1666</v>
      </c>
      <c r="E1026" t="s">
        <v>623</v>
      </c>
      <c r="F1026" t="s">
        <v>1612</v>
      </c>
      <c r="I1026" t="s">
        <v>1077</v>
      </c>
      <c r="M1026" t="s">
        <v>209</v>
      </c>
      <c r="N1026" t="s">
        <v>228</v>
      </c>
      <c r="O1026" t="s">
        <v>4159</v>
      </c>
      <c r="P1026" t="s">
        <v>4184</v>
      </c>
      <c r="Q1026" t="str">
        <f>IF($C1026="","",IFERROR(VLOOKUP($C1026,sources!$A$2:$N$200,2,FALSE()),"?"))</f>
        <v>Photograph</v>
      </c>
      <c r="S1026" t="str">
        <f>IF($C1026="","",IFERROR(VLOOKUP($C1026,sources!$A$2:$N$200,9,FALSE()),"?"))</f>
        <v>US official</v>
      </c>
    </row>
    <row r="1027" spans="1:19" x14ac:dyDescent="0.2">
      <c r="A1027" t="s">
        <v>4190</v>
      </c>
      <c r="B1027" t="s">
        <v>626</v>
      </c>
      <c r="C1027" t="s">
        <v>1260</v>
      </c>
      <c r="D1027" t="s">
        <v>1599</v>
      </c>
      <c r="E1027" t="s">
        <v>627</v>
      </c>
      <c r="F1027" t="s">
        <v>1612</v>
      </c>
      <c r="I1027" t="s">
        <v>1077</v>
      </c>
      <c r="M1027" t="s">
        <v>209</v>
      </c>
      <c r="N1027" t="s">
        <v>228</v>
      </c>
      <c r="O1027" t="s">
        <v>4159</v>
      </c>
      <c r="P1027" t="s">
        <v>4191</v>
      </c>
      <c r="Q1027" t="str">
        <f>IF($C1027="","",IFERROR(VLOOKUP($C1027,sources!$A$2:$N$200,2,FALSE()),"?"))</f>
        <v>Photograph</v>
      </c>
      <c r="S1027" t="str">
        <f>IF($C1027="","",IFERROR(VLOOKUP($C1027,sources!$A$2:$N$200,9,FALSE()),"?"))</f>
        <v>US official</v>
      </c>
    </row>
    <row r="1028" spans="1:19" x14ac:dyDescent="0.2">
      <c r="A1028" t="s">
        <v>4192</v>
      </c>
      <c r="B1028" t="s">
        <v>517</v>
      </c>
      <c r="C1028" t="s">
        <v>1260</v>
      </c>
      <c r="D1028" t="s">
        <v>1599</v>
      </c>
      <c r="E1028" t="s">
        <v>518</v>
      </c>
      <c r="F1028" t="s">
        <v>1612</v>
      </c>
      <c r="I1028" t="s">
        <v>1077</v>
      </c>
      <c r="M1028" t="s">
        <v>209</v>
      </c>
      <c r="N1028" t="s">
        <v>228</v>
      </c>
      <c r="O1028" t="s">
        <v>4159</v>
      </c>
      <c r="P1028" t="s">
        <v>4193</v>
      </c>
      <c r="Q1028" t="str">
        <f>IF($C1028="","",IFERROR(VLOOKUP($C1028,sources!$A$2:$N$200,2,FALSE()),"?"))</f>
        <v>Photograph</v>
      </c>
      <c r="S1028" t="str">
        <f>IF($C1028="","",IFERROR(VLOOKUP($C1028,sources!$A$2:$N$200,9,FALSE()),"?"))</f>
        <v>US official</v>
      </c>
    </row>
    <row r="1029" spans="1:19" x14ac:dyDescent="0.2">
      <c r="A1029" t="s">
        <v>4194</v>
      </c>
      <c r="B1029" t="s">
        <v>589</v>
      </c>
      <c r="C1029" t="s">
        <v>1260</v>
      </c>
      <c r="D1029" t="s">
        <v>1666</v>
      </c>
      <c r="E1029" t="s">
        <v>590</v>
      </c>
      <c r="F1029" t="s">
        <v>1612</v>
      </c>
      <c r="I1029" t="s">
        <v>1077</v>
      </c>
      <c r="M1029" t="s">
        <v>209</v>
      </c>
      <c r="N1029" t="s">
        <v>228</v>
      </c>
      <c r="O1029" t="s">
        <v>4159</v>
      </c>
      <c r="P1029" t="s">
        <v>4184</v>
      </c>
      <c r="Q1029" t="str">
        <f>IF($C1029="","",IFERROR(VLOOKUP($C1029,sources!$A$2:$N$200,2,FALSE()),"?"))</f>
        <v>Photograph</v>
      </c>
      <c r="S1029" t="str">
        <f>IF($C1029="","",IFERROR(VLOOKUP($C1029,sources!$A$2:$N$200,9,FALSE()),"?"))</f>
        <v>US official</v>
      </c>
    </row>
    <row r="1030" spans="1:19" x14ac:dyDescent="0.2">
      <c r="A1030" t="s">
        <v>4195</v>
      </c>
      <c r="B1030" t="s">
        <v>509</v>
      </c>
      <c r="C1030" t="s">
        <v>1260</v>
      </c>
      <c r="D1030" t="s">
        <v>1599</v>
      </c>
      <c r="E1030" t="s">
        <v>510</v>
      </c>
      <c r="F1030" t="s">
        <v>1612</v>
      </c>
      <c r="I1030" t="s">
        <v>1077</v>
      </c>
      <c r="M1030" t="s">
        <v>209</v>
      </c>
      <c r="N1030" t="s">
        <v>228</v>
      </c>
      <c r="O1030" t="s">
        <v>4159</v>
      </c>
      <c r="P1030" t="s">
        <v>4196</v>
      </c>
      <c r="Q1030" t="str">
        <f>IF($C1030="","",IFERROR(VLOOKUP($C1030,sources!$A$2:$N$200,2,FALSE()),"?"))</f>
        <v>Photograph</v>
      </c>
      <c r="S1030" t="str">
        <f>IF($C1030="","",IFERROR(VLOOKUP($C1030,sources!$A$2:$N$200,9,FALSE()),"?"))</f>
        <v>US official</v>
      </c>
    </row>
    <row r="1031" spans="1:19" x14ac:dyDescent="0.2">
      <c r="A1031" t="s">
        <v>4197</v>
      </c>
      <c r="B1031" t="s">
        <v>522</v>
      </c>
      <c r="C1031" t="s">
        <v>1260</v>
      </c>
      <c r="D1031" t="s">
        <v>1599</v>
      </c>
      <c r="E1031" t="s">
        <v>523</v>
      </c>
      <c r="F1031" t="s">
        <v>1612</v>
      </c>
      <c r="I1031" t="s">
        <v>1077</v>
      </c>
      <c r="M1031" t="s">
        <v>209</v>
      </c>
      <c r="N1031" t="s">
        <v>228</v>
      </c>
      <c r="O1031" t="s">
        <v>4159</v>
      </c>
      <c r="P1031" t="s">
        <v>4198</v>
      </c>
      <c r="Q1031" t="str">
        <f>IF($C1031="","",IFERROR(VLOOKUP($C1031,sources!$A$2:$N$200,2,FALSE()),"?"))</f>
        <v>Photograph</v>
      </c>
      <c r="S1031" t="str">
        <f>IF($C1031="","",IFERROR(VLOOKUP($C1031,sources!$A$2:$N$200,9,FALSE()),"?"))</f>
        <v>US official</v>
      </c>
    </row>
    <row r="1032" spans="1:19" x14ac:dyDescent="0.2">
      <c r="A1032" t="s">
        <v>4199</v>
      </c>
      <c r="B1032" t="s">
        <v>526</v>
      </c>
      <c r="C1032" t="s">
        <v>1260</v>
      </c>
      <c r="D1032" t="s">
        <v>1666</v>
      </c>
      <c r="E1032" t="s">
        <v>527</v>
      </c>
      <c r="F1032" t="s">
        <v>1612</v>
      </c>
      <c r="I1032" t="s">
        <v>1077</v>
      </c>
      <c r="M1032" t="s">
        <v>209</v>
      </c>
      <c r="N1032" t="s">
        <v>228</v>
      </c>
      <c r="O1032" t="s">
        <v>4159</v>
      </c>
      <c r="P1032" t="s">
        <v>4184</v>
      </c>
      <c r="Q1032" t="str">
        <f>IF($C1032="","",IFERROR(VLOOKUP($C1032,sources!$A$2:$N$200,2,FALSE()),"?"))</f>
        <v>Photograph</v>
      </c>
      <c r="S1032" t="str">
        <f>IF($C1032="","",IFERROR(VLOOKUP($C1032,sources!$A$2:$N$200,9,FALSE()),"?"))</f>
        <v>US official</v>
      </c>
    </row>
    <row r="1033" spans="1:19" x14ac:dyDescent="0.2">
      <c r="A1033" t="s">
        <v>4200</v>
      </c>
      <c r="B1033" t="s">
        <v>529</v>
      </c>
      <c r="C1033" t="s">
        <v>1260</v>
      </c>
      <c r="D1033" t="s">
        <v>1599</v>
      </c>
      <c r="E1033" t="s">
        <v>530</v>
      </c>
      <c r="F1033" t="s">
        <v>1612</v>
      </c>
      <c r="I1033" t="s">
        <v>1077</v>
      </c>
      <c r="M1033" t="s">
        <v>209</v>
      </c>
      <c r="N1033" t="s">
        <v>228</v>
      </c>
      <c r="O1033" t="s">
        <v>4159</v>
      </c>
      <c r="P1033" t="s">
        <v>4201</v>
      </c>
      <c r="Q1033" t="str">
        <f>IF($C1033="","",IFERROR(VLOOKUP($C1033,sources!$A$2:$N$200,2,FALSE()),"?"))</f>
        <v>Photograph</v>
      </c>
      <c r="S1033" t="str">
        <f>IF($C1033="","",IFERROR(VLOOKUP($C1033,sources!$A$2:$N$200,9,FALSE()),"?"))</f>
        <v>US official</v>
      </c>
    </row>
    <row r="1034" spans="1:19" x14ac:dyDescent="0.2">
      <c r="A1034" t="s">
        <v>4202</v>
      </c>
      <c r="B1034" t="s">
        <v>534</v>
      </c>
      <c r="C1034" t="s">
        <v>1260</v>
      </c>
      <c r="D1034" t="s">
        <v>1599</v>
      </c>
      <c r="E1034" t="s">
        <v>535</v>
      </c>
      <c r="F1034" t="s">
        <v>1612</v>
      </c>
      <c r="I1034" t="s">
        <v>1077</v>
      </c>
      <c r="M1034" t="s">
        <v>209</v>
      </c>
      <c r="N1034" t="s">
        <v>228</v>
      </c>
      <c r="O1034" t="s">
        <v>4159</v>
      </c>
      <c r="P1034" t="s">
        <v>4203</v>
      </c>
      <c r="Q1034" t="str">
        <f>IF($C1034="","",IFERROR(VLOOKUP($C1034,sources!$A$2:$N$200,2,FALSE()),"?"))</f>
        <v>Photograph</v>
      </c>
      <c r="S1034" t="str">
        <f>IF($C1034="","",IFERROR(VLOOKUP($C1034,sources!$A$2:$N$200,9,FALSE()),"?"))</f>
        <v>US official</v>
      </c>
    </row>
    <row r="1035" spans="1:19" x14ac:dyDescent="0.2">
      <c r="A1035" t="s">
        <v>4204</v>
      </c>
      <c r="B1035" t="s">
        <v>539</v>
      </c>
      <c r="C1035" t="s">
        <v>1260</v>
      </c>
      <c r="D1035" t="s">
        <v>1599</v>
      </c>
      <c r="E1035" t="s">
        <v>540</v>
      </c>
      <c r="F1035" t="s">
        <v>1612</v>
      </c>
      <c r="I1035" t="s">
        <v>1077</v>
      </c>
      <c r="M1035" t="s">
        <v>209</v>
      </c>
      <c r="N1035" t="s">
        <v>228</v>
      </c>
      <c r="O1035" t="s">
        <v>4159</v>
      </c>
      <c r="P1035" t="s">
        <v>4205</v>
      </c>
      <c r="Q1035" t="str">
        <f>IF($C1035="","",IFERROR(VLOOKUP($C1035,sources!$A$2:$N$200,2,FALSE()),"?"))</f>
        <v>Photograph</v>
      </c>
      <c r="S1035" t="str">
        <f>IF($C1035="","",IFERROR(VLOOKUP($C1035,sources!$A$2:$N$200,9,FALSE()),"?"))</f>
        <v>US official</v>
      </c>
    </row>
    <row r="1036" spans="1:19" x14ac:dyDescent="0.2">
      <c r="A1036" t="s">
        <v>4206</v>
      </c>
      <c r="B1036" t="s">
        <v>544</v>
      </c>
      <c r="C1036" t="s">
        <v>1260</v>
      </c>
      <c r="D1036" t="s">
        <v>1599</v>
      </c>
      <c r="E1036" t="s">
        <v>545</v>
      </c>
      <c r="F1036" t="s">
        <v>1612</v>
      </c>
      <c r="I1036" t="s">
        <v>1077</v>
      </c>
      <c r="M1036" t="s">
        <v>209</v>
      </c>
      <c r="N1036" t="s">
        <v>228</v>
      </c>
      <c r="O1036" t="s">
        <v>4159</v>
      </c>
      <c r="P1036" t="s">
        <v>4207</v>
      </c>
      <c r="Q1036" t="str">
        <f>IF($C1036="","",IFERROR(VLOOKUP($C1036,sources!$A$2:$N$200,2,FALSE()),"?"))</f>
        <v>Photograph</v>
      </c>
      <c r="S1036" t="str">
        <f>IF($C1036="","",IFERROR(VLOOKUP($C1036,sources!$A$2:$N$200,9,FALSE()),"?"))</f>
        <v>US official</v>
      </c>
    </row>
    <row r="1037" spans="1:19" x14ac:dyDescent="0.2">
      <c r="A1037" t="s">
        <v>4208</v>
      </c>
      <c r="B1037" t="s">
        <v>549</v>
      </c>
      <c r="C1037" t="s">
        <v>1260</v>
      </c>
      <c r="D1037" t="s">
        <v>1599</v>
      </c>
      <c r="E1037" t="s">
        <v>550</v>
      </c>
      <c r="F1037" t="s">
        <v>1612</v>
      </c>
      <c r="I1037" t="s">
        <v>1077</v>
      </c>
      <c r="M1037" t="s">
        <v>209</v>
      </c>
      <c r="N1037" t="s">
        <v>228</v>
      </c>
      <c r="O1037" t="s">
        <v>4159</v>
      </c>
      <c r="P1037" t="s">
        <v>4209</v>
      </c>
      <c r="Q1037" t="str">
        <f>IF($C1037="","",IFERROR(VLOOKUP($C1037,sources!$A$2:$N$200,2,FALSE()),"?"))</f>
        <v>Photograph</v>
      </c>
      <c r="S1037" t="str">
        <f>IF($C1037="","",IFERROR(VLOOKUP($C1037,sources!$A$2:$N$200,9,FALSE()),"?"))</f>
        <v>US official</v>
      </c>
    </row>
    <row r="1038" spans="1:19" x14ac:dyDescent="0.2">
      <c r="A1038" t="s">
        <v>4210</v>
      </c>
      <c r="B1038" t="s">
        <v>553</v>
      </c>
      <c r="C1038" t="s">
        <v>1260</v>
      </c>
      <c r="D1038" t="s">
        <v>1599</v>
      </c>
      <c r="E1038" t="s">
        <v>554</v>
      </c>
      <c r="F1038" t="s">
        <v>1612</v>
      </c>
      <c r="I1038" t="s">
        <v>1077</v>
      </c>
      <c r="M1038" t="s">
        <v>209</v>
      </c>
      <c r="N1038" t="s">
        <v>228</v>
      </c>
      <c r="O1038" t="s">
        <v>4159</v>
      </c>
      <c r="P1038" t="s">
        <v>4211</v>
      </c>
      <c r="Q1038" t="str">
        <f>IF($C1038="","",IFERROR(VLOOKUP($C1038,sources!$A$2:$N$200,2,FALSE()),"?"))</f>
        <v>Photograph</v>
      </c>
      <c r="S1038" t="str">
        <f>IF($C1038="","",IFERROR(VLOOKUP($C1038,sources!$A$2:$N$200,9,FALSE()),"?"))</f>
        <v>US official</v>
      </c>
    </row>
    <row r="1039" spans="1:19" x14ac:dyDescent="0.2">
      <c r="A1039" t="s">
        <v>4212</v>
      </c>
      <c r="B1039" t="s">
        <v>557</v>
      </c>
      <c r="C1039" t="s">
        <v>1260</v>
      </c>
      <c r="D1039" t="s">
        <v>1599</v>
      </c>
      <c r="E1039" t="s">
        <v>558</v>
      </c>
      <c r="F1039" t="s">
        <v>1612</v>
      </c>
      <c r="I1039" t="s">
        <v>1077</v>
      </c>
      <c r="M1039" t="s">
        <v>209</v>
      </c>
      <c r="N1039" t="s">
        <v>228</v>
      </c>
      <c r="O1039" t="s">
        <v>4159</v>
      </c>
      <c r="P1039" t="s">
        <v>4213</v>
      </c>
      <c r="Q1039" t="str">
        <f>IF($C1039="","",IFERROR(VLOOKUP($C1039,sources!$A$2:$N$200,2,FALSE()),"?"))</f>
        <v>Photograph</v>
      </c>
      <c r="S1039" t="str">
        <f>IF($C1039="","",IFERROR(VLOOKUP($C1039,sources!$A$2:$N$200,9,FALSE()),"?"))</f>
        <v>US official</v>
      </c>
    </row>
    <row r="1040" spans="1:19" x14ac:dyDescent="0.2">
      <c r="A1040" t="s">
        <v>4214</v>
      </c>
      <c r="B1040" t="s">
        <v>561</v>
      </c>
      <c r="C1040" t="s">
        <v>1260</v>
      </c>
      <c r="D1040" t="s">
        <v>1599</v>
      </c>
      <c r="E1040" t="s">
        <v>562</v>
      </c>
      <c r="F1040" t="s">
        <v>1612</v>
      </c>
      <c r="I1040" t="s">
        <v>1077</v>
      </c>
      <c r="M1040" t="s">
        <v>209</v>
      </c>
      <c r="N1040" t="s">
        <v>228</v>
      </c>
      <c r="O1040" t="s">
        <v>4159</v>
      </c>
      <c r="P1040" t="s">
        <v>4215</v>
      </c>
      <c r="Q1040" t="str">
        <f>IF($C1040="","",IFERROR(VLOOKUP($C1040,sources!$A$2:$N$200,2,FALSE()),"?"))</f>
        <v>Photograph</v>
      </c>
      <c r="S1040" t="str">
        <f>IF($C1040="","",IFERROR(VLOOKUP($C1040,sources!$A$2:$N$200,9,FALSE()),"?"))</f>
        <v>US official</v>
      </c>
    </row>
    <row r="1041" spans="1:19" x14ac:dyDescent="0.2">
      <c r="A1041" t="s">
        <v>4216</v>
      </c>
      <c r="B1041" t="s">
        <v>566</v>
      </c>
      <c r="C1041" t="s">
        <v>1260</v>
      </c>
      <c r="D1041" t="s">
        <v>1599</v>
      </c>
      <c r="E1041" t="s">
        <v>567</v>
      </c>
      <c r="F1041" t="s">
        <v>1612</v>
      </c>
      <c r="I1041" t="s">
        <v>1077</v>
      </c>
      <c r="K1041">
        <v>1916</v>
      </c>
      <c r="L1041">
        <v>1916</v>
      </c>
      <c r="M1041" t="s">
        <v>222</v>
      </c>
      <c r="N1041" t="s">
        <v>228</v>
      </c>
      <c r="O1041" t="s">
        <v>4159</v>
      </c>
      <c r="P1041" t="s">
        <v>4217</v>
      </c>
      <c r="Q1041" t="str">
        <f>IF($C1041="","",IFERROR(VLOOKUP($C1041,sources!$A$2:$N$200,2,FALSE()),"?"))</f>
        <v>Photograph</v>
      </c>
      <c r="S1041" t="str">
        <f>IF($C1041="","",IFERROR(VLOOKUP($C1041,sources!$A$2:$N$200,9,FALSE()),"?"))</f>
        <v>US official</v>
      </c>
    </row>
    <row r="1042" spans="1:19" x14ac:dyDescent="0.2">
      <c r="A1042" t="s">
        <v>4218</v>
      </c>
      <c r="B1042" t="s">
        <v>571</v>
      </c>
      <c r="C1042" t="s">
        <v>1260</v>
      </c>
      <c r="D1042" t="s">
        <v>1599</v>
      </c>
      <c r="E1042" t="s">
        <v>572</v>
      </c>
      <c r="F1042" t="s">
        <v>1612</v>
      </c>
      <c r="I1042" t="s">
        <v>1077</v>
      </c>
      <c r="M1042" t="s">
        <v>209</v>
      </c>
      <c r="N1042" t="s">
        <v>228</v>
      </c>
      <c r="O1042" t="s">
        <v>4159</v>
      </c>
      <c r="P1042" t="s">
        <v>4219</v>
      </c>
      <c r="Q1042" t="str">
        <f>IF($C1042="","",IFERROR(VLOOKUP($C1042,sources!$A$2:$N$200,2,FALSE()),"?"))</f>
        <v>Photograph</v>
      </c>
      <c r="S1042" t="str">
        <f>IF($C1042="","",IFERROR(VLOOKUP($C1042,sources!$A$2:$N$200,9,FALSE()),"?"))</f>
        <v>US official</v>
      </c>
    </row>
    <row r="1043" spans="1:19" x14ac:dyDescent="0.2">
      <c r="A1043" t="s">
        <v>4220</v>
      </c>
      <c r="B1043" t="s">
        <v>405</v>
      </c>
      <c r="C1043" t="s">
        <v>1260</v>
      </c>
      <c r="D1043" t="s">
        <v>1666</v>
      </c>
      <c r="E1043" t="s">
        <v>579</v>
      </c>
      <c r="F1043" t="s">
        <v>1612</v>
      </c>
      <c r="I1043" t="s">
        <v>1077</v>
      </c>
      <c r="M1043" t="s">
        <v>209</v>
      </c>
      <c r="N1043" t="s">
        <v>228</v>
      </c>
      <c r="O1043" t="s">
        <v>4159</v>
      </c>
      <c r="P1043" t="s">
        <v>4221</v>
      </c>
      <c r="Q1043" t="str">
        <f>IF($C1043="","",IFERROR(VLOOKUP($C1043,sources!$A$2:$N$200,2,FALSE()),"?"))</f>
        <v>Photograph</v>
      </c>
      <c r="S1043" t="str">
        <f>IF($C1043="","",IFERROR(VLOOKUP($C1043,sources!$A$2:$N$200,9,FALSE()),"?"))</f>
        <v>US official</v>
      </c>
    </row>
    <row r="1044" spans="1:19" x14ac:dyDescent="0.2">
      <c r="A1044" t="s">
        <v>4222</v>
      </c>
      <c r="B1044" t="s">
        <v>603</v>
      </c>
      <c r="C1044" t="s">
        <v>1260</v>
      </c>
      <c r="D1044" t="s">
        <v>1599</v>
      </c>
      <c r="E1044" t="s">
        <v>604</v>
      </c>
      <c r="F1044" t="s">
        <v>1612</v>
      </c>
      <c r="I1044" t="s">
        <v>1077</v>
      </c>
      <c r="M1044" t="s">
        <v>209</v>
      </c>
      <c r="N1044" t="s">
        <v>228</v>
      </c>
      <c r="O1044" t="s">
        <v>4159</v>
      </c>
      <c r="P1044" t="s">
        <v>4223</v>
      </c>
      <c r="Q1044" t="str">
        <f>IF($C1044="","",IFERROR(VLOOKUP($C1044,sources!$A$2:$N$200,2,FALSE()),"?"))</f>
        <v>Photograph</v>
      </c>
      <c r="S1044" t="str">
        <f>IF($C1044="","",IFERROR(VLOOKUP($C1044,sources!$A$2:$N$200,9,FALSE()),"?"))</f>
        <v>US official</v>
      </c>
    </row>
    <row r="1045" spans="1:19" x14ac:dyDescent="0.2">
      <c r="A1045" t="s">
        <v>4224</v>
      </c>
      <c r="B1045" t="s">
        <v>618</v>
      </c>
      <c r="C1045" t="s">
        <v>1260</v>
      </c>
      <c r="D1045" t="s">
        <v>1599</v>
      </c>
      <c r="E1045" t="s">
        <v>619</v>
      </c>
      <c r="F1045" t="s">
        <v>1612</v>
      </c>
      <c r="I1045" t="s">
        <v>1077</v>
      </c>
      <c r="M1045" t="s">
        <v>209</v>
      </c>
      <c r="N1045" t="s">
        <v>228</v>
      </c>
      <c r="O1045" t="s">
        <v>4159</v>
      </c>
      <c r="P1045" t="s">
        <v>4225</v>
      </c>
      <c r="Q1045" t="str">
        <f>IF($C1045="","",IFERROR(VLOOKUP($C1045,sources!$A$2:$N$200,2,FALSE()),"?"))</f>
        <v>Photograph</v>
      </c>
      <c r="S1045" t="str">
        <f>IF($C1045="","",IFERROR(VLOOKUP($C1045,sources!$A$2:$N$200,9,FALSE()),"?"))</f>
        <v>US official</v>
      </c>
    </row>
    <row r="1046" spans="1:19" x14ac:dyDescent="0.2">
      <c r="A1046" t="s">
        <v>4226</v>
      </c>
      <c r="B1046" t="s">
        <v>658</v>
      </c>
      <c r="C1046" t="s">
        <v>1260</v>
      </c>
      <c r="D1046" t="s">
        <v>1599</v>
      </c>
      <c r="E1046" t="s">
        <v>659</v>
      </c>
      <c r="F1046" t="s">
        <v>1612</v>
      </c>
      <c r="I1046" t="s">
        <v>1077</v>
      </c>
      <c r="M1046" t="s">
        <v>209</v>
      </c>
      <c r="N1046" t="s">
        <v>228</v>
      </c>
      <c r="O1046" t="s">
        <v>4159</v>
      </c>
      <c r="P1046" t="s">
        <v>4227</v>
      </c>
      <c r="Q1046" t="str">
        <f>IF($C1046="","",IFERROR(VLOOKUP($C1046,sources!$A$2:$N$200,2,FALSE()),"?"))</f>
        <v>Photograph</v>
      </c>
      <c r="S1046" t="str">
        <f>IF($C1046="","",IFERROR(VLOOKUP($C1046,sources!$A$2:$N$200,9,FALSE()),"?"))</f>
        <v>US official</v>
      </c>
    </row>
    <row r="1047" spans="1:19" x14ac:dyDescent="0.2">
      <c r="A1047" t="s">
        <v>4228</v>
      </c>
      <c r="B1047" t="s">
        <v>306</v>
      </c>
      <c r="C1047" t="s">
        <v>1260</v>
      </c>
      <c r="D1047" t="s">
        <v>1666</v>
      </c>
      <c r="E1047" t="s">
        <v>307</v>
      </c>
      <c r="F1047" t="s">
        <v>1612</v>
      </c>
      <c r="I1047" t="s">
        <v>1077</v>
      </c>
      <c r="M1047" t="s">
        <v>209</v>
      </c>
      <c r="N1047" t="s">
        <v>228</v>
      </c>
      <c r="O1047" t="s">
        <v>4159</v>
      </c>
      <c r="P1047" t="s">
        <v>4184</v>
      </c>
      <c r="Q1047" t="str">
        <f>IF($C1047="","",IFERROR(VLOOKUP($C1047,sources!$A$2:$N$200,2,FALSE()),"?"))</f>
        <v>Photograph</v>
      </c>
      <c r="S1047" t="str">
        <f>IF($C1047="","",IFERROR(VLOOKUP($C1047,sources!$A$2:$N$200,9,FALSE()),"?"))</f>
        <v>US official</v>
      </c>
    </row>
    <row r="1048" spans="1:19" x14ac:dyDescent="0.2">
      <c r="A1048" t="s">
        <v>4229</v>
      </c>
      <c r="B1048" t="s">
        <v>313</v>
      </c>
      <c r="C1048" t="s">
        <v>1260</v>
      </c>
      <c r="D1048" t="s">
        <v>1666</v>
      </c>
      <c r="E1048" t="s">
        <v>314</v>
      </c>
      <c r="F1048" t="s">
        <v>1612</v>
      </c>
      <c r="I1048" t="s">
        <v>1077</v>
      </c>
      <c r="M1048" t="s">
        <v>209</v>
      </c>
      <c r="N1048" t="s">
        <v>228</v>
      </c>
      <c r="O1048" t="s">
        <v>4159</v>
      </c>
      <c r="P1048" t="s">
        <v>4184</v>
      </c>
      <c r="Q1048" t="str">
        <f>IF($C1048="","",IFERROR(VLOOKUP($C1048,sources!$A$2:$N$200,2,FALSE()),"?"))</f>
        <v>Photograph</v>
      </c>
      <c r="S1048" t="str">
        <f>IF($C1048="","",IFERROR(VLOOKUP($C1048,sources!$A$2:$N$200,9,FALSE()),"?"))</f>
        <v>US official</v>
      </c>
    </row>
    <row r="1049" spans="1:19" x14ac:dyDescent="0.2">
      <c r="A1049" t="s">
        <v>4230</v>
      </c>
      <c r="B1049" t="s">
        <v>679</v>
      </c>
      <c r="C1049" t="s">
        <v>1260</v>
      </c>
      <c r="D1049" t="s">
        <v>1666</v>
      </c>
      <c r="E1049" t="s">
        <v>317</v>
      </c>
      <c r="F1049" t="s">
        <v>1612</v>
      </c>
      <c r="I1049" t="s">
        <v>1077</v>
      </c>
      <c r="M1049" t="s">
        <v>209</v>
      </c>
      <c r="N1049" t="s">
        <v>228</v>
      </c>
      <c r="O1049" t="s">
        <v>4159</v>
      </c>
      <c r="P1049" t="s">
        <v>4231</v>
      </c>
      <c r="Q1049" t="str">
        <f>IF($C1049="","",IFERROR(VLOOKUP($C1049,sources!$A$2:$N$200,2,FALSE()),"?"))</f>
        <v>Photograph</v>
      </c>
      <c r="S1049" t="str">
        <f>IF($C1049="","",IFERROR(VLOOKUP($C1049,sources!$A$2:$N$200,9,FALSE()),"?"))</f>
        <v>US official</v>
      </c>
    </row>
    <row r="1050" spans="1:19" x14ac:dyDescent="0.2">
      <c r="A1050" t="s">
        <v>4232</v>
      </c>
      <c r="B1050" t="s">
        <v>336</v>
      </c>
      <c r="C1050" t="s">
        <v>1260</v>
      </c>
      <c r="D1050" t="s">
        <v>1666</v>
      </c>
      <c r="E1050" t="s">
        <v>337</v>
      </c>
      <c r="F1050" t="s">
        <v>1612</v>
      </c>
      <c r="I1050" t="s">
        <v>1077</v>
      </c>
      <c r="M1050" t="s">
        <v>209</v>
      </c>
      <c r="N1050" t="s">
        <v>228</v>
      </c>
      <c r="O1050" t="s">
        <v>4159</v>
      </c>
      <c r="P1050" t="s">
        <v>4184</v>
      </c>
      <c r="Q1050" t="str">
        <f>IF($C1050="","",IFERROR(VLOOKUP($C1050,sources!$A$2:$N$200,2,FALSE()),"?"))</f>
        <v>Photograph</v>
      </c>
      <c r="S1050" t="str">
        <f>IF($C1050="","",IFERROR(VLOOKUP($C1050,sources!$A$2:$N$200,9,FALSE()),"?"))</f>
        <v>US official</v>
      </c>
    </row>
    <row r="1051" spans="1:19" x14ac:dyDescent="0.2">
      <c r="A1051" t="s">
        <v>4233</v>
      </c>
      <c r="B1051" t="s">
        <v>341</v>
      </c>
      <c r="C1051" t="s">
        <v>1260</v>
      </c>
      <c r="D1051" t="s">
        <v>1599</v>
      </c>
      <c r="E1051" t="s">
        <v>342</v>
      </c>
      <c r="F1051" t="s">
        <v>1612</v>
      </c>
      <c r="I1051" t="s">
        <v>1077</v>
      </c>
      <c r="M1051" t="s">
        <v>209</v>
      </c>
      <c r="N1051" t="s">
        <v>228</v>
      </c>
      <c r="O1051" t="s">
        <v>4159</v>
      </c>
      <c r="P1051" t="s">
        <v>4234</v>
      </c>
      <c r="Q1051" t="str">
        <f>IF($C1051="","",IFERROR(VLOOKUP($C1051,sources!$A$2:$N$200,2,FALSE()),"?"))</f>
        <v>Photograph</v>
      </c>
      <c r="S1051" t="str">
        <f>IF($C1051="","",IFERROR(VLOOKUP($C1051,sources!$A$2:$N$200,9,FALSE()),"?"))</f>
        <v>US official</v>
      </c>
    </row>
    <row r="1052" spans="1:19" x14ac:dyDescent="0.2">
      <c r="A1052" t="s">
        <v>4235</v>
      </c>
      <c r="B1052" t="s">
        <v>671</v>
      </c>
      <c r="C1052" t="s">
        <v>1260</v>
      </c>
      <c r="D1052" t="s">
        <v>1666</v>
      </c>
      <c r="E1052" t="s">
        <v>672</v>
      </c>
      <c r="F1052" t="s">
        <v>1612</v>
      </c>
      <c r="I1052" t="s">
        <v>1077</v>
      </c>
      <c r="M1052" t="s">
        <v>209</v>
      </c>
      <c r="N1052" t="s">
        <v>228</v>
      </c>
      <c r="O1052" t="s">
        <v>4159</v>
      </c>
      <c r="P1052" t="s">
        <v>4184</v>
      </c>
      <c r="Q1052" t="str">
        <f>IF($C1052="","",IFERROR(VLOOKUP($C1052,sources!$A$2:$N$200,2,FALSE()),"?"))</f>
        <v>Photograph</v>
      </c>
      <c r="S1052" t="str">
        <f>IF($C1052="","",IFERROR(VLOOKUP($C1052,sources!$A$2:$N$200,9,FALSE()),"?"))</f>
        <v>US official</v>
      </c>
    </row>
    <row r="1053" spans="1:19" x14ac:dyDescent="0.2">
      <c r="A1053" t="s">
        <v>4236</v>
      </c>
      <c r="B1053" t="s">
        <v>679</v>
      </c>
      <c r="C1053" t="s">
        <v>1260</v>
      </c>
      <c r="D1053" t="s">
        <v>1599</v>
      </c>
      <c r="E1053" t="s">
        <v>680</v>
      </c>
      <c r="F1053" t="s">
        <v>1612</v>
      </c>
      <c r="I1053" t="s">
        <v>1077</v>
      </c>
      <c r="M1053" t="s">
        <v>209</v>
      </c>
      <c r="N1053" t="s">
        <v>228</v>
      </c>
      <c r="O1053" t="s">
        <v>4159</v>
      </c>
      <c r="P1053" t="s">
        <v>4237</v>
      </c>
      <c r="Q1053" t="str">
        <f>IF($C1053="","",IFERROR(VLOOKUP($C1053,sources!$A$2:$N$200,2,FALSE()),"?"))</f>
        <v>Photograph</v>
      </c>
      <c r="S1053" t="str">
        <f>IF($C1053="","",IFERROR(VLOOKUP($C1053,sources!$A$2:$N$200,9,FALSE()),"?"))</f>
        <v>US official</v>
      </c>
    </row>
    <row r="1054" spans="1:19" x14ac:dyDescent="0.2">
      <c r="A1054" t="s">
        <v>4238</v>
      </c>
      <c r="B1054" t="s">
        <v>682</v>
      </c>
      <c r="C1054" t="s">
        <v>1260</v>
      </c>
      <c r="D1054" t="s">
        <v>1599</v>
      </c>
      <c r="E1054" t="s">
        <v>683</v>
      </c>
      <c r="F1054" t="s">
        <v>1612</v>
      </c>
      <c r="I1054" t="s">
        <v>1077</v>
      </c>
      <c r="M1054" t="s">
        <v>209</v>
      </c>
      <c r="N1054" t="s">
        <v>228</v>
      </c>
      <c r="O1054" t="s">
        <v>4159</v>
      </c>
      <c r="P1054" t="s">
        <v>4239</v>
      </c>
      <c r="Q1054" t="str">
        <f>IF($C1054="","",IFERROR(VLOOKUP($C1054,sources!$A$2:$N$200,2,FALSE()),"?"))</f>
        <v>Photograph</v>
      </c>
      <c r="S1054" t="str">
        <f>IF($C1054="","",IFERROR(VLOOKUP($C1054,sources!$A$2:$N$200,9,FALSE()),"?"))</f>
        <v>US official</v>
      </c>
    </row>
    <row r="1055" spans="1:19" x14ac:dyDescent="0.2">
      <c r="A1055" t="s">
        <v>4240</v>
      </c>
      <c r="B1055" t="s">
        <v>686</v>
      </c>
      <c r="C1055" t="s">
        <v>1260</v>
      </c>
      <c r="D1055" t="s">
        <v>1599</v>
      </c>
      <c r="E1055" t="s">
        <v>687</v>
      </c>
      <c r="F1055" t="s">
        <v>1612</v>
      </c>
      <c r="I1055" t="s">
        <v>1077</v>
      </c>
      <c r="K1055">
        <v>1904</v>
      </c>
      <c r="L1055">
        <v>1904</v>
      </c>
      <c r="M1055" t="s">
        <v>222</v>
      </c>
      <c r="N1055" t="s">
        <v>228</v>
      </c>
      <c r="O1055" t="s">
        <v>4159</v>
      </c>
      <c r="P1055" t="s">
        <v>4241</v>
      </c>
      <c r="Q1055" t="str">
        <f>IF($C1055="","",IFERROR(VLOOKUP($C1055,sources!$A$2:$N$200,2,FALSE()),"?"))</f>
        <v>Photograph</v>
      </c>
      <c r="S1055" t="str">
        <f>IF($C1055="","",IFERROR(VLOOKUP($C1055,sources!$A$2:$N$200,9,FALSE()),"?"))</f>
        <v>US official</v>
      </c>
    </row>
    <row r="1056" spans="1:19" x14ac:dyDescent="0.2">
      <c r="A1056" t="s">
        <v>4242</v>
      </c>
      <c r="B1056" t="s">
        <v>692</v>
      </c>
      <c r="C1056" t="s">
        <v>1260</v>
      </c>
      <c r="D1056" t="s">
        <v>1599</v>
      </c>
      <c r="E1056" t="s">
        <v>693</v>
      </c>
      <c r="F1056" t="s">
        <v>1612</v>
      </c>
      <c r="I1056" t="s">
        <v>1077</v>
      </c>
      <c r="K1056">
        <v>1906</v>
      </c>
      <c r="L1056">
        <v>1906</v>
      </c>
      <c r="M1056" t="s">
        <v>222</v>
      </c>
      <c r="N1056" t="s">
        <v>228</v>
      </c>
      <c r="O1056" t="s">
        <v>4159</v>
      </c>
      <c r="P1056" t="s">
        <v>4243</v>
      </c>
      <c r="Q1056" t="str">
        <f>IF($C1056="","",IFERROR(VLOOKUP($C1056,sources!$A$2:$N$200,2,FALSE()),"?"))</f>
        <v>Photograph</v>
      </c>
      <c r="S1056" t="str">
        <f>IF($C1056="","",IFERROR(VLOOKUP($C1056,sources!$A$2:$N$200,9,FALSE()),"?"))</f>
        <v>US official</v>
      </c>
    </row>
    <row r="1057" spans="1:19" x14ac:dyDescent="0.2">
      <c r="A1057" t="s">
        <v>4244</v>
      </c>
      <c r="B1057" t="s">
        <v>696</v>
      </c>
      <c r="C1057" t="s">
        <v>1260</v>
      </c>
      <c r="D1057" t="s">
        <v>1599</v>
      </c>
      <c r="E1057" t="s">
        <v>697</v>
      </c>
      <c r="F1057" t="s">
        <v>1612</v>
      </c>
      <c r="I1057" t="s">
        <v>1077</v>
      </c>
      <c r="M1057" t="s">
        <v>209</v>
      </c>
      <c r="N1057" t="s">
        <v>228</v>
      </c>
      <c r="O1057" t="s">
        <v>4159</v>
      </c>
      <c r="P1057" t="s">
        <v>4245</v>
      </c>
      <c r="Q1057" t="str">
        <f>IF($C1057="","",IFERROR(VLOOKUP($C1057,sources!$A$2:$N$200,2,FALSE()),"?"))</f>
        <v>Photograph</v>
      </c>
      <c r="S1057" t="str">
        <f>IF($C1057="","",IFERROR(VLOOKUP($C1057,sources!$A$2:$N$200,9,FALSE()),"?"))</f>
        <v>US official</v>
      </c>
    </row>
    <row r="1058" spans="1:19" x14ac:dyDescent="0.2">
      <c r="A1058" t="s">
        <v>4246</v>
      </c>
      <c r="B1058" t="s">
        <v>705</v>
      </c>
      <c r="C1058" t="s">
        <v>1260</v>
      </c>
      <c r="D1058" t="s">
        <v>1599</v>
      </c>
      <c r="E1058" t="s">
        <v>706</v>
      </c>
      <c r="F1058" t="s">
        <v>1612</v>
      </c>
      <c r="I1058" t="s">
        <v>1077</v>
      </c>
      <c r="M1058" t="s">
        <v>209</v>
      </c>
      <c r="N1058" t="s">
        <v>228</v>
      </c>
      <c r="O1058" t="s">
        <v>4159</v>
      </c>
      <c r="P1058" t="s">
        <v>4247</v>
      </c>
      <c r="Q1058" t="str">
        <f>IF($C1058="","",IFERROR(VLOOKUP($C1058,sources!$A$2:$N$200,2,FALSE()),"?"))</f>
        <v>Photograph</v>
      </c>
      <c r="S1058" t="str">
        <f>IF($C1058="","",IFERROR(VLOOKUP($C1058,sources!$A$2:$N$200,9,FALSE()),"?"))</f>
        <v>US official</v>
      </c>
    </row>
    <row r="1059" spans="1:19" x14ac:dyDescent="0.2">
      <c r="A1059" t="s">
        <v>4248</v>
      </c>
      <c r="B1059" t="s">
        <v>708</v>
      </c>
      <c r="C1059" t="s">
        <v>1260</v>
      </c>
      <c r="D1059" t="s">
        <v>1666</v>
      </c>
      <c r="E1059" t="s">
        <v>709</v>
      </c>
      <c r="F1059" t="s">
        <v>1612</v>
      </c>
      <c r="I1059" t="s">
        <v>1077</v>
      </c>
      <c r="M1059" t="s">
        <v>209</v>
      </c>
      <c r="N1059" t="s">
        <v>228</v>
      </c>
      <c r="O1059" t="s">
        <v>4159</v>
      </c>
      <c r="P1059" t="s">
        <v>4184</v>
      </c>
      <c r="Q1059" t="str">
        <f>IF($C1059="","",IFERROR(VLOOKUP($C1059,sources!$A$2:$N$200,2,FALSE()),"?"))</f>
        <v>Photograph</v>
      </c>
      <c r="S1059" t="str">
        <f>IF($C1059="","",IFERROR(VLOOKUP($C1059,sources!$A$2:$N$200,9,FALSE()),"?"))</f>
        <v>US official</v>
      </c>
    </row>
    <row r="1060" spans="1:19" x14ac:dyDescent="0.2">
      <c r="A1060" t="s">
        <v>4249</v>
      </c>
      <c r="B1060" t="s">
        <v>712</v>
      </c>
      <c r="C1060" t="s">
        <v>1260</v>
      </c>
      <c r="D1060" t="s">
        <v>1666</v>
      </c>
      <c r="E1060" t="s">
        <v>713</v>
      </c>
      <c r="F1060" t="s">
        <v>1612</v>
      </c>
      <c r="I1060" t="s">
        <v>1077</v>
      </c>
      <c r="M1060" t="s">
        <v>209</v>
      </c>
      <c r="N1060" t="s">
        <v>228</v>
      </c>
      <c r="O1060" t="s">
        <v>4159</v>
      </c>
      <c r="P1060" t="s">
        <v>4184</v>
      </c>
      <c r="Q1060" t="str">
        <f>IF($C1060="","",IFERROR(VLOOKUP($C1060,sources!$A$2:$N$200,2,FALSE()),"?"))</f>
        <v>Photograph</v>
      </c>
      <c r="S1060" t="str">
        <f>IF($C1060="","",IFERROR(VLOOKUP($C1060,sources!$A$2:$N$200,9,FALSE()),"?"))</f>
        <v>US official</v>
      </c>
    </row>
    <row r="1061" spans="1:19" x14ac:dyDescent="0.2">
      <c r="A1061" t="s">
        <v>4250</v>
      </c>
      <c r="B1061" t="s">
        <v>717</v>
      </c>
      <c r="C1061" t="s">
        <v>1260</v>
      </c>
      <c r="D1061" t="s">
        <v>1666</v>
      </c>
      <c r="E1061" t="s">
        <v>718</v>
      </c>
      <c r="F1061" t="s">
        <v>1612</v>
      </c>
      <c r="I1061" t="s">
        <v>1077</v>
      </c>
      <c r="M1061" t="s">
        <v>209</v>
      </c>
      <c r="N1061" t="s">
        <v>228</v>
      </c>
      <c r="O1061" t="s">
        <v>4159</v>
      </c>
      <c r="P1061" t="s">
        <v>4184</v>
      </c>
      <c r="Q1061" t="str">
        <f>IF($C1061="","",IFERROR(VLOOKUP($C1061,sources!$A$2:$N$200,2,FALSE()),"?"))</f>
        <v>Photograph</v>
      </c>
      <c r="S1061" t="str">
        <f>IF($C1061="","",IFERROR(VLOOKUP($C1061,sources!$A$2:$N$200,9,FALSE()),"?"))</f>
        <v>US official</v>
      </c>
    </row>
    <row r="1062" spans="1:19" x14ac:dyDescent="0.2">
      <c r="A1062" t="s">
        <v>4251</v>
      </c>
      <c r="B1062" t="s">
        <v>723</v>
      </c>
      <c r="C1062" t="s">
        <v>1260</v>
      </c>
      <c r="D1062" t="s">
        <v>1599</v>
      </c>
      <c r="E1062" t="s">
        <v>724</v>
      </c>
      <c r="F1062" t="s">
        <v>1612</v>
      </c>
      <c r="I1062" t="s">
        <v>1077</v>
      </c>
      <c r="M1062" t="s">
        <v>209</v>
      </c>
      <c r="N1062" t="s">
        <v>228</v>
      </c>
      <c r="O1062" t="s">
        <v>4159</v>
      </c>
      <c r="P1062" t="s">
        <v>4252</v>
      </c>
      <c r="Q1062" t="str">
        <f>IF($C1062="","",IFERROR(VLOOKUP($C1062,sources!$A$2:$N$200,2,FALSE()),"?"))</f>
        <v>Photograph</v>
      </c>
      <c r="S1062" t="str">
        <f>IF($C1062="","",IFERROR(VLOOKUP($C1062,sources!$A$2:$N$200,9,FALSE()),"?"))</f>
        <v>US official</v>
      </c>
    </row>
    <row r="1063" spans="1:19" x14ac:dyDescent="0.2">
      <c r="A1063" t="s">
        <v>4253</v>
      </c>
      <c r="B1063" t="s">
        <v>730</v>
      </c>
      <c r="C1063" t="s">
        <v>1260</v>
      </c>
      <c r="D1063" t="s">
        <v>1599</v>
      </c>
      <c r="E1063" t="s">
        <v>731</v>
      </c>
      <c r="F1063" t="s">
        <v>1612</v>
      </c>
      <c r="I1063" t="s">
        <v>1077</v>
      </c>
      <c r="M1063" t="s">
        <v>209</v>
      </c>
      <c r="N1063" t="s">
        <v>228</v>
      </c>
      <c r="O1063" t="s">
        <v>4159</v>
      </c>
      <c r="P1063" t="s">
        <v>4254</v>
      </c>
      <c r="Q1063" t="str">
        <f>IF($C1063="","",IFERROR(VLOOKUP($C1063,sources!$A$2:$N$200,2,FALSE()),"?"))</f>
        <v>Photograph</v>
      </c>
      <c r="S1063" t="str">
        <f>IF($C1063="","",IFERROR(VLOOKUP($C1063,sources!$A$2:$N$200,9,FALSE()),"?"))</f>
        <v>US official</v>
      </c>
    </row>
    <row r="1064" spans="1:19" x14ac:dyDescent="0.2">
      <c r="A1064" t="s">
        <v>4255</v>
      </c>
      <c r="B1064" t="s">
        <v>733</v>
      </c>
      <c r="C1064" t="s">
        <v>1260</v>
      </c>
      <c r="D1064" t="s">
        <v>1599</v>
      </c>
      <c r="E1064" t="s">
        <v>734</v>
      </c>
      <c r="F1064" t="s">
        <v>1612</v>
      </c>
      <c r="I1064" t="s">
        <v>1077</v>
      </c>
      <c r="M1064" t="s">
        <v>209</v>
      </c>
      <c r="N1064" t="s">
        <v>228</v>
      </c>
      <c r="O1064" t="s">
        <v>4159</v>
      </c>
      <c r="P1064" t="s">
        <v>4256</v>
      </c>
      <c r="Q1064" t="str">
        <f>IF($C1064="","",IFERROR(VLOOKUP($C1064,sources!$A$2:$N$200,2,FALSE()),"?"))</f>
        <v>Photograph</v>
      </c>
      <c r="S1064" t="str">
        <f>IF($C1064="","",IFERROR(VLOOKUP($C1064,sources!$A$2:$N$200,9,FALSE()),"?"))</f>
        <v>US official</v>
      </c>
    </row>
    <row r="1065" spans="1:19" x14ac:dyDescent="0.2">
      <c r="A1065" t="s">
        <v>4257</v>
      </c>
      <c r="B1065" t="s">
        <v>736</v>
      </c>
      <c r="C1065" t="s">
        <v>1260</v>
      </c>
      <c r="D1065" t="s">
        <v>1599</v>
      </c>
      <c r="E1065" t="s">
        <v>737</v>
      </c>
      <c r="F1065" t="s">
        <v>1612</v>
      </c>
      <c r="I1065" t="s">
        <v>1077</v>
      </c>
      <c r="M1065" t="s">
        <v>209</v>
      </c>
      <c r="N1065" t="s">
        <v>228</v>
      </c>
      <c r="O1065" t="s">
        <v>4159</v>
      </c>
      <c r="P1065" t="s">
        <v>4258</v>
      </c>
      <c r="Q1065" t="str">
        <f>IF($C1065="","",IFERROR(VLOOKUP($C1065,sources!$A$2:$N$200,2,FALSE()),"?"))</f>
        <v>Photograph</v>
      </c>
      <c r="S1065" t="str">
        <f>IF($C1065="","",IFERROR(VLOOKUP($C1065,sources!$A$2:$N$200,9,FALSE()),"?"))</f>
        <v>US official</v>
      </c>
    </row>
    <row r="1066" spans="1:19" x14ac:dyDescent="0.2">
      <c r="A1066" t="s">
        <v>4259</v>
      </c>
      <c r="B1066" t="s">
        <v>739</v>
      </c>
      <c r="C1066" t="s">
        <v>1260</v>
      </c>
      <c r="D1066" t="s">
        <v>1599</v>
      </c>
      <c r="E1066" t="s">
        <v>740</v>
      </c>
      <c r="F1066" t="s">
        <v>1612</v>
      </c>
      <c r="I1066" t="s">
        <v>1077</v>
      </c>
      <c r="M1066" t="s">
        <v>209</v>
      </c>
      <c r="N1066" t="s">
        <v>228</v>
      </c>
      <c r="O1066" t="s">
        <v>4159</v>
      </c>
      <c r="P1066" t="s">
        <v>4260</v>
      </c>
      <c r="Q1066" t="str">
        <f>IF($C1066="","",IFERROR(VLOOKUP($C1066,sources!$A$2:$N$200,2,FALSE()),"?"))</f>
        <v>Photograph</v>
      </c>
      <c r="S1066" t="str">
        <f>IF($C1066="","",IFERROR(VLOOKUP($C1066,sources!$A$2:$N$200,9,FALSE()),"?"))</f>
        <v>US official</v>
      </c>
    </row>
    <row r="1067" spans="1:19" x14ac:dyDescent="0.2">
      <c r="A1067" t="s">
        <v>4261</v>
      </c>
      <c r="B1067" t="s">
        <v>742</v>
      </c>
      <c r="C1067" t="s">
        <v>1260</v>
      </c>
      <c r="D1067" t="s">
        <v>1666</v>
      </c>
      <c r="E1067" t="s">
        <v>743</v>
      </c>
      <c r="F1067" t="s">
        <v>1612</v>
      </c>
      <c r="I1067" t="s">
        <v>1077</v>
      </c>
      <c r="M1067" t="s">
        <v>209</v>
      </c>
      <c r="N1067" t="s">
        <v>228</v>
      </c>
      <c r="O1067" t="s">
        <v>4159</v>
      </c>
      <c r="P1067" t="s">
        <v>4184</v>
      </c>
      <c r="Q1067" t="str">
        <f>IF($C1067="","",IFERROR(VLOOKUP($C1067,sources!$A$2:$N$200,2,FALSE()),"?"))</f>
        <v>Photograph</v>
      </c>
      <c r="S1067" t="str">
        <f>IF($C1067="","",IFERROR(VLOOKUP($C1067,sources!$A$2:$N$200,9,FALSE()),"?"))</f>
        <v>US official</v>
      </c>
    </row>
    <row r="1068" spans="1:19" x14ac:dyDescent="0.2">
      <c r="A1068" t="s">
        <v>4262</v>
      </c>
      <c r="B1068" t="s">
        <v>746</v>
      </c>
      <c r="C1068" t="s">
        <v>1260</v>
      </c>
      <c r="D1068" t="s">
        <v>1599</v>
      </c>
      <c r="E1068" t="s">
        <v>747</v>
      </c>
      <c r="F1068" t="s">
        <v>1612</v>
      </c>
      <c r="I1068" t="s">
        <v>1077</v>
      </c>
      <c r="M1068" t="s">
        <v>209</v>
      </c>
      <c r="N1068" t="s">
        <v>228</v>
      </c>
      <c r="O1068" t="s">
        <v>4159</v>
      </c>
      <c r="P1068" t="s">
        <v>4263</v>
      </c>
      <c r="Q1068" t="str">
        <f>IF($C1068="","",IFERROR(VLOOKUP($C1068,sources!$A$2:$N$200,2,FALSE()),"?"))</f>
        <v>Photograph</v>
      </c>
      <c r="S1068" t="str">
        <f>IF($C1068="","",IFERROR(VLOOKUP($C1068,sources!$A$2:$N$200,9,FALSE()),"?"))</f>
        <v>US official</v>
      </c>
    </row>
    <row r="1069" spans="1:19" x14ac:dyDescent="0.2">
      <c r="A1069" t="s">
        <v>4264</v>
      </c>
      <c r="B1069" t="s">
        <v>765</v>
      </c>
      <c r="C1069" t="s">
        <v>1260</v>
      </c>
      <c r="D1069" t="s">
        <v>1666</v>
      </c>
      <c r="E1069" t="s">
        <v>766</v>
      </c>
      <c r="F1069" t="s">
        <v>1612</v>
      </c>
      <c r="I1069" t="s">
        <v>1077</v>
      </c>
      <c r="M1069" t="s">
        <v>209</v>
      </c>
      <c r="N1069" t="s">
        <v>228</v>
      </c>
      <c r="O1069" t="s">
        <v>4159</v>
      </c>
      <c r="P1069" t="s">
        <v>4184</v>
      </c>
      <c r="Q1069" t="str">
        <f>IF($C1069="","",IFERROR(VLOOKUP($C1069,sources!$A$2:$N$200,2,FALSE()),"?"))</f>
        <v>Photograph</v>
      </c>
      <c r="S1069" t="str">
        <f>IF($C1069="","",IFERROR(VLOOKUP($C1069,sources!$A$2:$N$200,9,FALSE()),"?"))</f>
        <v>US official</v>
      </c>
    </row>
    <row r="1070" spans="1:19" x14ac:dyDescent="0.2">
      <c r="A1070" t="s">
        <v>4265</v>
      </c>
      <c r="B1070" t="s">
        <v>777</v>
      </c>
      <c r="C1070" t="s">
        <v>1260</v>
      </c>
      <c r="D1070" t="s">
        <v>1599</v>
      </c>
      <c r="E1070" t="s">
        <v>778</v>
      </c>
      <c r="F1070" t="s">
        <v>1612</v>
      </c>
      <c r="I1070" t="s">
        <v>1077</v>
      </c>
      <c r="M1070" t="s">
        <v>209</v>
      </c>
      <c r="N1070" t="s">
        <v>228</v>
      </c>
      <c r="O1070" t="s">
        <v>4159</v>
      </c>
      <c r="P1070" t="s">
        <v>4266</v>
      </c>
      <c r="Q1070" t="str">
        <f>IF($C1070="","",IFERROR(VLOOKUP($C1070,sources!$A$2:$N$200,2,FALSE()),"?"))</f>
        <v>Photograph</v>
      </c>
      <c r="S1070" t="str">
        <f>IF($C1070="","",IFERROR(VLOOKUP($C1070,sources!$A$2:$N$200,9,FALSE()),"?"))</f>
        <v>US official</v>
      </c>
    </row>
    <row r="1071" spans="1:19" x14ac:dyDescent="0.2">
      <c r="A1071" t="s">
        <v>4267</v>
      </c>
      <c r="B1071" t="s">
        <v>783</v>
      </c>
      <c r="C1071" t="s">
        <v>1260</v>
      </c>
      <c r="D1071" t="s">
        <v>1666</v>
      </c>
      <c r="E1071" t="s">
        <v>784</v>
      </c>
      <c r="F1071" t="s">
        <v>1612</v>
      </c>
      <c r="I1071" t="s">
        <v>1077</v>
      </c>
      <c r="M1071" t="s">
        <v>209</v>
      </c>
      <c r="N1071" t="s">
        <v>228</v>
      </c>
      <c r="O1071" t="s">
        <v>4159</v>
      </c>
      <c r="P1071" t="s">
        <v>4184</v>
      </c>
      <c r="Q1071" t="str">
        <f>IF($C1071="","",IFERROR(VLOOKUP($C1071,sources!$A$2:$N$200,2,FALSE()),"?"))</f>
        <v>Photograph</v>
      </c>
      <c r="S1071" t="str">
        <f>IF($C1071="","",IFERROR(VLOOKUP($C1071,sources!$A$2:$N$200,9,FALSE()),"?"))</f>
        <v>US official</v>
      </c>
    </row>
    <row r="1072" spans="1:19" x14ac:dyDescent="0.2">
      <c r="A1072" t="s">
        <v>4268</v>
      </c>
      <c r="B1072" t="s">
        <v>786</v>
      </c>
      <c r="C1072" t="s">
        <v>1260</v>
      </c>
      <c r="D1072" t="s">
        <v>1666</v>
      </c>
      <c r="E1072" t="s">
        <v>787</v>
      </c>
      <c r="F1072" t="s">
        <v>1612</v>
      </c>
      <c r="I1072" t="s">
        <v>1077</v>
      </c>
      <c r="M1072" t="s">
        <v>209</v>
      </c>
      <c r="N1072" t="s">
        <v>228</v>
      </c>
      <c r="O1072" t="s">
        <v>4159</v>
      </c>
      <c r="P1072" t="s">
        <v>4184</v>
      </c>
      <c r="Q1072" t="str">
        <f>IF($C1072="","",IFERROR(VLOOKUP($C1072,sources!$A$2:$N$200,2,FALSE()),"?"))</f>
        <v>Photograph</v>
      </c>
      <c r="S1072" t="str">
        <f>IF($C1072="","",IFERROR(VLOOKUP($C1072,sources!$A$2:$N$200,9,FALSE()),"?"))</f>
        <v>US official</v>
      </c>
    </row>
    <row r="1073" spans="1:19" x14ac:dyDescent="0.2">
      <c r="A1073" t="s">
        <v>4269</v>
      </c>
      <c r="B1073" t="s">
        <v>792</v>
      </c>
      <c r="C1073" t="s">
        <v>1260</v>
      </c>
      <c r="D1073" t="s">
        <v>1666</v>
      </c>
      <c r="E1073" t="s">
        <v>793</v>
      </c>
      <c r="F1073" t="s">
        <v>1612</v>
      </c>
      <c r="I1073" t="s">
        <v>1077</v>
      </c>
      <c r="M1073" t="s">
        <v>209</v>
      </c>
      <c r="N1073" t="s">
        <v>228</v>
      </c>
      <c r="O1073" t="s">
        <v>4159</v>
      </c>
      <c r="P1073" t="s">
        <v>4184</v>
      </c>
      <c r="Q1073" t="str">
        <f>IF($C1073="","",IFERROR(VLOOKUP($C1073,sources!$A$2:$N$200,2,FALSE()),"?"))</f>
        <v>Photograph</v>
      </c>
      <c r="S1073" t="str">
        <f>IF($C1073="","",IFERROR(VLOOKUP($C1073,sources!$A$2:$N$200,9,FALSE()),"?"))</f>
        <v>US official</v>
      </c>
    </row>
    <row r="1074" spans="1:19" x14ac:dyDescent="0.2">
      <c r="A1074" t="s">
        <v>4270</v>
      </c>
      <c r="B1074" t="s">
        <v>654</v>
      </c>
      <c r="C1074" t="s">
        <v>1277</v>
      </c>
      <c r="D1074" t="s">
        <v>1599</v>
      </c>
      <c r="E1074" t="s">
        <v>655</v>
      </c>
      <c r="F1074" t="s">
        <v>1612</v>
      </c>
      <c r="I1074" t="s">
        <v>1077</v>
      </c>
      <c r="M1074" t="s">
        <v>209</v>
      </c>
      <c r="N1074" t="s">
        <v>228</v>
      </c>
      <c r="O1074" t="s">
        <v>4271</v>
      </c>
      <c r="P1074" t="s">
        <v>4272</v>
      </c>
      <c r="Q1074" t="str">
        <f>IF($C1074="","",IFERROR(VLOOKUP($C1074,sources!$A$2:$N$200,2,FALSE()),"?"))</f>
        <v>Administrative</v>
      </c>
      <c r="S1074" t="str">
        <f>IF($C1074="","",IFERROR(VLOOKUP($C1074,sources!$A$2:$N$200,9,FALSE()),"?"))</f>
        <v>US official</v>
      </c>
    </row>
    <row r="1075" spans="1:19" x14ac:dyDescent="0.2">
      <c r="A1075" t="s">
        <v>4273</v>
      </c>
      <c r="B1075" t="s">
        <v>662</v>
      </c>
      <c r="C1075" t="s">
        <v>1277</v>
      </c>
      <c r="D1075" t="s">
        <v>1599</v>
      </c>
      <c r="E1075" t="s">
        <v>663</v>
      </c>
      <c r="F1075" t="s">
        <v>1612</v>
      </c>
      <c r="I1075" t="s">
        <v>1077</v>
      </c>
      <c r="M1075" t="s">
        <v>209</v>
      </c>
      <c r="N1075" t="s">
        <v>228</v>
      </c>
      <c r="O1075" t="s">
        <v>4271</v>
      </c>
      <c r="P1075" t="s">
        <v>4274</v>
      </c>
      <c r="Q1075" t="str">
        <f>IF($C1075="","",IFERROR(VLOOKUP($C1075,sources!$A$2:$N$200,2,FALSE()),"?"))</f>
        <v>Administrative</v>
      </c>
      <c r="S1075" t="str">
        <f>IF($C1075="","",IFERROR(VLOOKUP($C1075,sources!$A$2:$N$200,9,FALSE()),"?"))</f>
        <v>US official</v>
      </c>
    </row>
    <row r="1076" spans="1:19" x14ac:dyDescent="0.2">
      <c r="A1076" t="s">
        <v>4275</v>
      </c>
      <c r="B1076" t="s">
        <v>665</v>
      </c>
      <c r="C1076" t="s">
        <v>1277</v>
      </c>
      <c r="D1076" t="s">
        <v>1666</v>
      </c>
      <c r="E1076" t="s">
        <v>666</v>
      </c>
      <c r="F1076" t="s">
        <v>1612</v>
      </c>
      <c r="I1076" t="s">
        <v>1077</v>
      </c>
      <c r="M1076" t="s">
        <v>209</v>
      </c>
      <c r="N1076" t="s">
        <v>228</v>
      </c>
      <c r="O1076" t="s">
        <v>4271</v>
      </c>
      <c r="P1076" t="s">
        <v>4276</v>
      </c>
      <c r="Q1076" t="str">
        <f>IF($C1076="","",IFERROR(VLOOKUP($C1076,sources!$A$2:$N$200,2,FALSE()),"?"))</f>
        <v>Administrative</v>
      </c>
      <c r="S1076" t="str">
        <f>IF($C1076="","",IFERROR(VLOOKUP($C1076,sources!$A$2:$N$200,9,FALSE()),"?"))</f>
        <v>US official</v>
      </c>
    </row>
    <row r="1077" spans="1:19" x14ac:dyDescent="0.2">
      <c r="A1077" t="s">
        <v>4277</v>
      </c>
      <c r="B1077" t="s">
        <v>668</v>
      </c>
      <c r="C1077" t="s">
        <v>1277</v>
      </c>
      <c r="D1077" t="s">
        <v>1666</v>
      </c>
      <c r="E1077" t="s">
        <v>669</v>
      </c>
      <c r="F1077" t="s">
        <v>1612</v>
      </c>
      <c r="I1077" t="s">
        <v>1077</v>
      </c>
      <c r="M1077" t="s">
        <v>209</v>
      </c>
      <c r="N1077" t="s">
        <v>228</v>
      </c>
      <c r="O1077" t="s">
        <v>4271</v>
      </c>
      <c r="P1077" t="s">
        <v>4278</v>
      </c>
      <c r="Q1077" t="str">
        <f>IF($C1077="","",IFERROR(VLOOKUP($C1077,sources!$A$2:$N$200,2,FALSE()),"?"))</f>
        <v>Administrative</v>
      </c>
      <c r="S1077" t="str">
        <f>IF($C1077="","",IFERROR(VLOOKUP($C1077,sources!$A$2:$N$200,9,FALSE()),"?"))</f>
        <v>US official</v>
      </c>
    </row>
    <row r="1078" spans="1:19" x14ac:dyDescent="0.2">
      <c r="A1078" t="s">
        <v>4279</v>
      </c>
      <c r="B1078" t="s">
        <v>638</v>
      </c>
      <c r="C1078" t="s">
        <v>1277</v>
      </c>
      <c r="D1078" t="s">
        <v>1666</v>
      </c>
      <c r="E1078" t="s">
        <v>639</v>
      </c>
      <c r="F1078" t="s">
        <v>1612</v>
      </c>
      <c r="I1078" t="s">
        <v>1077</v>
      </c>
      <c r="M1078" t="s">
        <v>209</v>
      </c>
      <c r="N1078" t="s">
        <v>228</v>
      </c>
      <c r="O1078" t="s">
        <v>4271</v>
      </c>
      <c r="P1078" t="s">
        <v>4280</v>
      </c>
      <c r="Q1078" t="str">
        <f>IF($C1078="","",IFERROR(VLOOKUP($C1078,sources!$A$2:$N$200,2,FALSE()),"?"))</f>
        <v>Administrative</v>
      </c>
      <c r="S1078" t="str">
        <f>IF($C1078="","",IFERROR(VLOOKUP($C1078,sources!$A$2:$N$200,9,FALSE()),"?"))</f>
        <v>US official</v>
      </c>
    </row>
    <row r="1079" spans="1:19" x14ac:dyDescent="0.2">
      <c r="A1079" t="s">
        <v>4281</v>
      </c>
      <c r="B1079" t="s">
        <v>644</v>
      </c>
      <c r="C1079" t="s">
        <v>1277</v>
      </c>
      <c r="D1079" t="s">
        <v>1666</v>
      </c>
      <c r="E1079" t="s">
        <v>645</v>
      </c>
      <c r="F1079" t="s">
        <v>1612</v>
      </c>
      <c r="I1079" t="s">
        <v>1077</v>
      </c>
      <c r="M1079" t="s">
        <v>209</v>
      </c>
      <c r="N1079" t="s">
        <v>228</v>
      </c>
      <c r="O1079" t="s">
        <v>4271</v>
      </c>
      <c r="P1079" t="s">
        <v>4278</v>
      </c>
      <c r="Q1079" t="str">
        <f>IF($C1079="","",IFERROR(VLOOKUP($C1079,sources!$A$2:$N$200,2,FALSE()),"?"))</f>
        <v>Administrative</v>
      </c>
      <c r="S1079" t="str">
        <f>IF($C1079="","",IFERROR(VLOOKUP($C1079,sources!$A$2:$N$200,9,FALSE()),"?"))</f>
        <v>US official</v>
      </c>
    </row>
    <row r="1080" spans="1:19" x14ac:dyDescent="0.2">
      <c r="A1080" t="s">
        <v>4282</v>
      </c>
      <c r="B1080" t="s">
        <v>649</v>
      </c>
      <c r="C1080" t="s">
        <v>1277</v>
      </c>
      <c r="D1080" t="s">
        <v>1666</v>
      </c>
      <c r="E1080" t="s">
        <v>650</v>
      </c>
      <c r="F1080" t="s">
        <v>1612</v>
      </c>
      <c r="I1080" t="s">
        <v>1077</v>
      </c>
      <c r="M1080" t="s">
        <v>209</v>
      </c>
      <c r="N1080" t="s">
        <v>228</v>
      </c>
      <c r="O1080" t="s">
        <v>4271</v>
      </c>
      <c r="P1080" t="s">
        <v>4278</v>
      </c>
      <c r="Q1080" t="str">
        <f>IF($C1080="","",IFERROR(VLOOKUP($C1080,sources!$A$2:$N$200,2,FALSE()),"?"))</f>
        <v>Administrative</v>
      </c>
      <c r="S1080" t="str">
        <f>IF($C1080="","",IFERROR(VLOOKUP($C1080,sources!$A$2:$N$200,9,FALSE()),"?"))</f>
        <v>US official</v>
      </c>
    </row>
    <row r="1081" spans="1:19" x14ac:dyDescent="0.2">
      <c r="A1081" t="s">
        <v>4283</v>
      </c>
      <c r="B1081" t="s">
        <v>611</v>
      </c>
      <c r="C1081" t="s">
        <v>1277</v>
      </c>
      <c r="D1081" t="s">
        <v>1666</v>
      </c>
      <c r="E1081" t="s">
        <v>612</v>
      </c>
      <c r="F1081" t="s">
        <v>1612</v>
      </c>
      <c r="I1081" t="s">
        <v>1077</v>
      </c>
      <c r="M1081" t="s">
        <v>209</v>
      </c>
      <c r="N1081" t="s">
        <v>228</v>
      </c>
      <c r="O1081" t="s">
        <v>4271</v>
      </c>
      <c r="P1081" t="s">
        <v>4278</v>
      </c>
      <c r="Q1081" t="str">
        <f>IF($C1081="","",IFERROR(VLOOKUP($C1081,sources!$A$2:$N$200,2,FALSE()),"?"))</f>
        <v>Administrative</v>
      </c>
      <c r="S1081" t="str">
        <f>IF($C1081="","",IFERROR(VLOOKUP($C1081,sources!$A$2:$N$200,9,FALSE()),"?"))</f>
        <v>US official</v>
      </c>
    </row>
    <row r="1082" spans="1:19" x14ac:dyDescent="0.2">
      <c r="A1082" t="s">
        <v>4284</v>
      </c>
      <c r="B1082" t="s">
        <v>584</v>
      </c>
      <c r="C1082" t="s">
        <v>1277</v>
      </c>
      <c r="D1082" t="s">
        <v>1666</v>
      </c>
      <c r="E1082" t="s">
        <v>585</v>
      </c>
      <c r="F1082" t="s">
        <v>1612</v>
      </c>
      <c r="I1082" t="s">
        <v>1077</v>
      </c>
      <c r="M1082" t="s">
        <v>209</v>
      </c>
      <c r="N1082" t="s">
        <v>228</v>
      </c>
      <c r="O1082" t="s">
        <v>4271</v>
      </c>
      <c r="P1082" t="s">
        <v>4278</v>
      </c>
      <c r="Q1082" t="str">
        <f>IF($C1082="","",IFERROR(VLOOKUP($C1082,sources!$A$2:$N$200,2,FALSE()),"?"))</f>
        <v>Administrative</v>
      </c>
      <c r="S1082" t="str">
        <f>IF($C1082="","",IFERROR(VLOOKUP($C1082,sources!$A$2:$N$200,9,FALSE()),"?"))</f>
        <v>US official</v>
      </c>
    </row>
    <row r="1083" spans="1:19" x14ac:dyDescent="0.2">
      <c r="A1083" t="s">
        <v>4285</v>
      </c>
      <c r="B1083" t="s">
        <v>594</v>
      </c>
      <c r="C1083" t="s">
        <v>1277</v>
      </c>
      <c r="D1083" t="s">
        <v>1666</v>
      </c>
      <c r="E1083" t="s">
        <v>595</v>
      </c>
      <c r="F1083" t="s">
        <v>1612</v>
      </c>
      <c r="I1083" t="s">
        <v>1077</v>
      </c>
      <c r="M1083" t="s">
        <v>209</v>
      </c>
      <c r="N1083" t="s">
        <v>228</v>
      </c>
      <c r="O1083" t="s">
        <v>4271</v>
      </c>
      <c r="P1083" t="s">
        <v>4278</v>
      </c>
      <c r="Q1083" t="str">
        <f>IF($C1083="","",IFERROR(VLOOKUP($C1083,sources!$A$2:$N$200,2,FALSE()),"?"))</f>
        <v>Administrative</v>
      </c>
      <c r="S1083" t="str">
        <f>IF($C1083="","",IFERROR(VLOOKUP($C1083,sources!$A$2:$N$200,9,FALSE()),"?"))</f>
        <v>US official</v>
      </c>
    </row>
    <row r="1084" spans="1:19" x14ac:dyDescent="0.2">
      <c r="A1084" t="s">
        <v>4286</v>
      </c>
      <c r="B1084" t="s">
        <v>599</v>
      </c>
      <c r="C1084" t="s">
        <v>1277</v>
      </c>
      <c r="D1084" t="s">
        <v>1666</v>
      </c>
      <c r="E1084" t="s">
        <v>600</v>
      </c>
      <c r="F1084" t="s">
        <v>1612</v>
      </c>
      <c r="I1084" t="s">
        <v>1077</v>
      </c>
      <c r="M1084" t="s">
        <v>209</v>
      </c>
      <c r="N1084" t="s">
        <v>228</v>
      </c>
      <c r="O1084" t="s">
        <v>4271</v>
      </c>
      <c r="P1084" t="s">
        <v>4278</v>
      </c>
      <c r="Q1084" t="str">
        <f>IF($C1084="","",IFERROR(VLOOKUP($C1084,sources!$A$2:$N$200,2,FALSE()),"?"))</f>
        <v>Administrative</v>
      </c>
      <c r="S1084" t="str">
        <f>IF($C1084="","",IFERROR(VLOOKUP($C1084,sources!$A$2:$N$200,9,FALSE()),"?"))</f>
        <v>US official</v>
      </c>
    </row>
    <row r="1085" spans="1:19" x14ac:dyDescent="0.2">
      <c r="A1085" t="s">
        <v>4287</v>
      </c>
      <c r="B1085" t="s">
        <v>614</v>
      </c>
      <c r="C1085" t="s">
        <v>1277</v>
      </c>
      <c r="D1085" t="s">
        <v>1666</v>
      </c>
      <c r="E1085" t="s">
        <v>615</v>
      </c>
      <c r="F1085" t="s">
        <v>1612</v>
      </c>
      <c r="I1085" t="s">
        <v>1077</v>
      </c>
      <c r="M1085" t="s">
        <v>209</v>
      </c>
      <c r="N1085" t="s">
        <v>228</v>
      </c>
      <c r="O1085" t="s">
        <v>4271</v>
      </c>
      <c r="P1085" t="s">
        <v>4278</v>
      </c>
      <c r="Q1085" t="str">
        <f>IF($C1085="","",IFERROR(VLOOKUP($C1085,sources!$A$2:$N$200,2,FALSE()),"?"))</f>
        <v>Administrative</v>
      </c>
      <c r="S1085" t="str">
        <f>IF($C1085="","",IFERROR(VLOOKUP($C1085,sources!$A$2:$N$200,9,FALSE()),"?"))</f>
        <v>US official</v>
      </c>
    </row>
    <row r="1086" spans="1:19" x14ac:dyDescent="0.2">
      <c r="A1086" t="s">
        <v>4288</v>
      </c>
      <c r="B1086" t="s">
        <v>622</v>
      </c>
      <c r="C1086" t="s">
        <v>1277</v>
      </c>
      <c r="D1086" t="s">
        <v>1666</v>
      </c>
      <c r="E1086" t="s">
        <v>623</v>
      </c>
      <c r="F1086" t="s">
        <v>1612</v>
      </c>
      <c r="I1086" t="s">
        <v>1077</v>
      </c>
      <c r="M1086" t="s">
        <v>209</v>
      </c>
      <c r="N1086" t="s">
        <v>228</v>
      </c>
      <c r="O1086" t="s">
        <v>4271</v>
      </c>
      <c r="P1086" t="s">
        <v>4278</v>
      </c>
      <c r="Q1086" t="str">
        <f>IF($C1086="","",IFERROR(VLOOKUP($C1086,sources!$A$2:$N$200,2,FALSE()),"?"))</f>
        <v>Administrative</v>
      </c>
      <c r="S1086" t="str">
        <f>IF($C1086="","",IFERROR(VLOOKUP($C1086,sources!$A$2:$N$200,9,FALSE()),"?"))</f>
        <v>US official</v>
      </c>
    </row>
    <row r="1087" spans="1:19" x14ac:dyDescent="0.2">
      <c r="A1087" t="s">
        <v>4289</v>
      </c>
      <c r="B1087" t="s">
        <v>626</v>
      </c>
      <c r="C1087" t="s">
        <v>1277</v>
      </c>
      <c r="D1087" t="s">
        <v>1666</v>
      </c>
      <c r="E1087" t="s">
        <v>627</v>
      </c>
      <c r="F1087" t="s">
        <v>1612</v>
      </c>
      <c r="I1087" t="s">
        <v>1077</v>
      </c>
      <c r="M1087" t="s">
        <v>209</v>
      </c>
      <c r="N1087" t="s">
        <v>228</v>
      </c>
      <c r="O1087" t="s">
        <v>4271</v>
      </c>
      <c r="P1087" t="s">
        <v>4278</v>
      </c>
      <c r="Q1087" t="str">
        <f>IF($C1087="","",IFERROR(VLOOKUP($C1087,sources!$A$2:$N$200,2,FALSE()),"?"))</f>
        <v>Administrative</v>
      </c>
      <c r="S1087" t="str">
        <f>IF($C1087="","",IFERROR(VLOOKUP($C1087,sources!$A$2:$N$200,9,FALSE()),"?"))</f>
        <v>US official</v>
      </c>
    </row>
    <row r="1088" spans="1:19" x14ac:dyDescent="0.2">
      <c r="A1088" t="s">
        <v>4290</v>
      </c>
      <c r="B1088" t="s">
        <v>589</v>
      </c>
      <c r="C1088" t="s">
        <v>1277</v>
      </c>
      <c r="D1088" t="s">
        <v>1666</v>
      </c>
      <c r="E1088" t="s">
        <v>590</v>
      </c>
      <c r="F1088" t="s">
        <v>1612</v>
      </c>
      <c r="I1088" t="s">
        <v>1077</v>
      </c>
      <c r="M1088" t="s">
        <v>209</v>
      </c>
      <c r="N1088" t="s">
        <v>228</v>
      </c>
      <c r="O1088" t="s">
        <v>4271</v>
      </c>
      <c r="P1088" t="s">
        <v>4278</v>
      </c>
      <c r="Q1088" t="str">
        <f>IF($C1088="","",IFERROR(VLOOKUP($C1088,sources!$A$2:$N$200,2,FALSE()),"?"))</f>
        <v>Administrative</v>
      </c>
      <c r="S1088" t="str">
        <f>IF($C1088="","",IFERROR(VLOOKUP($C1088,sources!$A$2:$N$200,9,FALSE()),"?"))</f>
        <v>US official</v>
      </c>
    </row>
    <row r="1089" spans="1:19" x14ac:dyDescent="0.2">
      <c r="A1089" t="s">
        <v>4291</v>
      </c>
      <c r="B1089" t="s">
        <v>534</v>
      </c>
      <c r="C1089" t="s">
        <v>1277</v>
      </c>
      <c r="D1089" t="s">
        <v>1599</v>
      </c>
      <c r="E1089" t="s">
        <v>535</v>
      </c>
      <c r="F1089" t="s">
        <v>1612</v>
      </c>
      <c r="I1089" t="s">
        <v>1077</v>
      </c>
      <c r="M1089" t="s">
        <v>209</v>
      </c>
      <c r="N1089" t="s">
        <v>228</v>
      </c>
      <c r="O1089" t="s">
        <v>4271</v>
      </c>
      <c r="P1089" t="s">
        <v>4292</v>
      </c>
      <c r="Q1089" t="str">
        <f>IF($C1089="","",IFERROR(VLOOKUP($C1089,sources!$A$2:$N$200,2,FALSE()),"?"))</f>
        <v>Administrative</v>
      </c>
      <c r="S1089" t="str">
        <f>IF($C1089="","",IFERROR(VLOOKUP($C1089,sources!$A$2:$N$200,9,FALSE()),"?"))</f>
        <v>US official</v>
      </c>
    </row>
    <row r="1090" spans="1:19" x14ac:dyDescent="0.2">
      <c r="A1090" t="s">
        <v>4293</v>
      </c>
      <c r="B1090" t="s">
        <v>539</v>
      </c>
      <c r="C1090" t="s">
        <v>1277</v>
      </c>
      <c r="D1090" t="s">
        <v>1599</v>
      </c>
      <c r="E1090" t="s">
        <v>540</v>
      </c>
      <c r="F1090" t="s">
        <v>1612</v>
      </c>
      <c r="I1090" t="s">
        <v>1077</v>
      </c>
      <c r="M1090" t="s">
        <v>209</v>
      </c>
      <c r="N1090" t="s">
        <v>228</v>
      </c>
      <c r="O1090" t="s">
        <v>4271</v>
      </c>
      <c r="P1090" t="s">
        <v>4294</v>
      </c>
      <c r="Q1090" t="str">
        <f>IF($C1090="","",IFERROR(VLOOKUP($C1090,sources!$A$2:$N$200,2,FALSE()),"?"))</f>
        <v>Administrative</v>
      </c>
      <c r="S1090" t="str">
        <f>IF($C1090="","",IFERROR(VLOOKUP($C1090,sources!$A$2:$N$200,9,FALSE()),"?"))</f>
        <v>US official</v>
      </c>
    </row>
    <row r="1091" spans="1:19" x14ac:dyDescent="0.2">
      <c r="A1091" t="s">
        <v>4295</v>
      </c>
      <c r="B1091" t="s">
        <v>544</v>
      </c>
      <c r="C1091" t="s">
        <v>1277</v>
      </c>
      <c r="D1091" t="s">
        <v>1599</v>
      </c>
      <c r="E1091" t="s">
        <v>545</v>
      </c>
      <c r="F1091" t="s">
        <v>1612</v>
      </c>
      <c r="I1091" t="s">
        <v>1077</v>
      </c>
      <c r="M1091" t="s">
        <v>209</v>
      </c>
      <c r="N1091" t="s">
        <v>228</v>
      </c>
      <c r="O1091" t="s">
        <v>4271</v>
      </c>
      <c r="P1091" t="s">
        <v>4296</v>
      </c>
      <c r="Q1091" t="str">
        <f>IF($C1091="","",IFERROR(VLOOKUP($C1091,sources!$A$2:$N$200,2,FALSE()),"?"))</f>
        <v>Administrative</v>
      </c>
      <c r="S1091" t="str">
        <f>IF($C1091="","",IFERROR(VLOOKUP($C1091,sources!$A$2:$N$200,9,FALSE()),"?"))</f>
        <v>US official</v>
      </c>
    </row>
    <row r="1092" spans="1:19" x14ac:dyDescent="0.2">
      <c r="A1092" t="s">
        <v>4297</v>
      </c>
      <c r="B1092" t="s">
        <v>549</v>
      </c>
      <c r="C1092" t="s">
        <v>1277</v>
      </c>
      <c r="D1092" t="s">
        <v>1599</v>
      </c>
      <c r="E1092" t="s">
        <v>550</v>
      </c>
      <c r="F1092" t="s">
        <v>1612</v>
      </c>
      <c r="I1092" t="s">
        <v>1077</v>
      </c>
      <c r="M1092" t="s">
        <v>209</v>
      </c>
      <c r="N1092" t="s">
        <v>228</v>
      </c>
      <c r="O1092" t="s">
        <v>4271</v>
      </c>
      <c r="P1092" t="s">
        <v>4298</v>
      </c>
      <c r="Q1092" t="str">
        <f>IF($C1092="","",IFERROR(VLOOKUP($C1092,sources!$A$2:$N$200,2,FALSE()),"?"))</f>
        <v>Administrative</v>
      </c>
      <c r="S1092" t="str">
        <f>IF($C1092="","",IFERROR(VLOOKUP($C1092,sources!$A$2:$N$200,9,FALSE()),"?"))</f>
        <v>US official</v>
      </c>
    </row>
    <row r="1093" spans="1:19" x14ac:dyDescent="0.2">
      <c r="A1093" t="s">
        <v>4299</v>
      </c>
      <c r="B1093" t="s">
        <v>553</v>
      </c>
      <c r="C1093" t="s">
        <v>1277</v>
      </c>
      <c r="D1093" t="s">
        <v>1599</v>
      </c>
      <c r="E1093" t="s">
        <v>554</v>
      </c>
      <c r="F1093" t="s">
        <v>1612</v>
      </c>
      <c r="I1093" t="s">
        <v>1077</v>
      </c>
      <c r="M1093" t="s">
        <v>209</v>
      </c>
      <c r="N1093" t="s">
        <v>228</v>
      </c>
      <c r="O1093" t="s">
        <v>4271</v>
      </c>
      <c r="P1093" t="s">
        <v>4300</v>
      </c>
      <c r="Q1093" t="str">
        <f>IF($C1093="","",IFERROR(VLOOKUP($C1093,sources!$A$2:$N$200,2,FALSE()),"?"))</f>
        <v>Administrative</v>
      </c>
      <c r="S1093" t="str">
        <f>IF($C1093="","",IFERROR(VLOOKUP($C1093,sources!$A$2:$N$200,9,FALSE()),"?"))</f>
        <v>US official</v>
      </c>
    </row>
    <row r="1094" spans="1:19" x14ac:dyDescent="0.2">
      <c r="A1094" t="s">
        <v>4301</v>
      </c>
      <c r="B1094" t="s">
        <v>557</v>
      </c>
      <c r="C1094" t="s">
        <v>1277</v>
      </c>
      <c r="D1094" t="s">
        <v>1599</v>
      </c>
      <c r="E1094" t="s">
        <v>558</v>
      </c>
      <c r="F1094" t="s">
        <v>1612</v>
      </c>
      <c r="I1094" t="s">
        <v>1077</v>
      </c>
      <c r="M1094" t="s">
        <v>209</v>
      </c>
      <c r="N1094" t="s">
        <v>228</v>
      </c>
      <c r="O1094" t="s">
        <v>4271</v>
      </c>
      <c r="P1094" t="s">
        <v>4302</v>
      </c>
      <c r="Q1094" t="str">
        <f>IF($C1094="","",IFERROR(VLOOKUP($C1094,sources!$A$2:$N$200,2,FALSE()),"?"))</f>
        <v>Administrative</v>
      </c>
      <c r="S1094" t="str">
        <f>IF($C1094="","",IFERROR(VLOOKUP($C1094,sources!$A$2:$N$200,9,FALSE()),"?"))</f>
        <v>US official</v>
      </c>
    </row>
    <row r="1095" spans="1:19" x14ac:dyDescent="0.2">
      <c r="A1095" t="s">
        <v>4303</v>
      </c>
      <c r="B1095" t="s">
        <v>561</v>
      </c>
      <c r="C1095" t="s">
        <v>1277</v>
      </c>
      <c r="D1095" t="s">
        <v>1599</v>
      </c>
      <c r="E1095" t="s">
        <v>562</v>
      </c>
      <c r="F1095" t="s">
        <v>1612</v>
      </c>
      <c r="I1095" t="s">
        <v>1077</v>
      </c>
      <c r="M1095" t="s">
        <v>209</v>
      </c>
      <c r="N1095" t="s">
        <v>228</v>
      </c>
      <c r="O1095" t="s">
        <v>4271</v>
      </c>
      <c r="P1095" t="s">
        <v>4304</v>
      </c>
      <c r="Q1095" t="str">
        <f>IF($C1095="","",IFERROR(VLOOKUP($C1095,sources!$A$2:$N$200,2,FALSE()),"?"))</f>
        <v>Administrative</v>
      </c>
      <c r="S1095" t="str">
        <f>IF($C1095="","",IFERROR(VLOOKUP($C1095,sources!$A$2:$N$200,9,FALSE()),"?"))</f>
        <v>US official</v>
      </c>
    </row>
    <row r="1096" spans="1:19" x14ac:dyDescent="0.2">
      <c r="A1096" t="s">
        <v>4305</v>
      </c>
      <c r="B1096" t="s">
        <v>566</v>
      </c>
      <c r="C1096" t="s">
        <v>1277</v>
      </c>
      <c r="D1096" t="s">
        <v>1599</v>
      </c>
      <c r="E1096" t="s">
        <v>567</v>
      </c>
      <c r="F1096" t="s">
        <v>1612</v>
      </c>
      <c r="I1096" t="s">
        <v>1077</v>
      </c>
      <c r="M1096" t="s">
        <v>209</v>
      </c>
      <c r="N1096" t="s">
        <v>228</v>
      </c>
      <c r="O1096" t="s">
        <v>4271</v>
      </c>
      <c r="P1096" t="s">
        <v>4306</v>
      </c>
      <c r="Q1096" t="str">
        <f>IF($C1096="","",IFERROR(VLOOKUP($C1096,sources!$A$2:$N$200,2,FALSE()),"?"))</f>
        <v>Administrative</v>
      </c>
      <c r="S1096" t="str">
        <f>IF($C1096="","",IFERROR(VLOOKUP($C1096,sources!$A$2:$N$200,9,FALSE()),"?"))</f>
        <v>US official</v>
      </c>
    </row>
    <row r="1097" spans="1:19" x14ac:dyDescent="0.2">
      <c r="A1097" t="s">
        <v>4307</v>
      </c>
      <c r="B1097" t="s">
        <v>571</v>
      </c>
      <c r="C1097" t="s">
        <v>1277</v>
      </c>
      <c r="D1097" t="s">
        <v>1599</v>
      </c>
      <c r="E1097" t="s">
        <v>572</v>
      </c>
      <c r="F1097" t="s">
        <v>1612</v>
      </c>
      <c r="I1097" t="s">
        <v>1077</v>
      </c>
      <c r="M1097" t="s">
        <v>209</v>
      </c>
      <c r="N1097" t="s">
        <v>228</v>
      </c>
      <c r="O1097" t="s">
        <v>4271</v>
      </c>
      <c r="P1097" t="s">
        <v>4308</v>
      </c>
      <c r="Q1097" t="str">
        <f>IF($C1097="","",IFERROR(VLOOKUP($C1097,sources!$A$2:$N$200,2,FALSE()),"?"))</f>
        <v>Administrative</v>
      </c>
      <c r="S1097" t="str">
        <f>IF($C1097="","",IFERROR(VLOOKUP($C1097,sources!$A$2:$N$200,9,FALSE()),"?"))</f>
        <v>US official</v>
      </c>
    </row>
    <row r="1098" spans="1:19" x14ac:dyDescent="0.2">
      <c r="A1098" t="s">
        <v>4309</v>
      </c>
      <c r="B1098" t="s">
        <v>405</v>
      </c>
      <c r="C1098" t="s">
        <v>1277</v>
      </c>
      <c r="D1098" t="s">
        <v>1666</v>
      </c>
      <c r="E1098" t="s">
        <v>579</v>
      </c>
      <c r="F1098" t="s">
        <v>1612</v>
      </c>
      <c r="I1098" t="s">
        <v>1077</v>
      </c>
      <c r="M1098" t="s">
        <v>209</v>
      </c>
      <c r="N1098" t="s">
        <v>228</v>
      </c>
      <c r="O1098" t="s">
        <v>4271</v>
      </c>
      <c r="P1098" t="s">
        <v>4310</v>
      </c>
      <c r="Q1098" t="str">
        <f>IF($C1098="","",IFERROR(VLOOKUP($C1098,sources!$A$2:$N$200,2,FALSE()),"?"))</f>
        <v>Administrative</v>
      </c>
      <c r="S1098" t="str">
        <f>IF($C1098="","",IFERROR(VLOOKUP($C1098,sources!$A$2:$N$200,9,FALSE()),"?"))</f>
        <v>US official</v>
      </c>
    </row>
    <row r="1099" spans="1:19" x14ac:dyDescent="0.2">
      <c r="A1099" t="s">
        <v>4311</v>
      </c>
      <c r="B1099" t="s">
        <v>603</v>
      </c>
      <c r="C1099" t="s">
        <v>1277</v>
      </c>
      <c r="D1099" t="s">
        <v>1666</v>
      </c>
      <c r="E1099" t="s">
        <v>604</v>
      </c>
      <c r="F1099" t="s">
        <v>1612</v>
      </c>
      <c r="I1099" t="s">
        <v>1077</v>
      </c>
      <c r="M1099" t="s">
        <v>209</v>
      </c>
      <c r="N1099" t="s">
        <v>228</v>
      </c>
      <c r="O1099" t="s">
        <v>4271</v>
      </c>
      <c r="P1099" t="s">
        <v>4312</v>
      </c>
      <c r="Q1099" t="str">
        <f>IF($C1099="","",IFERROR(VLOOKUP($C1099,sources!$A$2:$N$200,2,FALSE()),"?"))</f>
        <v>Administrative</v>
      </c>
      <c r="S1099" t="str">
        <f>IF($C1099="","",IFERROR(VLOOKUP($C1099,sources!$A$2:$N$200,9,FALSE()),"?"))</f>
        <v>US official</v>
      </c>
    </row>
    <row r="1100" spans="1:19" x14ac:dyDescent="0.2">
      <c r="A1100" t="s">
        <v>4313</v>
      </c>
      <c r="B1100" t="s">
        <v>618</v>
      </c>
      <c r="C1100" t="s">
        <v>1277</v>
      </c>
      <c r="D1100" t="s">
        <v>1666</v>
      </c>
      <c r="E1100" t="s">
        <v>619</v>
      </c>
      <c r="F1100" t="s">
        <v>1612</v>
      </c>
      <c r="I1100" t="s">
        <v>1077</v>
      </c>
      <c r="M1100" t="s">
        <v>209</v>
      </c>
      <c r="N1100" t="s">
        <v>228</v>
      </c>
      <c r="O1100" t="s">
        <v>4271</v>
      </c>
      <c r="P1100" t="s">
        <v>4278</v>
      </c>
      <c r="Q1100" t="str">
        <f>IF($C1100="","",IFERROR(VLOOKUP($C1100,sources!$A$2:$N$200,2,FALSE()),"?"))</f>
        <v>Administrative</v>
      </c>
      <c r="S1100" t="str">
        <f>IF($C1100="","",IFERROR(VLOOKUP($C1100,sources!$A$2:$N$200,9,FALSE()),"?"))</f>
        <v>US official</v>
      </c>
    </row>
    <row r="1101" spans="1:19" x14ac:dyDescent="0.2">
      <c r="A1101" t="s">
        <v>4314</v>
      </c>
      <c r="B1101" t="s">
        <v>658</v>
      </c>
      <c r="C1101" t="s">
        <v>1277</v>
      </c>
      <c r="D1101" t="s">
        <v>1666</v>
      </c>
      <c r="E1101" t="s">
        <v>659</v>
      </c>
      <c r="F1101" t="s">
        <v>1612</v>
      </c>
      <c r="I1101" t="s">
        <v>1077</v>
      </c>
      <c r="M1101" t="s">
        <v>209</v>
      </c>
      <c r="N1101" t="s">
        <v>228</v>
      </c>
      <c r="O1101" t="s">
        <v>4271</v>
      </c>
      <c r="P1101" t="s">
        <v>4278</v>
      </c>
      <c r="Q1101" t="str">
        <f>IF($C1101="","",IFERROR(VLOOKUP($C1101,sources!$A$2:$N$200,2,FALSE()),"?"))</f>
        <v>Administrative</v>
      </c>
      <c r="S1101" t="str">
        <f>IF($C1101="","",IFERROR(VLOOKUP($C1101,sources!$A$2:$N$200,9,FALSE()),"?"))</f>
        <v>US official</v>
      </c>
    </row>
    <row r="1102" spans="1:19" x14ac:dyDescent="0.2">
      <c r="A1102" t="s">
        <v>4315</v>
      </c>
      <c r="B1102" t="s">
        <v>306</v>
      </c>
      <c r="C1102" t="s">
        <v>1277</v>
      </c>
      <c r="D1102" t="s">
        <v>1666</v>
      </c>
      <c r="E1102" t="s">
        <v>307</v>
      </c>
      <c r="F1102" t="s">
        <v>1612</v>
      </c>
      <c r="I1102" t="s">
        <v>1077</v>
      </c>
      <c r="M1102" t="s">
        <v>209</v>
      </c>
      <c r="N1102" t="s">
        <v>228</v>
      </c>
      <c r="O1102" t="s">
        <v>4271</v>
      </c>
      <c r="P1102" t="s">
        <v>4278</v>
      </c>
      <c r="Q1102" t="str">
        <f>IF($C1102="","",IFERROR(VLOOKUP($C1102,sources!$A$2:$N$200,2,FALSE()),"?"))</f>
        <v>Administrative</v>
      </c>
      <c r="S1102" t="str">
        <f>IF($C1102="","",IFERROR(VLOOKUP($C1102,sources!$A$2:$N$200,9,FALSE()),"?"))</f>
        <v>US official</v>
      </c>
    </row>
    <row r="1103" spans="1:19" x14ac:dyDescent="0.2">
      <c r="A1103" t="s">
        <v>4316</v>
      </c>
      <c r="B1103" t="s">
        <v>313</v>
      </c>
      <c r="C1103" t="s">
        <v>1277</v>
      </c>
      <c r="D1103" t="s">
        <v>1666</v>
      </c>
      <c r="E1103" t="s">
        <v>314</v>
      </c>
      <c r="F1103" t="s">
        <v>1612</v>
      </c>
      <c r="I1103" t="s">
        <v>1077</v>
      </c>
      <c r="M1103" t="s">
        <v>209</v>
      </c>
      <c r="N1103" t="s">
        <v>228</v>
      </c>
      <c r="O1103" t="s">
        <v>4271</v>
      </c>
      <c r="P1103" t="s">
        <v>4278</v>
      </c>
      <c r="Q1103" t="str">
        <f>IF($C1103="","",IFERROR(VLOOKUP($C1103,sources!$A$2:$N$200,2,FALSE()),"?"))</f>
        <v>Administrative</v>
      </c>
      <c r="S1103" t="str">
        <f>IF($C1103="","",IFERROR(VLOOKUP($C1103,sources!$A$2:$N$200,9,FALSE()),"?"))</f>
        <v>US official</v>
      </c>
    </row>
    <row r="1104" spans="1:19" x14ac:dyDescent="0.2">
      <c r="A1104" t="s">
        <v>4317</v>
      </c>
      <c r="B1104" t="s">
        <v>679</v>
      </c>
      <c r="C1104" t="s">
        <v>1277</v>
      </c>
      <c r="D1104" t="s">
        <v>1666</v>
      </c>
      <c r="E1104" t="s">
        <v>317</v>
      </c>
      <c r="F1104" t="s">
        <v>1612</v>
      </c>
      <c r="I1104" t="s">
        <v>1077</v>
      </c>
      <c r="M1104" t="s">
        <v>209</v>
      </c>
      <c r="N1104" t="s">
        <v>228</v>
      </c>
      <c r="O1104" t="s">
        <v>4271</v>
      </c>
      <c r="P1104" t="s">
        <v>4318</v>
      </c>
      <c r="Q1104" t="str">
        <f>IF($C1104="","",IFERROR(VLOOKUP($C1104,sources!$A$2:$N$200,2,FALSE()),"?"))</f>
        <v>Administrative</v>
      </c>
      <c r="S1104" t="str">
        <f>IF($C1104="","",IFERROR(VLOOKUP($C1104,sources!$A$2:$N$200,9,FALSE()),"?"))</f>
        <v>US official</v>
      </c>
    </row>
    <row r="1105" spans="1:19" x14ac:dyDescent="0.2">
      <c r="A1105" t="s">
        <v>4319</v>
      </c>
      <c r="B1105" t="s">
        <v>336</v>
      </c>
      <c r="C1105" t="s">
        <v>1277</v>
      </c>
      <c r="D1105" t="s">
        <v>1666</v>
      </c>
      <c r="E1105" t="s">
        <v>337</v>
      </c>
      <c r="F1105" t="s">
        <v>1612</v>
      </c>
      <c r="I1105" t="s">
        <v>1077</v>
      </c>
      <c r="M1105" t="s">
        <v>209</v>
      </c>
      <c r="N1105" t="s">
        <v>228</v>
      </c>
      <c r="O1105" t="s">
        <v>4271</v>
      </c>
      <c r="P1105" t="s">
        <v>4278</v>
      </c>
      <c r="Q1105" t="str">
        <f>IF($C1105="","",IFERROR(VLOOKUP($C1105,sources!$A$2:$N$200,2,FALSE()),"?"))</f>
        <v>Administrative</v>
      </c>
      <c r="S1105" t="str">
        <f>IF($C1105="","",IFERROR(VLOOKUP($C1105,sources!$A$2:$N$200,9,FALSE()),"?"))</f>
        <v>US official</v>
      </c>
    </row>
    <row r="1106" spans="1:19" x14ac:dyDescent="0.2">
      <c r="A1106" t="s">
        <v>4320</v>
      </c>
      <c r="B1106" t="s">
        <v>341</v>
      </c>
      <c r="C1106" t="s">
        <v>1277</v>
      </c>
      <c r="D1106" t="s">
        <v>1666</v>
      </c>
      <c r="E1106" t="s">
        <v>342</v>
      </c>
      <c r="F1106" t="s">
        <v>1612</v>
      </c>
      <c r="I1106" t="s">
        <v>1077</v>
      </c>
      <c r="M1106" t="s">
        <v>209</v>
      </c>
      <c r="N1106" t="s">
        <v>228</v>
      </c>
      <c r="O1106" t="s">
        <v>4271</v>
      </c>
      <c r="P1106" t="s">
        <v>4278</v>
      </c>
      <c r="Q1106" t="str">
        <f>IF($C1106="","",IFERROR(VLOOKUP($C1106,sources!$A$2:$N$200,2,FALSE()),"?"))</f>
        <v>Administrative</v>
      </c>
      <c r="S1106" t="str">
        <f>IF($C1106="","",IFERROR(VLOOKUP($C1106,sources!$A$2:$N$200,9,FALSE()),"?"))</f>
        <v>US official</v>
      </c>
    </row>
    <row r="1107" spans="1:19" x14ac:dyDescent="0.2">
      <c r="A1107" t="s">
        <v>4321</v>
      </c>
      <c r="B1107" t="s">
        <v>671</v>
      </c>
      <c r="C1107" t="s">
        <v>1277</v>
      </c>
      <c r="D1107" t="s">
        <v>1666</v>
      </c>
      <c r="E1107" t="s">
        <v>672</v>
      </c>
      <c r="F1107" t="s">
        <v>1612</v>
      </c>
      <c r="I1107" t="s">
        <v>1077</v>
      </c>
      <c r="M1107" t="s">
        <v>209</v>
      </c>
      <c r="N1107" t="s">
        <v>228</v>
      </c>
      <c r="O1107" t="s">
        <v>4271</v>
      </c>
      <c r="P1107" t="s">
        <v>4278</v>
      </c>
      <c r="Q1107" t="str">
        <f>IF($C1107="","",IFERROR(VLOOKUP($C1107,sources!$A$2:$N$200,2,FALSE()),"?"))</f>
        <v>Administrative</v>
      </c>
      <c r="S1107" t="str">
        <f>IF($C1107="","",IFERROR(VLOOKUP($C1107,sources!$A$2:$N$200,9,FALSE()),"?"))</f>
        <v>US official</v>
      </c>
    </row>
    <row r="1108" spans="1:19" x14ac:dyDescent="0.2">
      <c r="A1108" t="s">
        <v>4322</v>
      </c>
      <c r="B1108" t="s">
        <v>679</v>
      </c>
      <c r="C1108" t="s">
        <v>1277</v>
      </c>
      <c r="D1108" t="s">
        <v>1666</v>
      </c>
      <c r="E1108" t="s">
        <v>680</v>
      </c>
      <c r="F1108" t="s">
        <v>1612</v>
      </c>
      <c r="I1108" t="s">
        <v>1077</v>
      </c>
      <c r="M1108" t="s">
        <v>209</v>
      </c>
      <c r="N1108" t="s">
        <v>228</v>
      </c>
      <c r="O1108" t="s">
        <v>4271</v>
      </c>
      <c r="P1108" t="s">
        <v>4278</v>
      </c>
      <c r="Q1108" t="str">
        <f>IF($C1108="","",IFERROR(VLOOKUP($C1108,sources!$A$2:$N$200,2,FALSE()),"?"))</f>
        <v>Administrative</v>
      </c>
      <c r="S1108" t="str">
        <f>IF($C1108="","",IFERROR(VLOOKUP($C1108,sources!$A$2:$N$200,9,FALSE()),"?"))</f>
        <v>US official</v>
      </c>
    </row>
    <row r="1109" spans="1:19" x14ac:dyDescent="0.2">
      <c r="A1109" t="s">
        <v>4323</v>
      </c>
      <c r="B1109" t="s">
        <v>682</v>
      </c>
      <c r="C1109" t="s">
        <v>1277</v>
      </c>
      <c r="D1109" t="s">
        <v>1666</v>
      </c>
      <c r="E1109" t="s">
        <v>683</v>
      </c>
      <c r="F1109" t="s">
        <v>1612</v>
      </c>
      <c r="I1109" t="s">
        <v>1077</v>
      </c>
      <c r="M1109" t="s">
        <v>209</v>
      </c>
      <c r="N1109" t="s">
        <v>228</v>
      </c>
      <c r="O1109" t="s">
        <v>4271</v>
      </c>
      <c r="P1109" t="s">
        <v>4278</v>
      </c>
      <c r="Q1109" t="str">
        <f>IF($C1109="","",IFERROR(VLOOKUP($C1109,sources!$A$2:$N$200,2,FALSE()),"?"))</f>
        <v>Administrative</v>
      </c>
      <c r="S1109" t="str">
        <f>IF($C1109="","",IFERROR(VLOOKUP($C1109,sources!$A$2:$N$200,9,FALSE()),"?"))</f>
        <v>US official</v>
      </c>
    </row>
    <row r="1110" spans="1:19" x14ac:dyDescent="0.2">
      <c r="A1110" t="s">
        <v>4324</v>
      </c>
      <c r="B1110" t="s">
        <v>686</v>
      </c>
      <c r="C1110" t="s">
        <v>1277</v>
      </c>
      <c r="D1110" t="s">
        <v>1666</v>
      </c>
      <c r="E1110" t="s">
        <v>687</v>
      </c>
      <c r="F1110" t="s">
        <v>1612</v>
      </c>
      <c r="I1110" t="s">
        <v>1077</v>
      </c>
      <c r="M1110" t="s">
        <v>209</v>
      </c>
      <c r="N1110" t="s">
        <v>228</v>
      </c>
      <c r="O1110" t="s">
        <v>4271</v>
      </c>
      <c r="P1110" t="s">
        <v>4278</v>
      </c>
      <c r="Q1110" t="str">
        <f>IF($C1110="","",IFERROR(VLOOKUP($C1110,sources!$A$2:$N$200,2,FALSE()),"?"))</f>
        <v>Administrative</v>
      </c>
      <c r="S1110" t="str">
        <f>IF($C1110="","",IFERROR(VLOOKUP($C1110,sources!$A$2:$N$200,9,FALSE()),"?"))</f>
        <v>US official</v>
      </c>
    </row>
    <row r="1111" spans="1:19" x14ac:dyDescent="0.2">
      <c r="A1111" t="s">
        <v>4325</v>
      </c>
      <c r="B1111" t="s">
        <v>692</v>
      </c>
      <c r="C1111" t="s">
        <v>1277</v>
      </c>
      <c r="D1111" t="s">
        <v>1666</v>
      </c>
      <c r="E1111" t="s">
        <v>693</v>
      </c>
      <c r="F1111" t="s">
        <v>1612</v>
      </c>
      <c r="I1111" t="s">
        <v>1077</v>
      </c>
      <c r="M1111" t="s">
        <v>209</v>
      </c>
      <c r="N1111" t="s">
        <v>228</v>
      </c>
      <c r="O1111" t="s">
        <v>4271</v>
      </c>
      <c r="P1111" t="s">
        <v>4278</v>
      </c>
      <c r="Q1111" t="str">
        <f>IF($C1111="","",IFERROR(VLOOKUP($C1111,sources!$A$2:$N$200,2,FALSE()),"?"))</f>
        <v>Administrative</v>
      </c>
      <c r="S1111" t="str">
        <f>IF($C1111="","",IFERROR(VLOOKUP($C1111,sources!$A$2:$N$200,9,FALSE()),"?"))</f>
        <v>US official</v>
      </c>
    </row>
    <row r="1112" spans="1:19" x14ac:dyDescent="0.2">
      <c r="A1112" t="s">
        <v>4326</v>
      </c>
      <c r="B1112" t="s">
        <v>696</v>
      </c>
      <c r="C1112" t="s">
        <v>1277</v>
      </c>
      <c r="D1112" t="s">
        <v>1666</v>
      </c>
      <c r="E1112" t="s">
        <v>697</v>
      </c>
      <c r="F1112" t="s">
        <v>1612</v>
      </c>
      <c r="I1112" t="s">
        <v>1077</v>
      </c>
      <c r="M1112" t="s">
        <v>209</v>
      </c>
      <c r="N1112" t="s">
        <v>228</v>
      </c>
      <c r="O1112" t="s">
        <v>4271</v>
      </c>
      <c r="P1112" t="s">
        <v>4278</v>
      </c>
      <c r="Q1112" t="str">
        <f>IF($C1112="","",IFERROR(VLOOKUP($C1112,sources!$A$2:$N$200,2,FALSE()),"?"))</f>
        <v>Administrative</v>
      </c>
      <c r="S1112" t="str">
        <f>IF($C1112="","",IFERROR(VLOOKUP($C1112,sources!$A$2:$N$200,9,FALSE()),"?"))</f>
        <v>US official</v>
      </c>
    </row>
    <row r="1113" spans="1:19" x14ac:dyDescent="0.2">
      <c r="A1113" t="s">
        <v>4327</v>
      </c>
      <c r="B1113" t="s">
        <v>705</v>
      </c>
      <c r="C1113" t="s">
        <v>1277</v>
      </c>
      <c r="D1113" t="s">
        <v>1666</v>
      </c>
      <c r="E1113" t="s">
        <v>706</v>
      </c>
      <c r="F1113" t="s">
        <v>1612</v>
      </c>
      <c r="I1113" t="s">
        <v>1077</v>
      </c>
      <c r="M1113" t="s">
        <v>209</v>
      </c>
      <c r="N1113" t="s">
        <v>228</v>
      </c>
      <c r="O1113" t="s">
        <v>4271</v>
      </c>
      <c r="P1113" t="s">
        <v>4278</v>
      </c>
      <c r="Q1113" t="str">
        <f>IF($C1113="","",IFERROR(VLOOKUP($C1113,sources!$A$2:$N$200,2,FALSE()),"?"))</f>
        <v>Administrative</v>
      </c>
      <c r="S1113" t="str">
        <f>IF($C1113="","",IFERROR(VLOOKUP($C1113,sources!$A$2:$N$200,9,FALSE()),"?"))</f>
        <v>US official</v>
      </c>
    </row>
    <row r="1114" spans="1:19" x14ac:dyDescent="0.2">
      <c r="A1114" t="s">
        <v>4328</v>
      </c>
      <c r="B1114" t="s">
        <v>708</v>
      </c>
      <c r="C1114" t="s">
        <v>1277</v>
      </c>
      <c r="D1114" t="s">
        <v>1666</v>
      </c>
      <c r="E1114" t="s">
        <v>709</v>
      </c>
      <c r="F1114" t="s">
        <v>1612</v>
      </c>
      <c r="I1114" t="s">
        <v>1077</v>
      </c>
      <c r="M1114" t="s">
        <v>209</v>
      </c>
      <c r="N1114" t="s">
        <v>228</v>
      </c>
      <c r="O1114" t="s">
        <v>4271</v>
      </c>
      <c r="P1114" t="s">
        <v>4278</v>
      </c>
      <c r="Q1114" t="str">
        <f>IF($C1114="","",IFERROR(VLOOKUP($C1114,sources!$A$2:$N$200,2,FALSE()),"?"))</f>
        <v>Administrative</v>
      </c>
      <c r="S1114" t="str">
        <f>IF($C1114="","",IFERROR(VLOOKUP($C1114,sources!$A$2:$N$200,9,FALSE()),"?"))</f>
        <v>US official</v>
      </c>
    </row>
    <row r="1115" spans="1:19" x14ac:dyDescent="0.2">
      <c r="A1115" t="s">
        <v>4329</v>
      </c>
      <c r="B1115" t="s">
        <v>712</v>
      </c>
      <c r="C1115" t="s">
        <v>1277</v>
      </c>
      <c r="D1115" t="s">
        <v>1666</v>
      </c>
      <c r="E1115" t="s">
        <v>713</v>
      </c>
      <c r="F1115" t="s">
        <v>1612</v>
      </c>
      <c r="I1115" t="s">
        <v>1077</v>
      </c>
      <c r="M1115" t="s">
        <v>209</v>
      </c>
      <c r="N1115" t="s">
        <v>228</v>
      </c>
      <c r="O1115" t="s">
        <v>4271</v>
      </c>
      <c r="P1115" t="s">
        <v>4278</v>
      </c>
      <c r="Q1115" t="str">
        <f>IF($C1115="","",IFERROR(VLOOKUP($C1115,sources!$A$2:$N$200,2,FALSE()),"?"))</f>
        <v>Administrative</v>
      </c>
      <c r="S1115" t="str">
        <f>IF($C1115="","",IFERROR(VLOOKUP($C1115,sources!$A$2:$N$200,9,FALSE()),"?"))</f>
        <v>US official</v>
      </c>
    </row>
    <row r="1116" spans="1:19" x14ac:dyDescent="0.2">
      <c r="A1116" t="s">
        <v>4330</v>
      </c>
      <c r="B1116" t="s">
        <v>717</v>
      </c>
      <c r="C1116" t="s">
        <v>1277</v>
      </c>
      <c r="D1116" t="s">
        <v>1666</v>
      </c>
      <c r="E1116" t="s">
        <v>718</v>
      </c>
      <c r="F1116" t="s">
        <v>1612</v>
      </c>
      <c r="I1116" t="s">
        <v>1077</v>
      </c>
      <c r="M1116" t="s">
        <v>209</v>
      </c>
      <c r="N1116" t="s">
        <v>228</v>
      </c>
      <c r="O1116" t="s">
        <v>4271</v>
      </c>
      <c r="P1116" t="s">
        <v>4278</v>
      </c>
      <c r="Q1116" t="str">
        <f>IF($C1116="","",IFERROR(VLOOKUP($C1116,sources!$A$2:$N$200,2,FALSE()),"?"))</f>
        <v>Administrative</v>
      </c>
      <c r="S1116" t="str">
        <f>IF($C1116="","",IFERROR(VLOOKUP($C1116,sources!$A$2:$N$200,9,FALSE()),"?"))</f>
        <v>US official</v>
      </c>
    </row>
    <row r="1117" spans="1:19" x14ac:dyDescent="0.2">
      <c r="A1117" t="s">
        <v>4331</v>
      </c>
      <c r="B1117" t="s">
        <v>723</v>
      </c>
      <c r="C1117" t="s">
        <v>1277</v>
      </c>
      <c r="D1117" t="s">
        <v>1666</v>
      </c>
      <c r="E1117" t="s">
        <v>724</v>
      </c>
      <c r="F1117" t="s">
        <v>1612</v>
      </c>
      <c r="I1117" t="s">
        <v>1077</v>
      </c>
      <c r="M1117" t="s">
        <v>209</v>
      </c>
      <c r="N1117" t="s">
        <v>228</v>
      </c>
      <c r="O1117" t="s">
        <v>4271</v>
      </c>
      <c r="P1117" t="s">
        <v>4278</v>
      </c>
      <c r="Q1117" t="str">
        <f>IF($C1117="","",IFERROR(VLOOKUP($C1117,sources!$A$2:$N$200,2,FALSE()),"?"))</f>
        <v>Administrative</v>
      </c>
      <c r="S1117" t="str">
        <f>IF($C1117="","",IFERROR(VLOOKUP($C1117,sources!$A$2:$N$200,9,FALSE()),"?"))</f>
        <v>US official</v>
      </c>
    </row>
    <row r="1118" spans="1:19" x14ac:dyDescent="0.2">
      <c r="A1118" t="s">
        <v>4332</v>
      </c>
      <c r="B1118" t="s">
        <v>730</v>
      </c>
      <c r="C1118" t="s">
        <v>1277</v>
      </c>
      <c r="D1118" t="s">
        <v>1666</v>
      </c>
      <c r="E1118" t="s">
        <v>731</v>
      </c>
      <c r="F1118" t="s">
        <v>1612</v>
      </c>
      <c r="I1118" t="s">
        <v>1077</v>
      </c>
      <c r="M1118" t="s">
        <v>209</v>
      </c>
      <c r="N1118" t="s">
        <v>228</v>
      </c>
      <c r="O1118" t="s">
        <v>4271</v>
      </c>
      <c r="P1118" t="s">
        <v>4278</v>
      </c>
      <c r="Q1118" t="str">
        <f>IF($C1118="","",IFERROR(VLOOKUP($C1118,sources!$A$2:$N$200,2,FALSE()),"?"))</f>
        <v>Administrative</v>
      </c>
      <c r="S1118" t="str">
        <f>IF($C1118="","",IFERROR(VLOOKUP($C1118,sources!$A$2:$N$200,9,FALSE()),"?"))</f>
        <v>US official</v>
      </c>
    </row>
    <row r="1119" spans="1:19" x14ac:dyDescent="0.2">
      <c r="A1119" t="s">
        <v>4333</v>
      </c>
      <c r="B1119" t="s">
        <v>733</v>
      </c>
      <c r="C1119" t="s">
        <v>1277</v>
      </c>
      <c r="D1119" t="s">
        <v>1666</v>
      </c>
      <c r="E1119" t="s">
        <v>734</v>
      </c>
      <c r="F1119" t="s">
        <v>1612</v>
      </c>
      <c r="I1119" t="s">
        <v>1077</v>
      </c>
      <c r="M1119" t="s">
        <v>209</v>
      </c>
      <c r="N1119" t="s">
        <v>228</v>
      </c>
      <c r="O1119" t="s">
        <v>4271</v>
      </c>
      <c r="P1119" t="s">
        <v>4278</v>
      </c>
      <c r="Q1119" t="str">
        <f>IF($C1119="","",IFERROR(VLOOKUP($C1119,sources!$A$2:$N$200,2,FALSE()),"?"))</f>
        <v>Administrative</v>
      </c>
      <c r="S1119" t="str">
        <f>IF($C1119="","",IFERROR(VLOOKUP($C1119,sources!$A$2:$N$200,9,FALSE()),"?"))</f>
        <v>US official</v>
      </c>
    </row>
    <row r="1120" spans="1:19" x14ac:dyDescent="0.2">
      <c r="A1120" t="s">
        <v>4334</v>
      </c>
      <c r="B1120" t="s">
        <v>736</v>
      </c>
      <c r="C1120" t="s">
        <v>1277</v>
      </c>
      <c r="D1120" t="s">
        <v>1666</v>
      </c>
      <c r="E1120" t="s">
        <v>737</v>
      </c>
      <c r="F1120" t="s">
        <v>1612</v>
      </c>
      <c r="I1120" t="s">
        <v>1077</v>
      </c>
      <c r="M1120" t="s">
        <v>209</v>
      </c>
      <c r="N1120" t="s">
        <v>228</v>
      </c>
      <c r="O1120" t="s">
        <v>4271</v>
      </c>
      <c r="P1120" t="s">
        <v>4278</v>
      </c>
      <c r="Q1120" t="str">
        <f>IF($C1120="","",IFERROR(VLOOKUP($C1120,sources!$A$2:$N$200,2,FALSE()),"?"))</f>
        <v>Administrative</v>
      </c>
      <c r="S1120" t="str">
        <f>IF($C1120="","",IFERROR(VLOOKUP($C1120,sources!$A$2:$N$200,9,FALSE()),"?"))</f>
        <v>US official</v>
      </c>
    </row>
    <row r="1121" spans="1:19" x14ac:dyDescent="0.2">
      <c r="A1121" t="s">
        <v>4335</v>
      </c>
      <c r="B1121" t="s">
        <v>739</v>
      </c>
      <c r="C1121" t="s">
        <v>1277</v>
      </c>
      <c r="D1121" t="s">
        <v>1666</v>
      </c>
      <c r="E1121" t="s">
        <v>740</v>
      </c>
      <c r="F1121" t="s">
        <v>1612</v>
      </c>
      <c r="I1121" t="s">
        <v>1077</v>
      </c>
      <c r="M1121" t="s">
        <v>209</v>
      </c>
      <c r="N1121" t="s">
        <v>228</v>
      </c>
      <c r="O1121" t="s">
        <v>4271</v>
      </c>
      <c r="P1121" t="s">
        <v>4278</v>
      </c>
      <c r="Q1121" t="str">
        <f>IF($C1121="","",IFERROR(VLOOKUP($C1121,sources!$A$2:$N$200,2,FALSE()),"?"))</f>
        <v>Administrative</v>
      </c>
      <c r="S1121" t="str">
        <f>IF($C1121="","",IFERROR(VLOOKUP($C1121,sources!$A$2:$N$200,9,FALSE()),"?"))</f>
        <v>US official</v>
      </c>
    </row>
    <row r="1122" spans="1:19" x14ac:dyDescent="0.2">
      <c r="A1122" t="s">
        <v>4336</v>
      </c>
      <c r="B1122" t="s">
        <v>742</v>
      </c>
      <c r="C1122" t="s">
        <v>1277</v>
      </c>
      <c r="D1122" t="s">
        <v>1666</v>
      </c>
      <c r="E1122" t="s">
        <v>743</v>
      </c>
      <c r="F1122" t="s">
        <v>1612</v>
      </c>
      <c r="I1122" t="s">
        <v>1077</v>
      </c>
      <c r="M1122" t="s">
        <v>209</v>
      </c>
      <c r="N1122" t="s">
        <v>228</v>
      </c>
      <c r="O1122" t="s">
        <v>4271</v>
      </c>
      <c r="P1122" t="s">
        <v>4278</v>
      </c>
      <c r="Q1122" t="str">
        <f>IF($C1122="","",IFERROR(VLOOKUP($C1122,sources!$A$2:$N$200,2,FALSE()),"?"))</f>
        <v>Administrative</v>
      </c>
      <c r="S1122" t="str">
        <f>IF($C1122="","",IFERROR(VLOOKUP($C1122,sources!$A$2:$N$200,9,FALSE()),"?"))</f>
        <v>US official</v>
      </c>
    </row>
    <row r="1123" spans="1:19" x14ac:dyDescent="0.2">
      <c r="A1123" t="s">
        <v>4337</v>
      </c>
      <c r="B1123" t="s">
        <v>746</v>
      </c>
      <c r="C1123" t="s">
        <v>1277</v>
      </c>
      <c r="D1123" t="s">
        <v>1666</v>
      </c>
      <c r="E1123" t="s">
        <v>747</v>
      </c>
      <c r="F1123" t="s">
        <v>1612</v>
      </c>
      <c r="I1123" t="s">
        <v>1077</v>
      </c>
      <c r="M1123" t="s">
        <v>209</v>
      </c>
      <c r="N1123" t="s">
        <v>228</v>
      </c>
      <c r="O1123" t="s">
        <v>4271</v>
      </c>
      <c r="P1123" t="s">
        <v>4278</v>
      </c>
      <c r="Q1123" t="str">
        <f>IF($C1123="","",IFERROR(VLOOKUP($C1123,sources!$A$2:$N$200,2,FALSE()),"?"))</f>
        <v>Administrative</v>
      </c>
      <c r="S1123" t="str">
        <f>IF($C1123="","",IFERROR(VLOOKUP($C1123,sources!$A$2:$N$200,9,FALSE()),"?"))</f>
        <v>US official</v>
      </c>
    </row>
    <row r="1124" spans="1:19" x14ac:dyDescent="0.2">
      <c r="A1124" t="s">
        <v>4338</v>
      </c>
      <c r="B1124" t="s">
        <v>765</v>
      </c>
      <c r="C1124" t="s">
        <v>1277</v>
      </c>
      <c r="D1124" t="s">
        <v>1666</v>
      </c>
      <c r="E1124" t="s">
        <v>766</v>
      </c>
      <c r="F1124" t="s">
        <v>1612</v>
      </c>
      <c r="I1124" t="s">
        <v>1077</v>
      </c>
      <c r="M1124" t="s">
        <v>209</v>
      </c>
      <c r="N1124" t="s">
        <v>228</v>
      </c>
      <c r="O1124" t="s">
        <v>4271</v>
      </c>
      <c r="P1124" t="s">
        <v>4278</v>
      </c>
      <c r="Q1124" t="str">
        <f>IF($C1124="","",IFERROR(VLOOKUP($C1124,sources!$A$2:$N$200,2,FALSE()),"?"))</f>
        <v>Administrative</v>
      </c>
      <c r="S1124" t="str">
        <f>IF($C1124="","",IFERROR(VLOOKUP($C1124,sources!$A$2:$N$200,9,FALSE()),"?"))</f>
        <v>US official</v>
      </c>
    </row>
    <row r="1125" spans="1:19" x14ac:dyDescent="0.2">
      <c r="A1125" t="s">
        <v>4339</v>
      </c>
      <c r="B1125" t="s">
        <v>777</v>
      </c>
      <c r="C1125" t="s">
        <v>1277</v>
      </c>
      <c r="D1125" t="s">
        <v>1666</v>
      </c>
      <c r="E1125" t="s">
        <v>778</v>
      </c>
      <c r="F1125" t="s">
        <v>1612</v>
      </c>
      <c r="I1125" t="s">
        <v>1077</v>
      </c>
      <c r="M1125" t="s">
        <v>209</v>
      </c>
      <c r="N1125" t="s">
        <v>228</v>
      </c>
      <c r="O1125" t="s">
        <v>4271</v>
      </c>
      <c r="P1125" t="s">
        <v>4278</v>
      </c>
      <c r="Q1125" t="str">
        <f>IF($C1125="","",IFERROR(VLOOKUP($C1125,sources!$A$2:$N$200,2,FALSE()),"?"))</f>
        <v>Administrative</v>
      </c>
      <c r="S1125" t="str">
        <f>IF($C1125="","",IFERROR(VLOOKUP($C1125,sources!$A$2:$N$200,9,FALSE()),"?"))</f>
        <v>US official</v>
      </c>
    </row>
    <row r="1126" spans="1:19" x14ac:dyDescent="0.2">
      <c r="A1126" t="s">
        <v>4340</v>
      </c>
      <c r="B1126" t="s">
        <v>783</v>
      </c>
      <c r="C1126" t="s">
        <v>1277</v>
      </c>
      <c r="D1126" t="s">
        <v>1666</v>
      </c>
      <c r="E1126" t="s">
        <v>784</v>
      </c>
      <c r="F1126" t="s">
        <v>1612</v>
      </c>
      <c r="I1126" t="s">
        <v>1077</v>
      </c>
      <c r="M1126" t="s">
        <v>209</v>
      </c>
      <c r="N1126" t="s">
        <v>228</v>
      </c>
      <c r="O1126" t="s">
        <v>4271</v>
      </c>
      <c r="P1126" t="s">
        <v>4278</v>
      </c>
      <c r="Q1126" t="str">
        <f>IF($C1126="","",IFERROR(VLOOKUP($C1126,sources!$A$2:$N$200,2,FALSE()),"?"))</f>
        <v>Administrative</v>
      </c>
      <c r="S1126" t="str">
        <f>IF($C1126="","",IFERROR(VLOOKUP($C1126,sources!$A$2:$N$200,9,FALSE()),"?"))</f>
        <v>US official</v>
      </c>
    </row>
    <row r="1127" spans="1:19" x14ac:dyDescent="0.2">
      <c r="A1127" t="s">
        <v>4341</v>
      </c>
      <c r="B1127" t="s">
        <v>786</v>
      </c>
      <c r="C1127" t="s">
        <v>1277</v>
      </c>
      <c r="D1127" t="s">
        <v>1666</v>
      </c>
      <c r="E1127" t="s">
        <v>787</v>
      </c>
      <c r="F1127" t="s">
        <v>1612</v>
      </c>
      <c r="I1127" t="s">
        <v>1077</v>
      </c>
      <c r="M1127" t="s">
        <v>209</v>
      </c>
      <c r="N1127" t="s">
        <v>228</v>
      </c>
      <c r="O1127" t="s">
        <v>4271</v>
      </c>
      <c r="P1127" t="s">
        <v>4278</v>
      </c>
      <c r="Q1127" t="str">
        <f>IF($C1127="","",IFERROR(VLOOKUP($C1127,sources!$A$2:$N$200,2,FALSE()),"?"))</f>
        <v>Administrative</v>
      </c>
      <c r="S1127" t="str">
        <f>IF($C1127="","",IFERROR(VLOOKUP($C1127,sources!$A$2:$N$200,9,FALSE()),"?"))</f>
        <v>US official</v>
      </c>
    </row>
    <row r="1128" spans="1:19" x14ac:dyDescent="0.2">
      <c r="A1128" t="s">
        <v>4342</v>
      </c>
      <c r="B1128" t="s">
        <v>792</v>
      </c>
      <c r="C1128" t="s">
        <v>1277</v>
      </c>
      <c r="D1128" t="s">
        <v>1666</v>
      </c>
      <c r="E1128" t="s">
        <v>793</v>
      </c>
      <c r="F1128" t="s">
        <v>1612</v>
      </c>
      <c r="I1128" t="s">
        <v>1077</v>
      </c>
      <c r="M1128" t="s">
        <v>209</v>
      </c>
      <c r="N1128" t="s">
        <v>228</v>
      </c>
      <c r="O1128" t="s">
        <v>4271</v>
      </c>
      <c r="P1128" t="s">
        <v>4278</v>
      </c>
      <c r="Q1128" t="str">
        <f>IF($C1128="","",IFERROR(VLOOKUP($C1128,sources!$A$2:$N$200,2,FALSE()),"?"))</f>
        <v>Administrative</v>
      </c>
      <c r="S1128" t="str">
        <f>IF($C1128="","",IFERROR(VLOOKUP($C1128,sources!$A$2:$N$200,9,FALSE()),"?"))</f>
        <v>US official</v>
      </c>
    </row>
    <row r="1129" spans="1:19" x14ac:dyDescent="0.2">
      <c r="A1129" t="s">
        <v>4343</v>
      </c>
      <c r="B1129" t="s">
        <v>795</v>
      </c>
      <c r="C1129" t="s">
        <v>1347</v>
      </c>
      <c r="D1129" t="s">
        <v>1594</v>
      </c>
      <c r="E1129" t="s">
        <v>797</v>
      </c>
      <c r="F1129" t="s">
        <v>3285</v>
      </c>
      <c r="G1129">
        <v>8.96096</v>
      </c>
      <c r="H1129">
        <v>-79.540520000000001</v>
      </c>
      <c r="I1129" t="s">
        <v>1595</v>
      </c>
      <c r="J1129">
        <v>200</v>
      </c>
      <c r="K1129">
        <v>1890</v>
      </c>
      <c r="L1129">
        <v>1890</v>
      </c>
      <c r="M1129" t="s">
        <v>222</v>
      </c>
      <c r="N1129" t="s">
        <v>228</v>
      </c>
      <c r="O1129" t="s">
        <v>108</v>
      </c>
      <c r="P1129" t="s">
        <v>4344</v>
      </c>
      <c r="Q1129" t="str">
        <f>IF($C1129="","",IFERROR(VLOOKUP($C1129,sources!$A$2:$N$200,2,FALSE()),"?"))</f>
        <v>Map</v>
      </c>
      <c r="S1129" t="str">
        <f>IF($C1129="","",IFERROR(VLOOKUP($C1129,sources!$A$2:$N$200,9,FALSE()),"?"))</f>
        <v>French company</v>
      </c>
    </row>
    <row r="1130" spans="1:19" x14ac:dyDescent="0.2">
      <c r="A1130" t="s">
        <v>4345</v>
      </c>
      <c r="B1130" t="s">
        <v>802</v>
      </c>
      <c r="C1130" t="s">
        <v>1359</v>
      </c>
      <c r="D1130" t="s">
        <v>1594</v>
      </c>
      <c r="E1130" t="s">
        <v>803</v>
      </c>
      <c r="F1130" t="s">
        <v>1587</v>
      </c>
      <c r="G1130">
        <v>9.1161999999999992</v>
      </c>
      <c r="H1130">
        <v>-79.7273</v>
      </c>
      <c r="I1130" t="s">
        <v>1595</v>
      </c>
      <c r="J1130">
        <v>300</v>
      </c>
      <c r="K1130">
        <v>1862</v>
      </c>
      <c r="L1130">
        <v>1862</v>
      </c>
      <c r="M1130" t="s">
        <v>222</v>
      </c>
      <c r="N1130" t="s">
        <v>228</v>
      </c>
      <c r="O1130" t="s">
        <v>110</v>
      </c>
      <c r="P1130" t="s">
        <v>4346</v>
      </c>
      <c r="Q1130" t="str">
        <f>IF($C1130="","",IFERROR(VLOOKUP($C1130,sources!$A$2:$N$200,2,FALSE()),"?"))</f>
        <v>Map</v>
      </c>
      <c r="S1130" t="str">
        <f>IF($C1130="","",IFERROR(VLOOKUP($C1130,sources!$A$2:$N$200,9,FALSE()),"?"))</f>
        <v>PRR company</v>
      </c>
    </row>
    <row r="1131" spans="1:19" x14ac:dyDescent="0.2">
      <c r="A1131" t="s">
        <v>4347</v>
      </c>
      <c r="B1131" t="s">
        <v>805</v>
      </c>
      <c r="C1131" t="s">
        <v>1375</v>
      </c>
      <c r="D1131" t="s">
        <v>1594</v>
      </c>
      <c r="E1131" t="s">
        <v>806</v>
      </c>
      <c r="F1131" t="s">
        <v>1612</v>
      </c>
      <c r="G1131">
        <v>9.3499400000000001</v>
      </c>
      <c r="H1131">
        <v>-79.891630000000006</v>
      </c>
      <c r="I1131" t="s">
        <v>1595</v>
      </c>
      <c r="J1131">
        <v>300</v>
      </c>
      <c r="K1131">
        <v>1947</v>
      </c>
      <c r="L1131">
        <v>1947</v>
      </c>
      <c r="M1131" t="s">
        <v>222</v>
      </c>
      <c r="N1131" t="s">
        <v>228</v>
      </c>
      <c r="O1131" t="s">
        <v>127</v>
      </c>
      <c r="P1131" t="s">
        <v>4348</v>
      </c>
      <c r="Q1131" t="str">
        <f>IF($C1131="","",IFERROR(VLOOKUP($C1131,sources!$A$2:$N$200,2,FALSE()),"?"))</f>
        <v>Map</v>
      </c>
      <c r="S1131" t="str">
        <f>IF($C1131="","",IFERROR(VLOOKUP($C1131,sources!$A$2:$N$200,9,FALSE()),"?"))</f>
        <v>US official</v>
      </c>
    </row>
    <row r="1132" spans="1:19" x14ac:dyDescent="0.2">
      <c r="A1132" t="s">
        <v>4349</v>
      </c>
      <c r="B1132" t="s">
        <v>810</v>
      </c>
      <c r="C1132" t="s">
        <v>1330</v>
      </c>
      <c r="D1132" t="s">
        <v>1594</v>
      </c>
      <c r="E1132" t="s">
        <v>812</v>
      </c>
      <c r="F1132" t="s">
        <v>1612</v>
      </c>
      <c r="G1132">
        <v>9.0477000000000007</v>
      </c>
      <c r="H1132">
        <v>-79.654799999999994</v>
      </c>
      <c r="I1132" t="s">
        <v>1595</v>
      </c>
      <c r="J1132">
        <v>150</v>
      </c>
      <c r="K1132">
        <v>1910</v>
      </c>
      <c r="L1132">
        <v>1910</v>
      </c>
      <c r="M1132" t="s">
        <v>222</v>
      </c>
      <c r="N1132" t="s">
        <v>228</v>
      </c>
      <c r="O1132" t="s">
        <v>114</v>
      </c>
      <c r="P1132" t="s">
        <v>4350</v>
      </c>
      <c r="Q1132" t="str">
        <f>IF($C1132="","",IFERROR(VLOOKUP($C1132,sources!$A$2:$N$200,2,FALSE()),"?"))</f>
        <v>Map</v>
      </c>
      <c r="S1132" t="str">
        <f>IF($C1132="","",IFERROR(VLOOKUP($C1132,sources!$A$2:$N$200,9,FALSE()),"?"))</f>
        <v>US official</v>
      </c>
    </row>
    <row r="1133" spans="1:19" x14ac:dyDescent="0.2">
      <c r="A1133" t="s">
        <v>4351</v>
      </c>
      <c r="B1133" t="s">
        <v>815</v>
      </c>
      <c r="C1133" t="s">
        <v>1354</v>
      </c>
      <c r="D1133" t="s">
        <v>1594</v>
      </c>
      <c r="E1133" t="s">
        <v>4352</v>
      </c>
      <c r="F1133" t="s">
        <v>1612</v>
      </c>
      <c r="G1133">
        <v>9.0443940000000005</v>
      </c>
      <c r="H1133">
        <v>-79.654788999999994</v>
      </c>
      <c r="I1133" t="s">
        <v>1595</v>
      </c>
      <c r="J1133">
        <v>200</v>
      </c>
      <c r="K1133">
        <v>1905</v>
      </c>
      <c r="L1133">
        <v>1906</v>
      </c>
      <c r="M1133" t="s">
        <v>222</v>
      </c>
      <c r="N1133" t="s">
        <v>228</v>
      </c>
      <c r="O1133" t="s">
        <v>116</v>
      </c>
      <c r="P1133" t="s">
        <v>4353</v>
      </c>
      <c r="Q1133" t="str">
        <f>IF($C1133="","",IFERROR(VLOOKUP($C1133,sources!$A$2:$N$200,2,FALSE()),"?"))</f>
        <v>Map</v>
      </c>
      <c r="S1133" t="str">
        <f>IF($C1133="","",IFERROR(VLOOKUP($C1133,sources!$A$2:$N$200,9,FALSE()),"?"))</f>
        <v>US official</v>
      </c>
    </row>
    <row r="1134" spans="1:19" x14ac:dyDescent="0.2">
      <c r="A1134" t="s">
        <v>4354</v>
      </c>
      <c r="B1134" t="s">
        <v>820</v>
      </c>
      <c r="C1134" t="s">
        <v>1354</v>
      </c>
      <c r="D1134" t="s">
        <v>1599</v>
      </c>
      <c r="E1134" t="s">
        <v>4355</v>
      </c>
      <c r="F1134" t="s">
        <v>1612</v>
      </c>
      <c r="K1134">
        <v>1905</v>
      </c>
      <c r="L1134">
        <v>1906</v>
      </c>
      <c r="M1134" t="s">
        <v>222</v>
      </c>
      <c r="N1134" t="s">
        <v>228</v>
      </c>
      <c r="O1134" t="s">
        <v>3718</v>
      </c>
      <c r="P1134" t="s">
        <v>4356</v>
      </c>
      <c r="Q1134" t="str">
        <f>IF($C1134="","",IFERROR(VLOOKUP($C1134,sources!$A$2:$N$200,2,FALSE()),"?"))</f>
        <v>Map</v>
      </c>
      <c r="S1134" t="str">
        <f>IF($C1134="","",IFERROR(VLOOKUP($C1134,sources!$A$2:$N$200,9,FALSE()),"?"))</f>
        <v>US official</v>
      </c>
    </row>
    <row r="1135" spans="1:19" x14ac:dyDescent="0.2">
      <c r="A1135" t="s">
        <v>4357</v>
      </c>
      <c r="B1135" t="s">
        <v>824</v>
      </c>
      <c r="C1135" t="s">
        <v>1354</v>
      </c>
      <c r="D1135" t="s">
        <v>1599</v>
      </c>
      <c r="E1135" t="s">
        <v>4358</v>
      </c>
      <c r="F1135" t="s">
        <v>1612</v>
      </c>
      <c r="K1135">
        <v>1905</v>
      </c>
      <c r="L1135">
        <v>1906</v>
      </c>
      <c r="M1135" t="s">
        <v>222</v>
      </c>
      <c r="N1135" t="s">
        <v>228</v>
      </c>
      <c r="O1135" t="s">
        <v>3718</v>
      </c>
      <c r="P1135" t="s">
        <v>4359</v>
      </c>
      <c r="Q1135" t="str">
        <f>IF($C1135="","",IFERROR(VLOOKUP($C1135,sources!$A$2:$N$200,2,FALSE()),"?"))</f>
        <v>Map</v>
      </c>
      <c r="S1135" t="str">
        <f>IF($C1135="","",IFERROR(VLOOKUP($C1135,sources!$A$2:$N$200,9,FALSE()),"?"))</f>
        <v>US official</v>
      </c>
    </row>
    <row r="1136" spans="1:19" x14ac:dyDescent="0.2">
      <c r="A1136" t="s">
        <v>4360</v>
      </c>
      <c r="B1136" t="s">
        <v>827</v>
      </c>
      <c r="C1136" t="s">
        <v>1354</v>
      </c>
      <c r="D1136" t="s">
        <v>1599</v>
      </c>
      <c r="E1136" t="s">
        <v>4361</v>
      </c>
      <c r="F1136" t="s">
        <v>1612</v>
      </c>
      <c r="K1136">
        <v>1905</v>
      </c>
      <c r="L1136">
        <v>1906</v>
      </c>
      <c r="M1136" t="s">
        <v>222</v>
      </c>
      <c r="N1136" t="s">
        <v>228</v>
      </c>
      <c r="O1136" t="s">
        <v>3718</v>
      </c>
      <c r="P1136" t="s">
        <v>4362</v>
      </c>
      <c r="Q1136" t="str">
        <f>IF($C1136="","",IFERROR(VLOOKUP($C1136,sources!$A$2:$N$200,2,FALSE()),"?"))</f>
        <v>Map</v>
      </c>
      <c r="S1136" t="str">
        <f>IF($C1136="","",IFERROR(VLOOKUP($C1136,sources!$A$2:$N$200,9,FALSE()),"?"))</f>
        <v>US official</v>
      </c>
    </row>
    <row r="1137" spans="1:19" x14ac:dyDescent="0.2">
      <c r="A1137" t="s">
        <v>4363</v>
      </c>
      <c r="B1137" t="s">
        <v>830</v>
      </c>
      <c r="C1137" t="s">
        <v>1187</v>
      </c>
      <c r="D1137" t="s">
        <v>1594</v>
      </c>
      <c r="E1137" t="s">
        <v>831</v>
      </c>
      <c r="F1137" t="s">
        <v>1612</v>
      </c>
      <c r="G1137">
        <v>9.04955</v>
      </c>
      <c r="H1137">
        <v>-79.676469999999995</v>
      </c>
      <c r="I1137" t="s">
        <v>1595</v>
      </c>
      <c r="J1137">
        <v>350</v>
      </c>
      <c r="K1137">
        <v>1911</v>
      </c>
      <c r="L1137">
        <v>1911</v>
      </c>
      <c r="M1137" t="s">
        <v>222</v>
      </c>
      <c r="N1137" t="s">
        <v>228</v>
      </c>
      <c r="O1137" t="s">
        <v>123</v>
      </c>
      <c r="P1137" t="s">
        <v>4364</v>
      </c>
      <c r="Q1137" t="str">
        <f>IF($C1137="","",IFERROR(VLOOKUP($C1137,sources!$A$2:$N$200,2,FALSE()),"?"))</f>
        <v>Map</v>
      </c>
      <c r="S1137" t="str">
        <f>IF($C1137="","",IFERROR(VLOOKUP($C1137,sources!$A$2:$N$200,9,FALSE()),"?"))</f>
        <v>US official</v>
      </c>
    </row>
    <row r="1138" spans="1:19" x14ac:dyDescent="0.2">
      <c r="A1138" t="s">
        <v>4365</v>
      </c>
      <c r="B1138" t="s">
        <v>835</v>
      </c>
      <c r="C1138" t="s">
        <v>1187</v>
      </c>
      <c r="D1138" t="s">
        <v>1594</v>
      </c>
      <c r="E1138" t="s">
        <v>4366</v>
      </c>
      <c r="F1138" t="s">
        <v>1587</v>
      </c>
      <c r="G1138">
        <v>9.0400500000000008</v>
      </c>
      <c r="H1138">
        <v>-79.662149999999997</v>
      </c>
      <c r="I1138" t="s">
        <v>1595</v>
      </c>
      <c r="J1138">
        <v>350</v>
      </c>
      <c r="K1138">
        <v>1911</v>
      </c>
      <c r="L1138">
        <v>1911</v>
      </c>
      <c r="M1138" t="s">
        <v>222</v>
      </c>
      <c r="N1138" t="s">
        <v>228</v>
      </c>
      <c r="O1138" t="s">
        <v>123</v>
      </c>
      <c r="P1138" t="s">
        <v>4367</v>
      </c>
      <c r="Q1138" t="str">
        <f>IF($C1138="","",IFERROR(VLOOKUP($C1138,sources!$A$2:$N$200,2,FALSE()),"?"))</f>
        <v>Map</v>
      </c>
      <c r="S1138" t="str">
        <f>IF($C1138="","",IFERROR(VLOOKUP($C1138,sources!$A$2:$N$200,9,FALSE()),"?"))</f>
        <v>US official</v>
      </c>
    </row>
    <row r="1139" spans="1:19" x14ac:dyDescent="0.2">
      <c r="A1139" t="s">
        <v>4368</v>
      </c>
      <c r="B1139" t="s">
        <v>838</v>
      </c>
      <c r="C1139" t="s">
        <v>1375</v>
      </c>
      <c r="D1139" t="s">
        <v>1594</v>
      </c>
      <c r="E1139" t="s">
        <v>839</v>
      </c>
      <c r="F1139" t="s">
        <v>1587</v>
      </c>
      <c r="G1139">
        <v>8.9781720000000007</v>
      </c>
      <c r="H1139">
        <v>-79.535677000000007</v>
      </c>
      <c r="I1139" t="s">
        <v>1595</v>
      </c>
      <c r="J1139">
        <v>300</v>
      </c>
      <c r="K1139">
        <v>1947</v>
      </c>
      <c r="L1139">
        <v>1947</v>
      </c>
      <c r="M1139" t="s">
        <v>222</v>
      </c>
      <c r="N1139" t="s">
        <v>228</v>
      </c>
      <c r="O1139" t="s">
        <v>127</v>
      </c>
      <c r="P1139" t="s">
        <v>4369</v>
      </c>
      <c r="Q1139" t="str">
        <f>IF($C1139="","",IFERROR(VLOOKUP($C1139,sources!$A$2:$N$200,2,FALSE()),"?"))</f>
        <v>Map</v>
      </c>
      <c r="S1139" t="str">
        <f>IF($C1139="","",IFERROR(VLOOKUP($C1139,sources!$A$2:$N$200,9,FALSE()),"?"))</f>
        <v>US official</v>
      </c>
    </row>
    <row r="1140" spans="1:19" x14ac:dyDescent="0.2">
      <c r="A1140" t="s">
        <v>4370</v>
      </c>
      <c r="B1140" t="s">
        <v>843</v>
      </c>
      <c r="C1140" t="s">
        <v>1375</v>
      </c>
      <c r="D1140" t="s">
        <v>1594</v>
      </c>
      <c r="E1140" t="s">
        <v>844</v>
      </c>
      <c r="F1140" t="s">
        <v>1587</v>
      </c>
      <c r="G1140">
        <v>9.3461879999999997</v>
      </c>
      <c r="H1140">
        <v>-79.869187999999994</v>
      </c>
      <c r="I1140" t="s">
        <v>1595</v>
      </c>
      <c r="J1140">
        <v>300</v>
      </c>
      <c r="K1140">
        <v>1947</v>
      </c>
      <c r="L1140">
        <v>1947</v>
      </c>
      <c r="M1140" t="s">
        <v>222</v>
      </c>
      <c r="N1140" t="s">
        <v>228</v>
      </c>
      <c r="O1140" t="s">
        <v>127</v>
      </c>
      <c r="P1140" t="s">
        <v>4371</v>
      </c>
      <c r="Q1140" t="str">
        <f>IF($C1140="","",IFERROR(VLOOKUP($C1140,sources!$A$2:$N$200,2,FALSE()),"?"))</f>
        <v>Map</v>
      </c>
      <c r="S1140" t="str">
        <f>IF($C1140="","",IFERROR(VLOOKUP($C1140,sources!$A$2:$N$200,9,FALSE()),"?"))</f>
        <v>US official</v>
      </c>
    </row>
    <row r="1141" spans="1:19" x14ac:dyDescent="0.2">
      <c r="A1141" t="s">
        <v>4372</v>
      </c>
      <c r="B1141" t="s">
        <v>847</v>
      </c>
      <c r="C1141" t="s">
        <v>1375</v>
      </c>
      <c r="D1141" t="s">
        <v>1594</v>
      </c>
      <c r="E1141" t="s">
        <v>848</v>
      </c>
      <c r="F1141" t="s">
        <v>1612</v>
      </c>
      <c r="G1141">
        <v>9.3638630000000003</v>
      </c>
      <c r="H1141">
        <v>-79.892736999999997</v>
      </c>
      <c r="I1141" t="s">
        <v>1595</v>
      </c>
      <c r="J1141">
        <v>300</v>
      </c>
      <c r="K1141">
        <v>1947</v>
      </c>
      <c r="L1141">
        <v>1947</v>
      </c>
      <c r="M1141" t="s">
        <v>222</v>
      </c>
      <c r="N1141" t="s">
        <v>228</v>
      </c>
      <c r="O1141" t="s">
        <v>127</v>
      </c>
      <c r="P1141" t="s">
        <v>4373</v>
      </c>
      <c r="Q1141" t="str">
        <f>IF($C1141="","",IFERROR(VLOOKUP($C1141,sources!$A$2:$N$200,2,FALSE()),"?"))</f>
        <v>Map</v>
      </c>
      <c r="S1141" t="str">
        <f>IF($C1141="","",IFERROR(VLOOKUP($C1141,sources!$A$2:$N$200,9,FALSE()),"?"))</f>
        <v>US official</v>
      </c>
    </row>
    <row r="1142" spans="1:19" x14ac:dyDescent="0.2">
      <c r="A1142" t="s">
        <v>4374</v>
      </c>
      <c r="B1142" t="s">
        <v>851</v>
      </c>
      <c r="C1142" t="s">
        <v>1375</v>
      </c>
      <c r="D1142" t="s">
        <v>1594</v>
      </c>
      <c r="E1142" t="s">
        <v>852</v>
      </c>
      <c r="F1142" t="s">
        <v>1612</v>
      </c>
      <c r="G1142">
        <v>8.9517980000000001</v>
      </c>
      <c r="H1142">
        <v>-79.601146999999997</v>
      </c>
      <c r="I1142" t="s">
        <v>1595</v>
      </c>
      <c r="J1142">
        <v>400</v>
      </c>
      <c r="K1142">
        <v>1947</v>
      </c>
      <c r="L1142">
        <v>1947</v>
      </c>
      <c r="M1142" t="s">
        <v>222</v>
      </c>
      <c r="N1142" t="s">
        <v>209</v>
      </c>
      <c r="O1142" t="s">
        <v>127</v>
      </c>
      <c r="P1142" t="s">
        <v>4375</v>
      </c>
      <c r="Q1142" t="str">
        <f>IF($C1142="","",IFERROR(VLOOKUP($C1142,sources!$A$2:$N$200,2,FALSE()),"?"))</f>
        <v>Map</v>
      </c>
      <c r="S1142" t="str">
        <f>IF($C1142="","",IFERROR(VLOOKUP($C1142,sources!$A$2:$N$200,9,FALSE()),"?"))</f>
        <v>US official</v>
      </c>
    </row>
    <row r="1143" spans="1:19" x14ac:dyDescent="0.2">
      <c r="A1143" t="s">
        <v>4376</v>
      </c>
      <c r="B1143" t="s">
        <v>854</v>
      </c>
      <c r="C1143" t="s">
        <v>1366</v>
      </c>
      <c r="D1143" t="s">
        <v>1594</v>
      </c>
      <c r="E1143" t="s">
        <v>3402</v>
      </c>
      <c r="F1143" t="s">
        <v>1587</v>
      </c>
      <c r="G1143">
        <v>8.9579000000000004</v>
      </c>
      <c r="H1143">
        <v>-79.564599999999999</v>
      </c>
      <c r="I1143" t="s">
        <v>1595</v>
      </c>
      <c r="J1143">
        <v>500</v>
      </c>
      <c r="K1143">
        <v>1895</v>
      </c>
      <c r="L1143">
        <v>1895</v>
      </c>
      <c r="M1143" t="s">
        <v>222</v>
      </c>
      <c r="N1143" t="s">
        <v>228</v>
      </c>
      <c r="O1143" t="s">
        <v>130</v>
      </c>
      <c r="P1143" t="s">
        <v>4377</v>
      </c>
      <c r="Q1143" t="str">
        <f>IF($C1143="","",IFERROR(VLOOKUP($C1143,sources!$A$2:$N$200,2,FALSE()),"?"))</f>
        <v>Map</v>
      </c>
      <c r="S1143" t="str">
        <f>IF($C1143="","",IFERROR(VLOOKUP($C1143,sources!$A$2:$N$200,9,FALSE()),"?"))</f>
        <v>French company</v>
      </c>
    </row>
    <row r="1144" spans="1:19" x14ac:dyDescent="0.2">
      <c r="A1144" t="s">
        <v>4378</v>
      </c>
      <c r="B1144" t="s">
        <v>863</v>
      </c>
      <c r="C1144" t="s">
        <v>1187</v>
      </c>
      <c r="D1144" t="s">
        <v>1599</v>
      </c>
      <c r="E1144" t="s">
        <v>4379</v>
      </c>
      <c r="F1144" t="s">
        <v>1612</v>
      </c>
      <c r="K1144">
        <v>1911</v>
      </c>
      <c r="L1144">
        <v>1911</v>
      </c>
      <c r="M1144" t="s">
        <v>222</v>
      </c>
      <c r="N1144" t="s">
        <v>228</v>
      </c>
      <c r="O1144" t="s">
        <v>3358</v>
      </c>
      <c r="P1144" t="s">
        <v>4380</v>
      </c>
      <c r="Q1144" t="str">
        <f>IF($C1144="","",IFERROR(VLOOKUP($C1144,sources!$A$2:$N$200,2,FALSE()),"?"))</f>
        <v>Map</v>
      </c>
      <c r="S1144" t="str">
        <f>IF($C1144="","",IFERROR(VLOOKUP($C1144,sources!$A$2:$N$200,9,FALSE()),"?"))</f>
        <v>US official</v>
      </c>
    </row>
    <row r="1145" spans="1:19" x14ac:dyDescent="0.2">
      <c r="A1145" t="s">
        <v>4381</v>
      </c>
      <c r="B1145" t="s">
        <v>354</v>
      </c>
      <c r="C1145" t="s">
        <v>1389</v>
      </c>
      <c r="D1145" t="s">
        <v>1599</v>
      </c>
      <c r="E1145" t="s">
        <v>355</v>
      </c>
      <c r="F1145" t="s">
        <v>1612</v>
      </c>
      <c r="K1145">
        <v>1940</v>
      </c>
      <c r="L1145">
        <v>1940</v>
      </c>
      <c r="M1145" t="s">
        <v>222</v>
      </c>
      <c r="N1145" t="s">
        <v>222</v>
      </c>
      <c r="O1145" t="s">
        <v>4382</v>
      </c>
      <c r="P1145" t="s">
        <v>4383</v>
      </c>
      <c r="Q1145" t="str">
        <f>IF($C1145="","",IFERROR(VLOOKUP($C1145,sources!$A$2:$N$200,2,FALSE()),"?"))</f>
        <v>Map</v>
      </c>
      <c r="S1145" t="str">
        <f>IF($C1145="","",IFERROR(VLOOKUP($C1145,sources!$A$2:$N$200,9,FALSE()),"?"))</f>
        <v>US official</v>
      </c>
    </row>
    <row r="1146" spans="1:19" x14ac:dyDescent="0.2">
      <c r="A1146" t="s">
        <v>4384</v>
      </c>
      <c r="B1146" t="s">
        <v>430</v>
      </c>
      <c r="C1146" t="s">
        <v>1389</v>
      </c>
      <c r="D1146" t="s">
        <v>1599</v>
      </c>
      <c r="E1146" t="s">
        <v>431</v>
      </c>
      <c r="F1146" t="s">
        <v>1612</v>
      </c>
      <c r="K1146">
        <v>1940</v>
      </c>
      <c r="L1146">
        <v>1940</v>
      </c>
      <c r="M1146" t="s">
        <v>222</v>
      </c>
      <c r="N1146" t="s">
        <v>222</v>
      </c>
      <c r="O1146" t="s">
        <v>4385</v>
      </c>
      <c r="P1146" t="s">
        <v>4383</v>
      </c>
      <c r="Q1146" t="str">
        <f>IF($C1146="","",IFERROR(VLOOKUP($C1146,sources!$A$2:$N$200,2,FALSE()),"?"))</f>
        <v>Map</v>
      </c>
      <c r="S1146" t="str">
        <f>IF($C1146="","",IFERROR(VLOOKUP($C1146,sources!$A$2:$N$200,9,FALSE()),"?"))</f>
        <v>US official</v>
      </c>
    </row>
    <row r="1147" spans="1:19" x14ac:dyDescent="0.2">
      <c r="A1147" t="s">
        <v>4386</v>
      </c>
      <c r="B1147" t="s">
        <v>370</v>
      </c>
      <c r="C1147" t="s">
        <v>1389</v>
      </c>
      <c r="D1147" t="s">
        <v>1599</v>
      </c>
      <c r="E1147" t="s">
        <v>371</v>
      </c>
      <c r="F1147" t="s">
        <v>1612</v>
      </c>
      <c r="K1147">
        <v>1940</v>
      </c>
      <c r="L1147">
        <v>1940</v>
      </c>
      <c r="M1147" t="s">
        <v>222</v>
      </c>
      <c r="N1147" t="s">
        <v>222</v>
      </c>
      <c r="O1147" t="s">
        <v>4387</v>
      </c>
      <c r="P1147" t="s">
        <v>4388</v>
      </c>
      <c r="Q1147" t="str">
        <f>IF($C1147="","",IFERROR(VLOOKUP($C1147,sources!$A$2:$N$200,2,FALSE()),"?"))</f>
        <v>Map</v>
      </c>
      <c r="S1147" t="str">
        <f>IF($C1147="","",IFERROR(VLOOKUP($C1147,sources!$A$2:$N$200,9,FALSE()),"?"))</f>
        <v>US official</v>
      </c>
    </row>
    <row r="1148" spans="1:19" x14ac:dyDescent="0.2">
      <c r="A1148" t="s">
        <v>4389</v>
      </c>
      <c r="B1148" t="s">
        <v>544</v>
      </c>
      <c r="C1148" t="s">
        <v>1389</v>
      </c>
      <c r="D1148" t="s">
        <v>1599</v>
      </c>
      <c r="E1148" t="s">
        <v>545</v>
      </c>
      <c r="F1148" t="s">
        <v>1612</v>
      </c>
      <c r="K1148">
        <v>1940</v>
      </c>
      <c r="L1148">
        <v>1940</v>
      </c>
      <c r="M1148" t="s">
        <v>222</v>
      </c>
      <c r="N1148" t="s">
        <v>222</v>
      </c>
      <c r="O1148" t="s">
        <v>4390</v>
      </c>
      <c r="P1148" t="s">
        <v>4391</v>
      </c>
      <c r="Q1148" t="str">
        <f>IF($C1148="","",IFERROR(VLOOKUP($C1148,sources!$A$2:$N$200,2,FALSE()),"?"))</f>
        <v>Map</v>
      </c>
      <c r="S1148" t="str">
        <f>IF($C1148="","",IFERROR(VLOOKUP($C1148,sources!$A$2:$N$200,9,FALSE()),"?"))</f>
        <v>US official</v>
      </c>
    </row>
    <row r="1149" spans="1:19" x14ac:dyDescent="0.2">
      <c r="A1149" t="s">
        <v>4392</v>
      </c>
      <c r="B1149" t="s">
        <v>866</v>
      </c>
      <c r="C1149" t="s">
        <v>1389</v>
      </c>
      <c r="D1149" t="s">
        <v>1599</v>
      </c>
      <c r="E1149" t="s">
        <v>374</v>
      </c>
      <c r="F1149" t="s">
        <v>1612</v>
      </c>
      <c r="K1149">
        <v>1940</v>
      </c>
      <c r="L1149">
        <v>1940</v>
      </c>
      <c r="M1149" t="s">
        <v>222</v>
      </c>
      <c r="N1149" t="s">
        <v>222</v>
      </c>
      <c r="O1149" t="s">
        <v>4393</v>
      </c>
      <c r="P1149" t="s">
        <v>4394</v>
      </c>
      <c r="Q1149" t="str">
        <f>IF($C1149="","",IFERROR(VLOOKUP($C1149,sources!$A$2:$N$200,2,FALSE()),"?"))</f>
        <v>Map</v>
      </c>
      <c r="S1149" t="str">
        <f>IF($C1149="","",IFERROR(VLOOKUP($C1149,sources!$A$2:$N$200,9,FALSE()),"?"))</f>
        <v>US official</v>
      </c>
    </row>
    <row r="1150" spans="1:19" x14ac:dyDescent="0.2">
      <c r="A1150" t="s">
        <v>4395</v>
      </c>
      <c r="B1150" t="s">
        <v>376</v>
      </c>
      <c r="C1150" t="s">
        <v>1389</v>
      </c>
      <c r="D1150" t="s">
        <v>1599</v>
      </c>
      <c r="E1150" t="s">
        <v>377</v>
      </c>
      <c r="F1150" t="s">
        <v>1612</v>
      </c>
      <c r="K1150">
        <v>1940</v>
      </c>
      <c r="L1150">
        <v>1940</v>
      </c>
      <c r="M1150" t="s">
        <v>222</v>
      </c>
      <c r="N1150" t="s">
        <v>222</v>
      </c>
      <c r="O1150" t="s">
        <v>4396</v>
      </c>
      <c r="P1150" t="s">
        <v>4397</v>
      </c>
      <c r="Q1150" t="str">
        <f>IF($C1150="","",IFERROR(VLOOKUP($C1150,sources!$A$2:$N$200,2,FALSE()),"?"))</f>
        <v>Map</v>
      </c>
      <c r="S1150" t="str">
        <f>IF($C1150="","",IFERROR(VLOOKUP($C1150,sources!$A$2:$N$200,9,FALSE()),"?"))</f>
        <v>US official</v>
      </c>
    </row>
    <row r="1151" spans="1:19" x14ac:dyDescent="0.2">
      <c r="A1151" t="s">
        <v>4398</v>
      </c>
      <c r="B1151" t="s">
        <v>863</v>
      </c>
      <c r="C1151" t="s">
        <v>1389</v>
      </c>
      <c r="D1151" t="s">
        <v>1599</v>
      </c>
      <c r="E1151" t="s">
        <v>364</v>
      </c>
      <c r="F1151" t="s">
        <v>1612</v>
      </c>
      <c r="K1151">
        <v>1940</v>
      </c>
      <c r="L1151">
        <v>1940</v>
      </c>
      <c r="M1151" t="s">
        <v>222</v>
      </c>
      <c r="N1151" t="s">
        <v>222</v>
      </c>
      <c r="O1151" t="s">
        <v>4399</v>
      </c>
      <c r="P1151" t="s">
        <v>4397</v>
      </c>
      <c r="Q1151" t="str">
        <f>IF($C1151="","",IFERROR(VLOOKUP($C1151,sources!$A$2:$N$200,2,FALSE()),"?"))</f>
        <v>Map</v>
      </c>
      <c r="S1151" t="str">
        <f>IF($C1151="","",IFERROR(VLOOKUP($C1151,sources!$A$2:$N$200,9,FALSE()),"?"))</f>
        <v>US official</v>
      </c>
    </row>
    <row r="1152" spans="1:19" x14ac:dyDescent="0.2">
      <c r="A1152" t="s">
        <v>4400</v>
      </c>
      <c r="B1152" t="s">
        <v>480</v>
      </c>
      <c r="C1152" t="s">
        <v>1389</v>
      </c>
      <c r="D1152" t="s">
        <v>1599</v>
      </c>
      <c r="E1152" t="s">
        <v>481</v>
      </c>
      <c r="F1152" t="s">
        <v>1612</v>
      </c>
      <c r="K1152">
        <v>1940</v>
      </c>
      <c r="L1152">
        <v>1940</v>
      </c>
      <c r="M1152" t="s">
        <v>222</v>
      </c>
      <c r="N1152" t="s">
        <v>222</v>
      </c>
      <c r="O1152" t="s">
        <v>4401</v>
      </c>
      <c r="P1152" t="s">
        <v>4397</v>
      </c>
      <c r="Q1152" t="str">
        <f>IF($C1152="","",IFERROR(VLOOKUP($C1152,sources!$A$2:$N$200,2,FALSE()),"?"))</f>
        <v>Map</v>
      </c>
      <c r="S1152" t="str">
        <f>IF($C1152="","",IFERROR(VLOOKUP($C1152,sources!$A$2:$N$200,9,FALSE()),"?"))</f>
        <v>US official</v>
      </c>
    </row>
    <row r="1153" spans="1:19" x14ac:dyDescent="0.2">
      <c r="A1153" t="s">
        <v>4402</v>
      </c>
      <c r="B1153" t="s">
        <v>475</v>
      </c>
      <c r="C1153" t="s">
        <v>1389</v>
      </c>
      <c r="D1153" t="s">
        <v>1599</v>
      </c>
      <c r="E1153" t="s">
        <v>476</v>
      </c>
      <c r="F1153" t="s">
        <v>1612</v>
      </c>
      <c r="K1153">
        <v>1940</v>
      </c>
      <c r="L1153">
        <v>1940</v>
      </c>
      <c r="M1153" t="s">
        <v>222</v>
      </c>
      <c r="N1153" t="s">
        <v>222</v>
      </c>
      <c r="O1153" t="s">
        <v>4403</v>
      </c>
      <c r="P1153" t="s">
        <v>4391</v>
      </c>
      <c r="Q1153" t="str">
        <f>IF($C1153="","",IFERROR(VLOOKUP($C1153,sources!$A$2:$N$200,2,FALSE()),"?"))</f>
        <v>Map</v>
      </c>
      <c r="S1153" t="str">
        <f>IF($C1153="","",IFERROR(VLOOKUP($C1153,sources!$A$2:$N$200,9,FALSE()),"?"))</f>
        <v>US official</v>
      </c>
    </row>
    <row r="1154" spans="1:19" x14ac:dyDescent="0.2">
      <c r="A1154" t="s">
        <v>4404</v>
      </c>
      <c r="B1154" t="s">
        <v>349</v>
      </c>
      <c r="C1154" t="s">
        <v>1389</v>
      </c>
      <c r="D1154" t="s">
        <v>1599</v>
      </c>
      <c r="E1154" t="s">
        <v>350</v>
      </c>
      <c r="F1154" t="s">
        <v>1612</v>
      </c>
      <c r="K1154">
        <v>1940</v>
      </c>
      <c r="L1154">
        <v>1940</v>
      </c>
      <c r="M1154" t="s">
        <v>222</v>
      </c>
      <c r="N1154" t="s">
        <v>222</v>
      </c>
      <c r="O1154" t="s">
        <v>4405</v>
      </c>
      <c r="P1154" t="s">
        <v>4383</v>
      </c>
      <c r="Q1154" t="str">
        <f>IF($C1154="","",IFERROR(VLOOKUP($C1154,sources!$A$2:$N$200,2,FALSE()),"?"))</f>
        <v>Map</v>
      </c>
      <c r="S1154" t="str">
        <f>IF($C1154="","",IFERROR(VLOOKUP($C1154,sources!$A$2:$N$200,9,FALSE()),"?"))</f>
        <v>US official</v>
      </c>
    </row>
    <row r="1155" spans="1:19" x14ac:dyDescent="0.2">
      <c r="A1155" t="s">
        <v>4406</v>
      </c>
      <c r="B1155" t="s">
        <v>549</v>
      </c>
      <c r="C1155" t="s">
        <v>1389</v>
      </c>
      <c r="D1155" t="s">
        <v>1599</v>
      </c>
      <c r="E1155" t="s">
        <v>4407</v>
      </c>
      <c r="F1155" t="s">
        <v>1612</v>
      </c>
      <c r="K1155">
        <v>1940</v>
      </c>
      <c r="L1155">
        <v>1940</v>
      </c>
      <c r="M1155" t="s">
        <v>222</v>
      </c>
      <c r="N1155" t="s">
        <v>222</v>
      </c>
      <c r="O1155" t="s">
        <v>4408</v>
      </c>
      <c r="P1155" t="s">
        <v>4397</v>
      </c>
      <c r="Q1155" t="str">
        <f>IF($C1155="","",IFERROR(VLOOKUP($C1155,sources!$A$2:$N$200,2,FALSE()),"?"))</f>
        <v>Map</v>
      </c>
      <c r="S1155" t="str">
        <f>IF($C1155="","",IFERROR(VLOOKUP($C1155,sources!$A$2:$N$200,9,FALSE()),"?"))</f>
        <v>US official</v>
      </c>
    </row>
    <row r="1156" spans="1:19" x14ac:dyDescent="0.2">
      <c r="A1156" t="s">
        <v>4409</v>
      </c>
      <c r="B1156" t="s">
        <v>245</v>
      </c>
      <c r="C1156" t="s">
        <v>1389</v>
      </c>
      <c r="D1156" t="s">
        <v>1599</v>
      </c>
      <c r="E1156" t="s">
        <v>1607</v>
      </c>
      <c r="F1156" t="s">
        <v>1612</v>
      </c>
      <c r="K1156">
        <v>1940</v>
      </c>
      <c r="L1156">
        <v>1940</v>
      </c>
      <c r="M1156" t="s">
        <v>222</v>
      </c>
      <c r="N1156" t="s">
        <v>222</v>
      </c>
      <c r="O1156" t="s">
        <v>4410</v>
      </c>
      <c r="P1156" t="s">
        <v>4411</v>
      </c>
      <c r="Q1156" t="str">
        <f>IF($C1156="","",IFERROR(VLOOKUP($C1156,sources!$A$2:$N$200,2,FALSE()),"?"))</f>
        <v>Map</v>
      </c>
      <c r="S1156" t="str">
        <f>IF($C1156="","",IFERROR(VLOOKUP($C1156,sources!$A$2:$N$200,9,FALSE()),"?"))</f>
        <v>US official</v>
      </c>
    </row>
    <row r="1157" spans="1:19" x14ac:dyDescent="0.2">
      <c r="A1157" t="s">
        <v>4412</v>
      </c>
      <c r="B1157" t="s">
        <v>422</v>
      </c>
      <c r="C1157" t="s">
        <v>1389</v>
      </c>
      <c r="D1157" t="s">
        <v>1599</v>
      </c>
      <c r="E1157" t="s">
        <v>423</v>
      </c>
      <c r="F1157" t="s">
        <v>1612</v>
      </c>
      <c r="K1157">
        <v>1940</v>
      </c>
      <c r="L1157">
        <v>1940</v>
      </c>
      <c r="M1157" t="s">
        <v>222</v>
      </c>
      <c r="N1157" t="s">
        <v>222</v>
      </c>
      <c r="O1157" t="s">
        <v>4413</v>
      </c>
      <c r="P1157" t="s">
        <v>4391</v>
      </c>
      <c r="Q1157" t="str">
        <f>IF($C1157="","",IFERROR(VLOOKUP($C1157,sources!$A$2:$N$200,2,FALSE()),"?"))</f>
        <v>Map</v>
      </c>
      <c r="S1157" t="str">
        <f>IF($C1157="","",IFERROR(VLOOKUP($C1157,sources!$A$2:$N$200,9,FALSE()),"?"))</f>
        <v>US official</v>
      </c>
    </row>
    <row r="1158" spans="1:19" x14ac:dyDescent="0.2">
      <c r="A1158" t="s">
        <v>4414</v>
      </c>
      <c r="B1158" t="s">
        <v>434</v>
      </c>
      <c r="C1158" t="s">
        <v>1389</v>
      </c>
      <c r="D1158" t="s">
        <v>1599</v>
      </c>
      <c r="E1158" t="s">
        <v>435</v>
      </c>
      <c r="F1158" t="s">
        <v>1612</v>
      </c>
      <c r="K1158">
        <v>1940</v>
      </c>
      <c r="L1158">
        <v>1940</v>
      </c>
      <c r="M1158" t="s">
        <v>222</v>
      </c>
      <c r="N1158" t="s">
        <v>222</v>
      </c>
      <c r="O1158" t="s">
        <v>4415</v>
      </c>
      <c r="P1158" t="s">
        <v>4383</v>
      </c>
      <c r="Q1158" t="str">
        <f>IF($C1158="","",IFERROR(VLOOKUP($C1158,sources!$A$2:$N$200,2,FALSE()),"?"))</f>
        <v>Map</v>
      </c>
      <c r="S1158" t="str">
        <f>IF($C1158="","",IFERROR(VLOOKUP($C1158,sources!$A$2:$N$200,9,FALSE()),"?"))</f>
        <v>US official</v>
      </c>
    </row>
    <row r="1159" spans="1:19" x14ac:dyDescent="0.2">
      <c r="A1159" t="s">
        <v>4416</v>
      </c>
      <c r="B1159" t="s">
        <v>224</v>
      </c>
      <c r="C1159" t="s">
        <v>1403</v>
      </c>
      <c r="D1159" t="s">
        <v>1666</v>
      </c>
      <c r="E1159" t="s">
        <v>225</v>
      </c>
      <c r="F1159" t="s">
        <v>1612</v>
      </c>
      <c r="N1159" t="s">
        <v>228</v>
      </c>
      <c r="O1159" t="s">
        <v>4417</v>
      </c>
      <c r="P1159" t="s">
        <v>4418</v>
      </c>
      <c r="Q1159" t="str">
        <f>IF($C1159="","",IFERROR(VLOOKUP($C1159,sources!$A$2:$N$200,2,FALSE()),"?"))</f>
        <v>Newspaper</v>
      </c>
      <c r="S1159" t="str">
        <f>IF($C1159="","",IFERROR(VLOOKUP($C1159,sources!$A$2:$N$200,9,FALSE()),"?"))</f>
        <v>Caribbean community</v>
      </c>
    </row>
    <row r="1160" spans="1:19" x14ac:dyDescent="0.2">
      <c r="A1160" t="s">
        <v>4419</v>
      </c>
      <c r="B1160" t="s">
        <v>234</v>
      </c>
      <c r="C1160" t="s">
        <v>1403</v>
      </c>
      <c r="D1160" t="s">
        <v>1666</v>
      </c>
      <c r="E1160" t="s">
        <v>235</v>
      </c>
      <c r="F1160" t="s">
        <v>1612</v>
      </c>
      <c r="N1160" t="s">
        <v>228</v>
      </c>
      <c r="O1160" t="s">
        <v>4417</v>
      </c>
      <c r="P1160" t="s">
        <v>4418</v>
      </c>
      <c r="Q1160" t="str">
        <f>IF($C1160="","",IFERROR(VLOOKUP($C1160,sources!$A$2:$N$200,2,FALSE()),"?"))</f>
        <v>Newspaper</v>
      </c>
      <c r="S1160" t="str">
        <f>IF($C1160="","",IFERROR(VLOOKUP($C1160,sources!$A$2:$N$200,9,FALSE()),"?"))</f>
        <v>Caribbean community</v>
      </c>
    </row>
    <row r="1161" spans="1:19" x14ac:dyDescent="0.2">
      <c r="A1161" t="s">
        <v>4420</v>
      </c>
      <c r="B1161" t="s">
        <v>236</v>
      </c>
      <c r="C1161" t="s">
        <v>1403</v>
      </c>
      <c r="D1161" t="s">
        <v>1666</v>
      </c>
      <c r="E1161" t="s">
        <v>237</v>
      </c>
      <c r="F1161" t="s">
        <v>1612</v>
      </c>
      <c r="N1161" t="s">
        <v>228</v>
      </c>
      <c r="O1161" t="s">
        <v>4417</v>
      </c>
      <c r="P1161" t="s">
        <v>4418</v>
      </c>
      <c r="Q1161" t="str">
        <f>IF($C1161="","",IFERROR(VLOOKUP($C1161,sources!$A$2:$N$200,2,FALSE()),"?"))</f>
        <v>Newspaper</v>
      </c>
      <c r="S1161" t="str">
        <f>IF($C1161="","",IFERROR(VLOOKUP($C1161,sources!$A$2:$N$200,9,FALSE()),"?"))</f>
        <v>Caribbean community</v>
      </c>
    </row>
    <row r="1162" spans="1:19" x14ac:dyDescent="0.2">
      <c r="A1162" t="s">
        <v>4421</v>
      </c>
      <c r="B1162" t="s">
        <v>261</v>
      </c>
      <c r="C1162" t="s">
        <v>1403</v>
      </c>
      <c r="D1162" t="s">
        <v>1599</v>
      </c>
      <c r="E1162" t="s">
        <v>262</v>
      </c>
      <c r="F1162" t="s">
        <v>1612</v>
      </c>
      <c r="N1162" t="s">
        <v>209</v>
      </c>
      <c r="O1162" t="s">
        <v>4417</v>
      </c>
      <c r="P1162" t="s">
        <v>4422</v>
      </c>
      <c r="Q1162" t="str">
        <f>IF($C1162="","",IFERROR(VLOOKUP($C1162,sources!$A$2:$N$200,2,FALSE()),"?"))</f>
        <v>Newspaper</v>
      </c>
      <c r="S1162" t="str">
        <f>IF($C1162="","",IFERROR(VLOOKUP($C1162,sources!$A$2:$N$200,9,FALSE()),"?"))</f>
        <v>Caribbean community</v>
      </c>
    </row>
    <row r="1163" spans="1:19" x14ac:dyDescent="0.2">
      <c r="A1163" t="s">
        <v>4423</v>
      </c>
      <c r="B1163" t="s">
        <v>252</v>
      </c>
      <c r="C1163" t="s">
        <v>1403</v>
      </c>
      <c r="D1163" t="s">
        <v>1599</v>
      </c>
      <c r="E1163" t="s">
        <v>324</v>
      </c>
      <c r="F1163" t="s">
        <v>1612</v>
      </c>
      <c r="N1163" t="s">
        <v>209</v>
      </c>
      <c r="O1163" t="s">
        <v>4417</v>
      </c>
      <c r="P1163" t="s">
        <v>4424</v>
      </c>
      <c r="Q1163" t="str">
        <f>IF($C1163="","",IFERROR(VLOOKUP($C1163,sources!$A$2:$N$200,2,FALSE()),"?"))</f>
        <v>Newspaper</v>
      </c>
      <c r="S1163" t="str">
        <f>IF($C1163="","",IFERROR(VLOOKUP($C1163,sources!$A$2:$N$200,9,FALSE()),"?"))</f>
        <v>Caribbean community</v>
      </c>
    </row>
    <row r="1164" spans="1:19" x14ac:dyDescent="0.2">
      <c r="A1164" t="s">
        <v>4425</v>
      </c>
      <c r="B1164" t="s">
        <v>363</v>
      </c>
      <c r="C1164" t="s">
        <v>1403</v>
      </c>
      <c r="D1164" t="s">
        <v>1599</v>
      </c>
      <c r="E1164" t="s">
        <v>364</v>
      </c>
      <c r="F1164" t="s">
        <v>1612</v>
      </c>
      <c r="N1164" t="s">
        <v>209</v>
      </c>
      <c r="O1164" t="s">
        <v>4417</v>
      </c>
      <c r="P1164" t="s">
        <v>4426</v>
      </c>
      <c r="Q1164" t="str">
        <f>IF($C1164="","",IFERROR(VLOOKUP($C1164,sources!$A$2:$N$200,2,FALSE()),"?"))</f>
        <v>Newspaper</v>
      </c>
      <c r="S1164" t="str">
        <f>IF($C1164="","",IFERROR(VLOOKUP($C1164,sources!$A$2:$N$200,9,FALSE()),"?"))</f>
        <v>Caribbean community</v>
      </c>
    </row>
    <row r="1165" spans="1:19" x14ac:dyDescent="0.2">
      <c r="A1165" t="s">
        <v>4427</v>
      </c>
      <c r="B1165" t="s">
        <v>382</v>
      </c>
      <c r="C1165" t="s">
        <v>1403</v>
      </c>
      <c r="D1165" t="s">
        <v>1666</v>
      </c>
      <c r="E1165" t="s">
        <v>383</v>
      </c>
      <c r="F1165" t="s">
        <v>1612</v>
      </c>
      <c r="N1165" t="s">
        <v>228</v>
      </c>
      <c r="O1165" t="s">
        <v>4417</v>
      </c>
      <c r="P1165" t="s">
        <v>4418</v>
      </c>
      <c r="Q1165" t="str">
        <f>IF($C1165="","",IFERROR(VLOOKUP($C1165,sources!$A$2:$N$200,2,FALSE()),"?"))</f>
        <v>Newspaper</v>
      </c>
      <c r="S1165" t="str">
        <f>IF($C1165="","",IFERROR(VLOOKUP($C1165,sources!$A$2:$N$200,9,FALSE()),"?"))</f>
        <v>Caribbean community</v>
      </c>
    </row>
    <row r="1166" spans="1:19" x14ac:dyDescent="0.2">
      <c r="A1166" t="s">
        <v>4428</v>
      </c>
      <c r="B1166" t="s">
        <v>397</v>
      </c>
      <c r="C1166" t="s">
        <v>1403</v>
      </c>
      <c r="D1166" t="s">
        <v>1666</v>
      </c>
      <c r="E1166" t="s">
        <v>398</v>
      </c>
      <c r="F1166" t="s">
        <v>1612</v>
      </c>
      <c r="N1166" t="s">
        <v>228</v>
      </c>
      <c r="O1166" t="s">
        <v>4417</v>
      </c>
      <c r="P1166" t="s">
        <v>4418</v>
      </c>
      <c r="Q1166" t="str">
        <f>IF($C1166="","",IFERROR(VLOOKUP($C1166,sources!$A$2:$N$200,2,FALSE()),"?"))</f>
        <v>Newspaper</v>
      </c>
      <c r="S1166" t="str">
        <f>IF($C1166="","",IFERROR(VLOOKUP($C1166,sources!$A$2:$N$200,9,FALSE()),"?"))</f>
        <v>Caribbean community</v>
      </c>
    </row>
    <row r="1167" spans="1:19" x14ac:dyDescent="0.2">
      <c r="A1167" t="s">
        <v>4429</v>
      </c>
      <c r="B1167" t="s">
        <v>529</v>
      </c>
      <c r="C1167" t="s">
        <v>1403</v>
      </c>
      <c r="D1167" t="s">
        <v>1599</v>
      </c>
      <c r="E1167" t="s">
        <v>530</v>
      </c>
      <c r="F1167" t="s">
        <v>1612</v>
      </c>
      <c r="N1167" t="s">
        <v>209</v>
      </c>
      <c r="O1167" t="s">
        <v>4417</v>
      </c>
      <c r="P1167" t="s">
        <v>4430</v>
      </c>
      <c r="Q1167" t="str">
        <f>IF($C1167="","",IFERROR(VLOOKUP($C1167,sources!$A$2:$N$200,2,FALSE()),"?"))</f>
        <v>Newspaper</v>
      </c>
      <c r="S1167" t="str">
        <f>IF($C1167="","",IFERROR(VLOOKUP($C1167,sources!$A$2:$N$200,9,FALSE()),"?"))</f>
        <v>Caribbean community</v>
      </c>
    </row>
    <row r="1168" spans="1:19" x14ac:dyDescent="0.2">
      <c r="A1168" t="s">
        <v>4431</v>
      </c>
      <c r="B1168" t="s">
        <v>802</v>
      </c>
      <c r="C1168" t="s">
        <v>1403</v>
      </c>
      <c r="D1168" t="s">
        <v>1666</v>
      </c>
      <c r="E1168" t="s">
        <v>803</v>
      </c>
      <c r="F1168" t="s">
        <v>1612</v>
      </c>
      <c r="N1168" t="s">
        <v>228</v>
      </c>
      <c r="O1168" t="s">
        <v>4417</v>
      </c>
      <c r="P1168" t="s">
        <v>4418</v>
      </c>
      <c r="Q1168" t="str">
        <f>IF($C1168="","",IFERROR(VLOOKUP($C1168,sources!$A$2:$N$200,2,FALSE()),"?"))</f>
        <v>Newspaper</v>
      </c>
      <c r="S1168" t="str">
        <f>IF($C1168="","",IFERROR(VLOOKUP($C1168,sources!$A$2:$N$200,9,FALSE()),"?"))</f>
        <v>Caribbean community</v>
      </c>
    </row>
    <row r="1169" spans="1:19" x14ac:dyDescent="0.2">
      <c r="A1169" t="s">
        <v>4432</v>
      </c>
      <c r="B1169" t="s">
        <v>198</v>
      </c>
      <c r="C1169" t="s">
        <v>1403</v>
      </c>
      <c r="D1169" t="s">
        <v>1599</v>
      </c>
      <c r="E1169" t="s">
        <v>199</v>
      </c>
      <c r="F1169" t="s">
        <v>1612</v>
      </c>
      <c r="N1169" t="s">
        <v>209</v>
      </c>
      <c r="O1169" t="s">
        <v>4433</v>
      </c>
      <c r="P1169" t="s">
        <v>4434</v>
      </c>
      <c r="Q1169" t="str">
        <f>IF($C1169="","",IFERROR(VLOOKUP($C1169,sources!$A$2:$N$200,2,FALSE()),"?"))</f>
        <v>Newspaper</v>
      </c>
      <c r="S1169" t="str">
        <f>IF($C1169="","",IFERROR(VLOOKUP($C1169,sources!$A$2:$N$200,9,FALSE()),"?"))</f>
        <v>Caribbean community</v>
      </c>
    </row>
    <row r="1170" spans="1:19" x14ac:dyDescent="0.2">
      <c r="A1170" t="s">
        <v>4435</v>
      </c>
      <c r="B1170" t="s">
        <v>245</v>
      </c>
      <c r="C1170" t="s">
        <v>1403</v>
      </c>
      <c r="D1170" t="s">
        <v>1599</v>
      </c>
      <c r="E1170" t="s">
        <v>246</v>
      </c>
      <c r="F1170" t="s">
        <v>1612</v>
      </c>
      <c r="N1170" t="s">
        <v>209</v>
      </c>
      <c r="O1170" t="s">
        <v>4433</v>
      </c>
      <c r="P1170" t="s">
        <v>4436</v>
      </c>
      <c r="Q1170" t="str">
        <f>IF($C1170="","",IFERROR(VLOOKUP($C1170,sources!$A$2:$N$200,2,FALSE()),"?"))</f>
        <v>Newspaper</v>
      </c>
      <c r="S1170" t="str">
        <f>IF($C1170="","",IFERROR(VLOOKUP($C1170,sources!$A$2:$N$200,9,FALSE()),"?"))</f>
        <v>Caribbean community</v>
      </c>
    </row>
    <row r="1171" spans="1:19" x14ac:dyDescent="0.2">
      <c r="A1171" t="s">
        <v>4437</v>
      </c>
      <c r="B1171" t="s">
        <v>272</v>
      </c>
      <c r="C1171" t="s">
        <v>1403</v>
      </c>
      <c r="D1171" t="s">
        <v>1599</v>
      </c>
      <c r="E1171" t="s">
        <v>273</v>
      </c>
      <c r="F1171" t="s">
        <v>1612</v>
      </c>
      <c r="N1171" t="s">
        <v>209</v>
      </c>
      <c r="O1171" t="s">
        <v>4433</v>
      </c>
      <c r="P1171" t="s">
        <v>4438</v>
      </c>
      <c r="Q1171" t="str">
        <f>IF($C1171="","",IFERROR(VLOOKUP($C1171,sources!$A$2:$N$200,2,FALSE()),"?"))</f>
        <v>Newspaper</v>
      </c>
      <c r="S1171" t="str">
        <f>IF($C1171="","",IFERROR(VLOOKUP($C1171,sources!$A$2:$N$200,9,FALSE()),"?"))</f>
        <v>Caribbean community</v>
      </c>
    </row>
    <row r="1172" spans="1:19" x14ac:dyDescent="0.2">
      <c r="A1172" t="s">
        <v>4439</v>
      </c>
      <c r="B1172" t="s">
        <v>280</v>
      </c>
      <c r="C1172" t="s">
        <v>1403</v>
      </c>
      <c r="D1172" t="s">
        <v>1599</v>
      </c>
      <c r="E1172" t="s">
        <v>281</v>
      </c>
      <c r="F1172" t="s">
        <v>1612</v>
      </c>
      <c r="N1172" t="s">
        <v>209</v>
      </c>
      <c r="O1172" t="s">
        <v>4433</v>
      </c>
      <c r="P1172" t="s">
        <v>4440</v>
      </c>
      <c r="Q1172" t="str">
        <f>IF($C1172="","",IFERROR(VLOOKUP($C1172,sources!$A$2:$N$200,2,FALSE()),"?"))</f>
        <v>Newspaper</v>
      </c>
      <c r="S1172" t="str">
        <f>IF($C1172="","",IFERROR(VLOOKUP($C1172,sources!$A$2:$N$200,9,FALSE()),"?"))</f>
        <v>Caribbean community</v>
      </c>
    </row>
    <row r="1173" spans="1:19" x14ac:dyDescent="0.2">
      <c r="A1173" t="s">
        <v>4441</v>
      </c>
      <c r="B1173" t="s">
        <v>417</v>
      </c>
      <c r="C1173" t="s">
        <v>1403</v>
      </c>
      <c r="D1173" t="s">
        <v>1599</v>
      </c>
      <c r="E1173" t="s">
        <v>418</v>
      </c>
      <c r="F1173" t="s">
        <v>1612</v>
      </c>
      <c r="N1173" t="s">
        <v>209</v>
      </c>
      <c r="O1173" t="s">
        <v>4433</v>
      </c>
      <c r="P1173" t="s">
        <v>4442</v>
      </c>
      <c r="Q1173" t="str">
        <f>IF($C1173="","",IFERROR(VLOOKUP($C1173,sources!$A$2:$N$200,2,FALSE()),"?"))</f>
        <v>Newspaper</v>
      </c>
      <c r="S1173" t="str">
        <f>IF($C1173="","",IFERROR(VLOOKUP($C1173,sources!$A$2:$N$200,9,FALSE()),"?"))</f>
        <v>Caribbean community</v>
      </c>
    </row>
    <row r="1174" spans="1:19" x14ac:dyDescent="0.2">
      <c r="A1174" t="s">
        <v>4443</v>
      </c>
      <c r="B1174" t="s">
        <v>422</v>
      </c>
      <c r="C1174" t="s">
        <v>1403</v>
      </c>
      <c r="D1174" t="s">
        <v>1599</v>
      </c>
      <c r="E1174" t="s">
        <v>423</v>
      </c>
      <c r="F1174" t="s">
        <v>1612</v>
      </c>
      <c r="N1174" t="s">
        <v>209</v>
      </c>
      <c r="O1174" t="s">
        <v>4433</v>
      </c>
      <c r="P1174" t="s">
        <v>4444</v>
      </c>
      <c r="Q1174" t="str">
        <f>IF($C1174="","",IFERROR(VLOOKUP($C1174,sources!$A$2:$N$200,2,FALSE()),"?"))</f>
        <v>Newspaper</v>
      </c>
      <c r="S1174" t="str">
        <f>IF($C1174="","",IFERROR(VLOOKUP($C1174,sources!$A$2:$N$200,9,FALSE()),"?"))</f>
        <v>Caribbean community</v>
      </c>
    </row>
    <row r="1175" spans="1:19" x14ac:dyDescent="0.2">
      <c r="A1175" t="s">
        <v>4445</v>
      </c>
      <c r="B1175" t="s">
        <v>455</v>
      </c>
      <c r="C1175" t="s">
        <v>1403</v>
      </c>
      <c r="D1175" t="s">
        <v>1599</v>
      </c>
      <c r="E1175" t="s">
        <v>456</v>
      </c>
      <c r="F1175" t="s">
        <v>1612</v>
      </c>
      <c r="N1175" t="s">
        <v>209</v>
      </c>
      <c r="O1175" t="s">
        <v>4433</v>
      </c>
      <c r="P1175" t="s">
        <v>4446</v>
      </c>
      <c r="Q1175" t="str">
        <f>IF($C1175="","",IFERROR(VLOOKUP($C1175,sources!$A$2:$N$200,2,FALSE()),"?"))</f>
        <v>Newspaper</v>
      </c>
      <c r="S1175" t="str">
        <f>IF($C1175="","",IFERROR(VLOOKUP($C1175,sources!$A$2:$N$200,9,FALSE()),"?"))</f>
        <v>Caribbean community</v>
      </c>
    </row>
    <row r="1176" spans="1:19" x14ac:dyDescent="0.2">
      <c r="A1176" t="s">
        <v>4447</v>
      </c>
      <c r="B1176" t="s">
        <v>480</v>
      </c>
      <c r="C1176" t="s">
        <v>1403</v>
      </c>
      <c r="D1176" t="s">
        <v>1599</v>
      </c>
      <c r="E1176" t="s">
        <v>481</v>
      </c>
      <c r="F1176" t="s">
        <v>1612</v>
      </c>
      <c r="N1176" t="s">
        <v>209</v>
      </c>
      <c r="O1176" t="s">
        <v>4433</v>
      </c>
      <c r="P1176" t="s">
        <v>4448</v>
      </c>
      <c r="Q1176" t="str">
        <f>IF($C1176="","",IFERROR(VLOOKUP($C1176,sources!$A$2:$N$200,2,FALSE()),"?"))</f>
        <v>Newspaper</v>
      </c>
      <c r="S1176" t="str">
        <f>IF($C1176="","",IFERROR(VLOOKUP($C1176,sources!$A$2:$N$200,9,FALSE()),"?"))</f>
        <v>Caribbean community</v>
      </c>
    </row>
    <row r="1177" spans="1:19" x14ac:dyDescent="0.2">
      <c r="A1177" t="s">
        <v>4449</v>
      </c>
      <c r="B1177" t="s">
        <v>514</v>
      </c>
      <c r="C1177" t="s">
        <v>1403</v>
      </c>
      <c r="D1177" t="s">
        <v>1599</v>
      </c>
      <c r="E1177" t="s">
        <v>515</v>
      </c>
      <c r="F1177" t="s">
        <v>1612</v>
      </c>
      <c r="N1177" t="s">
        <v>209</v>
      </c>
      <c r="O1177" t="s">
        <v>4433</v>
      </c>
      <c r="P1177" t="s">
        <v>4450</v>
      </c>
      <c r="Q1177" t="str">
        <f>IF($C1177="","",IFERROR(VLOOKUP($C1177,sources!$A$2:$N$200,2,FALSE()),"?"))</f>
        <v>Newspaper</v>
      </c>
      <c r="S1177" t="str">
        <f>IF($C1177="","",IFERROR(VLOOKUP($C1177,sources!$A$2:$N$200,9,FALSE()),"?"))</f>
        <v>Caribbean community</v>
      </c>
    </row>
    <row r="1178" spans="1:19" x14ac:dyDescent="0.2">
      <c r="A1178" t="s">
        <v>4451</v>
      </c>
      <c r="B1178" t="s">
        <v>795</v>
      </c>
      <c r="C1178" t="s">
        <v>1403</v>
      </c>
      <c r="D1178" t="s">
        <v>1599</v>
      </c>
      <c r="E1178" t="s">
        <v>796</v>
      </c>
      <c r="F1178" t="s">
        <v>1612</v>
      </c>
      <c r="N1178" t="s">
        <v>209</v>
      </c>
      <c r="O1178" t="s">
        <v>4433</v>
      </c>
      <c r="P1178" t="s">
        <v>4452</v>
      </c>
      <c r="Q1178" t="str">
        <f>IF($C1178="","",IFERROR(VLOOKUP($C1178,sources!$A$2:$N$200,2,FALSE()),"?"))</f>
        <v>Newspaper</v>
      </c>
      <c r="S1178" t="str">
        <f>IF($C1178="","",IFERROR(VLOOKUP($C1178,sources!$A$2:$N$200,9,FALSE()),"?"))</f>
        <v>Caribbean community</v>
      </c>
    </row>
    <row r="1179" spans="1:19" x14ac:dyDescent="0.2">
      <c r="A1179" t="s">
        <v>4453</v>
      </c>
      <c r="B1179" t="s">
        <v>838</v>
      </c>
      <c r="C1179" t="s">
        <v>1403</v>
      </c>
      <c r="D1179" t="s">
        <v>1599</v>
      </c>
      <c r="E1179" t="s">
        <v>839</v>
      </c>
      <c r="F1179" t="s">
        <v>1612</v>
      </c>
      <c r="N1179" t="s">
        <v>209</v>
      </c>
      <c r="O1179" t="s">
        <v>4433</v>
      </c>
      <c r="P1179" t="s">
        <v>4454</v>
      </c>
      <c r="Q1179" t="str">
        <f>IF($C1179="","",IFERROR(VLOOKUP($C1179,sources!$A$2:$N$200,2,FALSE()),"?"))</f>
        <v>Newspaper</v>
      </c>
      <c r="S1179" t="str">
        <f>IF($C1179="","",IFERROR(VLOOKUP($C1179,sources!$A$2:$N$200,9,FALSE()),"?"))</f>
        <v>Caribbean community</v>
      </c>
    </row>
    <row r="1180" spans="1:19" x14ac:dyDescent="0.2">
      <c r="A1180" t="s">
        <v>4455</v>
      </c>
      <c r="B1180" t="s">
        <v>843</v>
      </c>
      <c r="C1180" t="s">
        <v>1403</v>
      </c>
      <c r="D1180" t="s">
        <v>1599</v>
      </c>
      <c r="E1180" t="s">
        <v>844</v>
      </c>
      <c r="F1180" t="s">
        <v>1612</v>
      </c>
      <c r="K1180">
        <v>1949</v>
      </c>
      <c r="L1180">
        <v>1949</v>
      </c>
      <c r="M1180" t="s">
        <v>222</v>
      </c>
      <c r="N1180" t="s">
        <v>209</v>
      </c>
      <c r="O1180" t="s">
        <v>4433</v>
      </c>
      <c r="P1180" t="s">
        <v>4456</v>
      </c>
      <c r="Q1180" t="str">
        <f>IF($C1180="","",IFERROR(VLOOKUP($C1180,sources!$A$2:$N$200,2,FALSE()),"?"))</f>
        <v>Newspaper</v>
      </c>
      <c r="S1180" t="str">
        <f>IF($C1180="","",IFERROR(VLOOKUP($C1180,sources!$A$2:$N$200,9,FALSE()),"?"))</f>
        <v>Caribbean community</v>
      </c>
    </row>
    <row r="1181" spans="1:19" x14ac:dyDescent="0.2">
      <c r="A1181" t="s">
        <v>4457</v>
      </c>
      <c r="B1181" t="s">
        <v>847</v>
      </c>
      <c r="C1181" t="s">
        <v>1403</v>
      </c>
      <c r="D1181" t="s">
        <v>1599</v>
      </c>
      <c r="E1181" t="s">
        <v>848</v>
      </c>
      <c r="F1181" t="s">
        <v>1612</v>
      </c>
      <c r="N1181" t="s">
        <v>209</v>
      </c>
      <c r="O1181" t="s">
        <v>4433</v>
      </c>
      <c r="P1181" t="s">
        <v>4458</v>
      </c>
      <c r="Q1181" t="str">
        <f>IF($C1181="","",IFERROR(VLOOKUP($C1181,sources!$A$2:$N$200,2,FALSE()),"?"))</f>
        <v>Newspaper</v>
      </c>
      <c r="S1181" t="str">
        <f>IF($C1181="","",IFERROR(VLOOKUP($C1181,sources!$A$2:$N$200,9,FALSE()),"?"))</f>
        <v>Caribbean community</v>
      </c>
    </row>
    <row r="1182" spans="1:19" x14ac:dyDescent="0.2">
      <c r="A1182" t="s">
        <v>4459</v>
      </c>
      <c r="B1182" t="s">
        <v>466</v>
      </c>
      <c r="C1182" t="s">
        <v>1389</v>
      </c>
      <c r="D1182" t="s">
        <v>1599</v>
      </c>
      <c r="E1182" t="s">
        <v>468</v>
      </c>
      <c r="F1182" t="s">
        <v>1612</v>
      </c>
      <c r="K1182">
        <v>1940</v>
      </c>
      <c r="L1182">
        <v>1940</v>
      </c>
      <c r="M1182" t="s">
        <v>222</v>
      </c>
      <c r="N1182" t="s">
        <v>222</v>
      </c>
      <c r="O1182" t="s">
        <v>4460</v>
      </c>
      <c r="P1182" t="s">
        <v>4461</v>
      </c>
      <c r="Q1182" t="str">
        <f>IF($C1182="","",IFERROR(VLOOKUP($C1182,sources!$A$2:$N$200,2,FALSE()),"?"))</f>
        <v>Map</v>
      </c>
      <c r="S1182" t="str">
        <f>IF($C1182="","",IFERROR(VLOOKUP($C1182,sources!$A$2:$N$200,9,FALSE()),"?"))</f>
        <v>US official</v>
      </c>
    </row>
    <row r="1183" spans="1:19" x14ac:dyDescent="0.2">
      <c r="A1183" t="s">
        <v>4462</v>
      </c>
      <c r="B1183" t="s">
        <v>795</v>
      </c>
      <c r="C1183" t="s">
        <v>1412</v>
      </c>
      <c r="D1183" t="s">
        <v>1599</v>
      </c>
      <c r="E1183" t="s">
        <v>4463</v>
      </c>
      <c r="F1183" t="s">
        <v>1612</v>
      </c>
      <c r="K1183">
        <v>1906</v>
      </c>
      <c r="L1183">
        <v>1963</v>
      </c>
      <c r="M1183" t="s">
        <v>222</v>
      </c>
      <c r="N1183" t="s">
        <v>222</v>
      </c>
      <c r="O1183" t="s">
        <v>4464</v>
      </c>
      <c r="P1183" t="s">
        <v>4465</v>
      </c>
      <c r="Q1183" t="str">
        <f>IF($C1183="","",IFERROR(VLOOKUP($C1183,sources!$A$2:$N$200,2,FALSE()),"?"))</f>
        <v>Web compilation</v>
      </c>
      <c r="S1183" t="str">
        <f>IF($C1183="","",IFERROR(VLOOKUP($C1183,sources!$A$2:$N$200,9,FALSE()),"?"))</f>
        <v>Caribbean community</v>
      </c>
    </row>
    <row r="1184" spans="1:19" x14ac:dyDescent="0.2">
      <c r="A1184" t="s">
        <v>4466</v>
      </c>
      <c r="B1184" t="s">
        <v>866</v>
      </c>
      <c r="C1184" t="s">
        <v>1403</v>
      </c>
      <c r="D1184" t="s">
        <v>1599</v>
      </c>
      <c r="E1184" t="s">
        <v>867</v>
      </c>
      <c r="F1184" t="s">
        <v>1612</v>
      </c>
      <c r="N1184" t="s">
        <v>228</v>
      </c>
      <c r="O1184" t="s">
        <v>4467</v>
      </c>
      <c r="P1184" t="s">
        <v>4468</v>
      </c>
      <c r="Q1184" t="str">
        <f>IF($C1184="","",IFERROR(VLOOKUP($C1184,sources!$A$2:$N$200,2,FALSE()),"?"))</f>
        <v>Newspaper</v>
      </c>
      <c r="S1184" t="str">
        <f>IF($C1184="","",IFERROR(VLOOKUP($C1184,sources!$A$2:$N$200,9,FALSE()),"?"))</f>
        <v>Caribbean community</v>
      </c>
    </row>
    <row r="1185" spans="1:19" x14ac:dyDescent="0.2">
      <c r="A1185" t="s">
        <v>4469</v>
      </c>
      <c r="B1185" t="s">
        <v>491</v>
      </c>
      <c r="C1185" t="s">
        <v>1222</v>
      </c>
      <c r="D1185" t="s">
        <v>1599</v>
      </c>
      <c r="E1185" t="s">
        <v>492</v>
      </c>
      <c r="F1185" t="s">
        <v>1612</v>
      </c>
      <c r="I1185" t="s">
        <v>1077</v>
      </c>
      <c r="M1185" t="s">
        <v>209</v>
      </c>
      <c r="N1185" t="s">
        <v>228</v>
      </c>
      <c r="O1185" t="s">
        <v>4470</v>
      </c>
      <c r="P1185" t="s">
        <v>4471</v>
      </c>
      <c r="Q1185" t="str">
        <f>IF($C1185="","",IFERROR(VLOOKUP($C1185,sources!$A$2:$N$200,2,FALSE()),"?"))</f>
        <v>Newspaper</v>
      </c>
      <c r="S1185" t="str">
        <f>IF($C1185="","",IFERROR(VLOOKUP($C1185,sources!$A$2:$N$200,9,FALSE()),"?"))</f>
        <v>US press</v>
      </c>
    </row>
    <row r="1186" spans="1:19" x14ac:dyDescent="0.2">
      <c r="A1186" t="s">
        <v>4472</v>
      </c>
      <c r="B1186" t="s">
        <v>499</v>
      </c>
      <c r="C1186" t="s">
        <v>1222</v>
      </c>
      <c r="D1186" t="s">
        <v>1599</v>
      </c>
      <c r="E1186" t="s">
        <v>500</v>
      </c>
      <c r="F1186" t="s">
        <v>1612</v>
      </c>
      <c r="I1186" t="s">
        <v>1077</v>
      </c>
      <c r="M1186" t="s">
        <v>209</v>
      </c>
      <c r="N1186" t="s">
        <v>228</v>
      </c>
      <c r="O1186" t="s">
        <v>4470</v>
      </c>
      <c r="P1186" t="s">
        <v>4473</v>
      </c>
      <c r="Q1186" t="str">
        <f>IF($C1186="","",IFERROR(VLOOKUP($C1186,sources!$A$2:$N$200,2,FALSE()),"?"))</f>
        <v>Newspaper</v>
      </c>
      <c r="S1186" t="str">
        <f>IF($C1186="","",IFERROR(VLOOKUP($C1186,sources!$A$2:$N$200,9,FALSE()),"?"))</f>
        <v>US press</v>
      </c>
    </row>
    <row r="1187" spans="1:19" x14ac:dyDescent="0.2">
      <c r="A1187" t="s">
        <v>4474</v>
      </c>
      <c r="B1187" t="s">
        <v>503</v>
      </c>
      <c r="C1187" t="s">
        <v>1222</v>
      </c>
      <c r="D1187" t="s">
        <v>1666</v>
      </c>
      <c r="E1187" t="s">
        <v>504</v>
      </c>
      <c r="F1187" t="s">
        <v>1612</v>
      </c>
      <c r="I1187" t="s">
        <v>1077</v>
      </c>
      <c r="M1187" t="s">
        <v>209</v>
      </c>
      <c r="N1187" t="s">
        <v>228</v>
      </c>
      <c r="O1187" t="s">
        <v>4470</v>
      </c>
      <c r="P1187" t="s">
        <v>4475</v>
      </c>
      <c r="Q1187" t="str">
        <f>IF($C1187="","",IFERROR(VLOOKUP($C1187,sources!$A$2:$N$200,2,FALSE()),"?"))</f>
        <v>Newspaper</v>
      </c>
      <c r="S1187" t="str">
        <f>IF($C1187="","",IFERROR(VLOOKUP($C1187,sources!$A$2:$N$200,9,FALSE()),"?"))</f>
        <v>US press</v>
      </c>
    </row>
    <row r="1188" spans="1:19" x14ac:dyDescent="0.2">
      <c r="A1188" t="s">
        <v>4476</v>
      </c>
      <c r="B1188" t="s">
        <v>509</v>
      </c>
      <c r="C1188" t="s">
        <v>1222</v>
      </c>
      <c r="D1188" t="s">
        <v>1599</v>
      </c>
      <c r="E1188" t="s">
        <v>510</v>
      </c>
      <c r="F1188" t="s">
        <v>1612</v>
      </c>
      <c r="I1188" t="s">
        <v>1077</v>
      </c>
      <c r="M1188" t="s">
        <v>209</v>
      </c>
      <c r="N1188" t="s">
        <v>228</v>
      </c>
      <c r="O1188" t="s">
        <v>4470</v>
      </c>
      <c r="P1188" t="s">
        <v>4477</v>
      </c>
      <c r="Q1188" t="str">
        <f>IF($C1188="","",IFERROR(VLOOKUP($C1188,sources!$A$2:$N$200,2,FALSE()),"?"))</f>
        <v>Newspaper</v>
      </c>
      <c r="S1188" t="str">
        <f>IF($C1188="","",IFERROR(VLOOKUP($C1188,sources!$A$2:$N$200,9,FALSE()),"?"))</f>
        <v>US press</v>
      </c>
    </row>
    <row r="1189" spans="1:19" x14ac:dyDescent="0.2">
      <c r="A1189" t="s">
        <v>4478</v>
      </c>
      <c r="B1189" t="s">
        <v>514</v>
      </c>
      <c r="C1189" t="s">
        <v>1222</v>
      </c>
      <c r="D1189" t="s">
        <v>1599</v>
      </c>
      <c r="E1189" t="s">
        <v>515</v>
      </c>
      <c r="F1189" t="s">
        <v>1612</v>
      </c>
      <c r="I1189" t="s">
        <v>1077</v>
      </c>
      <c r="K1189">
        <v>1893</v>
      </c>
      <c r="L1189">
        <v>1893</v>
      </c>
      <c r="M1189" t="s">
        <v>228</v>
      </c>
      <c r="N1189" t="s">
        <v>228</v>
      </c>
      <c r="O1189" t="s">
        <v>4470</v>
      </c>
      <c r="P1189" t="s">
        <v>4479</v>
      </c>
      <c r="Q1189" t="str">
        <f>IF($C1189="","",IFERROR(VLOOKUP($C1189,sources!$A$2:$N$200,2,FALSE()),"?"))</f>
        <v>Newspaper</v>
      </c>
      <c r="S1189" t="str">
        <f>IF($C1189="","",IFERROR(VLOOKUP($C1189,sources!$A$2:$N$200,9,FALSE()),"?"))</f>
        <v>US press</v>
      </c>
    </row>
    <row r="1190" spans="1:19" x14ac:dyDescent="0.2">
      <c r="A1190" t="s">
        <v>4480</v>
      </c>
      <c r="B1190" t="s">
        <v>517</v>
      </c>
      <c r="C1190" t="s">
        <v>1222</v>
      </c>
      <c r="D1190" t="s">
        <v>1599</v>
      </c>
      <c r="E1190" t="s">
        <v>518</v>
      </c>
      <c r="F1190" t="s">
        <v>1612</v>
      </c>
      <c r="I1190" t="s">
        <v>1077</v>
      </c>
      <c r="M1190" t="s">
        <v>209</v>
      </c>
      <c r="N1190" t="s">
        <v>228</v>
      </c>
      <c r="O1190" t="s">
        <v>4470</v>
      </c>
      <c r="P1190" t="s">
        <v>4481</v>
      </c>
      <c r="Q1190" t="str">
        <f>IF($C1190="","",IFERROR(VLOOKUP($C1190,sources!$A$2:$N$200,2,FALSE()),"?"))</f>
        <v>Newspaper</v>
      </c>
      <c r="S1190" t="str">
        <f>IF($C1190="","",IFERROR(VLOOKUP($C1190,sources!$A$2:$N$200,9,FALSE()),"?"))</f>
        <v>US press</v>
      </c>
    </row>
    <row r="1191" spans="1:19" x14ac:dyDescent="0.2">
      <c r="A1191" t="s">
        <v>4482</v>
      </c>
      <c r="B1191" t="s">
        <v>522</v>
      </c>
      <c r="C1191" t="s">
        <v>1222</v>
      </c>
      <c r="D1191" t="s">
        <v>1599</v>
      </c>
      <c r="E1191" t="s">
        <v>523</v>
      </c>
      <c r="F1191" t="s">
        <v>1612</v>
      </c>
      <c r="I1191" t="s">
        <v>1077</v>
      </c>
      <c r="K1191">
        <v>1908</v>
      </c>
      <c r="L1191">
        <v>1908</v>
      </c>
      <c r="M1191" t="s">
        <v>228</v>
      </c>
      <c r="N1191" t="s">
        <v>228</v>
      </c>
      <c r="O1191" t="s">
        <v>4470</v>
      </c>
      <c r="P1191" t="s">
        <v>4483</v>
      </c>
      <c r="Q1191" t="str">
        <f>IF($C1191="","",IFERROR(VLOOKUP($C1191,sources!$A$2:$N$200,2,FALSE()),"?"))</f>
        <v>Newspaper</v>
      </c>
      <c r="S1191" t="str">
        <f>IF($C1191="","",IFERROR(VLOOKUP($C1191,sources!$A$2:$N$200,9,FALSE()),"?"))</f>
        <v>US press</v>
      </c>
    </row>
    <row r="1192" spans="1:19" x14ac:dyDescent="0.2">
      <c r="A1192" t="s">
        <v>4484</v>
      </c>
      <c r="B1192" t="s">
        <v>526</v>
      </c>
      <c r="C1192" t="s">
        <v>1222</v>
      </c>
      <c r="D1192" t="s">
        <v>1599</v>
      </c>
      <c r="E1192" t="s">
        <v>527</v>
      </c>
      <c r="F1192" t="s">
        <v>1612</v>
      </c>
      <c r="I1192" t="s">
        <v>1077</v>
      </c>
      <c r="M1192" t="s">
        <v>209</v>
      </c>
      <c r="N1192" t="s">
        <v>228</v>
      </c>
      <c r="O1192" t="s">
        <v>4470</v>
      </c>
      <c r="P1192" t="s">
        <v>4485</v>
      </c>
      <c r="Q1192" t="str">
        <f>IF($C1192="","",IFERROR(VLOOKUP($C1192,sources!$A$2:$N$200,2,FALSE()),"?"))</f>
        <v>Newspaper</v>
      </c>
      <c r="S1192" t="str">
        <f>IF($C1192="","",IFERROR(VLOOKUP($C1192,sources!$A$2:$N$200,9,FALSE()),"?"))</f>
        <v>US press</v>
      </c>
    </row>
    <row r="1193" spans="1:19" x14ac:dyDescent="0.2">
      <c r="A1193" t="s">
        <v>4486</v>
      </c>
      <c r="B1193" t="s">
        <v>529</v>
      </c>
      <c r="C1193" t="s">
        <v>1222</v>
      </c>
      <c r="D1193" t="s">
        <v>1599</v>
      </c>
      <c r="E1193" t="s">
        <v>530</v>
      </c>
      <c r="F1193" t="s">
        <v>1612</v>
      </c>
      <c r="I1193" t="s">
        <v>1077</v>
      </c>
      <c r="K1193">
        <v>1905</v>
      </c>
      <c r="L1193">
        <v>1905</v>
      </c>
      <c r="M1193" t="s">
        <v>228</v>
      </c>
      <c r="N1193" t="s">
        <v>228</v>
      </c>
      <c r="O1193" t="s">
        <v>4470</v>
      </c>
      <c r="P1193" t="s">
        <v>4487</v>
      </c>
      <c r="Q1193" t="str">
        <f>IF($C1193="","",IFERROR(VLOOKUP($C1193,sources!$A$2:$N$200,2,FALSE()),"?"))</f>
        <v>Newspaper</v>
      </c>
      <c r="S1193" t="str">
        <f>IF($C1193="","",IFERROR(VLOOKUP($C1193,sources!$A$2:$N$200,9,FALSE()),"?"))</f>
        <v>US press</v>
      </c>
    </row>
    <row r="1194" spans="1:19" x14ac:dyDescent="0.2">
      <c r="A1194" t="s">
        <v>4488</v>
      </c>
      <c r="B1194" t="s">
        <v>534</v>
      </c>
      <c r="C1194" t="s">
        <v>1222</v>
      </c>
      <c r="D1194" t="s">
        <v>1599</v>
      </c>
      <c r="E1194" t="s">
        <v>535</v>
      </c>
      <c r="F1194" t="s">
        <v>1612</v>
      </c>
      <c r="I1194" t="s">
        <v>1077</v>
      </c>
      <c r="M1194" t="s">
        <v>209</v>
      </c>
      <c r="N1194" t="s">
        <v>228</v>
      </c>
      <c r="O1194" t="s">
        <v>4470</v>
      </c>
      <c r="P1194" t="s">
        <v>4489</v>
      </c>
      <c r="Q1194" t="str">
        <f>IF($C1194="","",IFERROR(VLOOKUP($C1194,sources!$A$2:$N$200,2,FALSE()),"?"))</f>
        <v>Newspaper</v>
      </c>
      <c r="S1194" t="str">
        <f>IF($C1194="","",IFERROR(VLOOKUP($C1194,sources!$A$2:$N$200,9,FALSE()),"?"))</f>
        <v>US press</v>
      </c>
    </row>
    <row r="1195" spans="1:19" x14ac:dyDescent="0.2">
      <c r="A1195" t="s">
        <v>4490</v>
      </c>
      <c r="B1195" t="s">
        <v>539</v>
      </c>
      <c r="C1195" t="s">
        <v>1222</v>
      </c>
      <c r="D1195" t="s">
        <v>1599</v>
      </c>
      <c r="E1195" t="s">
        <v>540</v>
      </c>
      <c r="F1195" t="s">
        <v>1612</v>
      </c>
      <c r="I1195" t="s">
        <v>1077</v>
      </c>
      <c r="M1195" t="s">
        <v>209</v>
      </c>
      <c r="N1195" t="s">
        <v>228</v>
      </c>
      <c r="O1195" t="s">
        <v>4470</v>
      </c>
      <c r="P1195" t="s">
        <v>4491</v>
      </c>
      <c r="Q1195" t="str">
        <f>IF($C1195="","",IFERROR(VLOOKUP($C1195,sources!$A$2:$N$200,2,FALSE()),"?"))</f>
        <v>Newspaper</v>
      </c>
      <c r="S1195" t="str">
        <f>IF($C1195="","",IFERROR(VLOOKUP($C1195,sources!$A$2:$N$200,9,FALSE()),"?"))</f>
        <v>US press</v>
      </c>
    </row>
    <row r="1196" spans="1:19" x14ac:dyDescent="0.2">
      <c r="A1196" t="s">
        <v>4492</v>
      </c>
      <c r="B1196" t="s">
        <v>544</v>
      </c>
      <c r="C1196" t="s">
        <v>1222</v>
      </c>
      <c r="D1196" t="s">
        <v>1599</v>
      </c>
      <c r="E1196" t="s">
        <v>545</v>
      </c>
      <c r="F1196" t="s">
        <v>1612</v>
      </c>
      <c r="I1196" t="s">
        <v>1077</v>
      </c>
      <c r="K1196">
        <v>1919</v>
      </c>
      <c r="L1196">
        <v>1919</v>
      </c>
      <c r="M1196" t="s">
        <v>228</v>
      </c>
      <c r="N1196" t="s">
        <v>228</v>
      </c>
      <c r="O1196" t="s">
        <v>4470</v>
      </c>
      <c r="P1196" t="s">
        <v>4493</v>
      </c>
      <c r="Q1196" t="str">
        <f>IF($C1196="","",IFERROR(VLOOKUP($C1196,sources!$A$2:$N$200,2,FALSE()),"?"))</f>
        <v>Newspaper</v>
      </c>
      <c r="S1196" t="str">
        <f>IF($C1196="","",IFERROR(VLOOKUP($C1196,sources!$A$2:$N$200,9,FALSE()),"?"))</f>
        <v>US press</v>
      </c>
    </row>
    <row r="1197" spans="1:19" x14ac:dyDescent="0.2">
      <c r="A1197" t="s">
        <v>4494</v>
      </c>
      <c r="B1197" t="s">
        <v>549</v>
      </c>
      <c r="C1197" t="s">
        <v>1222</v>
      </c>
      <c r="D1197" t="s">
        <v>1599</v>
      </c>
      <c r="E1197" t="s">
        <v>550</v>
      </c>
      <c r="F1197" t="s">
        <v>1612</v>
      </c>
      <c r="I1197" t="s">
        <v>1077</v>
      </c>
      <c r="M1197" t="s">
        <v>209</v>
      </c>
      <c r="N1197" t="s">
        <v>228</v>
      </c>
      <c r="O1197" t="s">
        <v>4470</v>
      </c>
      <c r="P1197" t="s">
        <v>4495</v>
      </c>
      <c r="Q1197" t="str">
        <f>IF($C1197="","",IFERROR(VLOOKUP($C1197,sources!$A$2:$N$200,2,FALSE()),"?"))</f>
        <v>Newspaper</v>
      </c>
      <c r="S1197" t="str">
        <f>IF($C1197="","",IFERROR(VLOOKUP($C1197,sources!$A$2:$N$200,9,FALSE()),"?"))</f>
        <v>US press</v>
      </c>
    </row>
    <row r="1198" spans="1:19" x14ac:dyDescent="0.2">
      <c r="A1198" t="s">
        <v>4496</v>
      </c>
      <c r="B1198" t="s">
        <v>553</v>
      </c>
      <c r="C1198" t="s">
        <v>1222</v>
      </c>
      <c r="D1198" t="s">
        <v>1599</v>
      </c>
      <c r="E1198" t="s">
        <v>554</v>
      </c>
      <c r="F1198" t="s">
        <v>1612</v>
      </c>
      <c r="I1198" t="s">
        <v>1077</v>
      </c>
      <c r="M1198" t="s">
        <v>209</v>
      </c>
      <c r="N1198" t="s">
        <v>228</v>
      </c>
      <c r="O1198" t="s">
        <v>4470</v>
      </c>
      <c r="P1198" t="s">
        <v>4497</v>
      </c>
      <c r="Q1198" t="str">
        <f>IF($C1198="","",IFERROR(VLOOKUP($C1198,sources!$A$2:$N$200,2,FALSE()),"?"))</f>
        <v>Newspaper</v>
      </c>
      <c r="S1198" t="str">
        <f>IF($C1198="","",IFERROR(VLOOKUP($C1198,sources!$A$2:$N$200,9,FALSE()),"?"))</f>
        <v>US press</v>
      </c>
    </row>
    <row r="1199" spans="1:19" x14ac:dyDescent="0.2">
      <c r="A1199" t="s">
        <v>4498</v>
      </c>
      <c r="B1199" t="s">
        <v>557</v>
      </c>
      <c r="C1199" t="s">
        <v>1222</v>
      </c>
      <c r="D1199" t="s">
        <v>1599</v>
      </c>
      <c r="E1199" t="s">
        <v>558</v>
      </c>
      <c r="F1199" t="s">
        <v>1612</v>
      </c>
      <c r="I1199" t="s">
        <v>1077</v>
      </c>
      <c r="M1199" t="s">
        <v>209</v>
      </c>
      <c r="N1199" t="s">
        <v>228</v>
      </c>
      <c r="O1199" t="s">
        <v>4470</v>
      </c>
      <c r="P1199" t="s">
        <v>4499</v>
      </c>
      <c r="Q1199" t="str">
        <f>IF($C1199="","",IFERROR(VLOOKUP($C1199,sources!$A$2:$N$200,2,FALSE()),"?"))</f>
        <v>Newspaper</v>
      </c>
      <c r="S1199" t="str">
        <f>IF($C1199="","",IFERROR(VLOOKUP($C1199,sources!$A$2:$N$200,9,FALSE()),"?"))</f>
        <v>US press</v>
      </c>
    </row>
    <row r="1200" spans="1:19" x14ac:dyDescent="0.2">
      <c r="A1200" t="s">
        <v>4500</v>
      </c>
      <c r="B1200" t="s">
        <v>561</v>
      </c>
      <c r="C1200" t="s">
        <v>1222</v>
      </c>
      <c r="D1200" t="s">
        <v>1599</v>
      </c>
      <c r="E1200" t="s">
        <v>4501</v>
      </c>
      <c r="F1200" t="s">
        <v>1612</v>
      </c>
      <c r="I1200" t="s">
        <v>1077</v>
      </c>
      <c r="M1200" t="s">
        <v>209</v>
      </c>
      <c r="N1200" t="s">
        <v>228</v>
      </c>
      <c r="O1200" t="s">
        <v>4470</v>
      </c>
      <c r="P1200" t="s">
        <v>4502</v>
      </c>
      <c r="Q1200" t="str">
        <f>IF($C1200="","",IFERROR(VLOOKUP($C1200,sources!$A$2:$N$200,2,FALSE()),"?"))</f>
        <v>Newspaper</v>
      </c>
      <c r="S1200" t="str">
        <f>IF($C1200="","",IFERROR(VLOOKUP($C1200,sources!$A$2:$N$200,9,FALSE()),"?"))</f>
        <v>US press</v>
      </c>
    </row>
    <row r="1201" spans="1:19" x14ac:dyDescent="0.2">
      <c r="A1201" t="s">
        <v>4503</v>
      </c>
      <c r="B1201" t="s">
        <v>566</v>
      </c>
      <c r="C1201" t="s">
        <v>1222</v>
      </c>
      <c r="D1201" t="s">
        <v>1599</v>
      </c>
      <c r="E1201" t="s">
        <v>567</v>
      </c>
      <c r="F1201" t="s">
        <v>1612</v>
      </c>
      <c r="I1201" t="s">
        <v>1077</v>
      </c>
      <c r="K1201">
        <v>1916</v>
      </c>
      <c r="L1201">
        <v>1916</v>
      </c>
      <c r="M1201" t="s">
        <v>228</v>
      </c>
      <c r="N1201" t="s">
        <v>228</v>
      </c>
      <c r="O1201" t="s">
        <v>4470</v>
      </c>
      <c r="P1201" t="s">
        <v>4504</v>
      </c>
      <c r="Q1201" t="str">
        <f>IF($C1201="","",IFERROR(VLOOKUP($C1201,sources!$A$2:$N$200,2,FALSE()),"?"))</f>
        <v>Newspaper</v>
      </c>
      <c r="S1201" t="str">
        <f>IF($C1201="","",IFERROR(VLOOKUP($C1201,sources!$A$2:$N$200,9,FALSE()),"?"))</f>
        <v>US press</v>
      </c>
    </row>
    <row r="1202" spans="1:19" x14ac:dyDescent="0.2">
      <c r="A1202" t="s">
        <v>4505</v>
      </c>
      <c r="B1202" t="s">
        <v>571</v>
      </c>
      <c r="C1202" t="s">
        <v>1222</v>
      </c>
      <c r="D1202" t="s">
        <v>1599</v>
      </c>
      <c r="E1202" t="s">
        <v>573</v>
      </c>
      <c r="F1202" t="s">
        <v>1612</v>
      </c>
      <c r="I1202" t="s">
        <v>1077</v>
      </c>
      <c r="M1202" t="s">
        <v>209</v>
      </c>
      <c r="N1202" t="s">
        <v>228</v>
      </c>
      <c r="O1202" t="s">
        <v>4470</v>
      </c>
      <c r="P1202" t="s">
        <v>4506</v>
      </c>
      <c r="Q1202" t="str">
        <f>IF($C1202="","",IFERROR(VLOOKUP($C1202,sources!$A$2:$N$200,2,FALSE()),"?"))</f>
        <v>Newspaper</v>
      </c>
      <c r="S1202" t="str">
        <f>IF($C1202="","",IFERROR(VLOOKUP($C1202,sources!$A$2:$N$200,9,FALSE()),"?"))</f>
        <v>US press</v>
      </c>
    </row>
    <row r="1203" spans="1:19" x14ac:dyDescent="0.2">
      <c r="A1203" t="s">
        <v>4507</v>
      </c>
      <c r="B1203" t="s">
        <v>405</v>
      </c>
      <c r="C1203" t="s">
        <v>1222</v>
      </c>
      <c r="D1203" t="s">
        <v>1599</v>
      </c>
      <c r="E1203" t="s">
        <v>579</v>
      </c>
      <c r="F1203" t="s">
        <v>1612</v>
      </c>
      <c r="I1203" t="s">
        <v>1077</v>
      </c>
      <c r="M1203" t="s">
        <v>209</v>
      </c>
      <c r="N1203" t="s">
        <v>228</v>
      </c>
      <c r="O1203" t="s">
        <v>4470</v>
      </c>
      <c r="P1203" t="s">
        <v>4508</v>
      </c>
      <c r="Q1203" t="str">
        <f>IF($C1203="","",IFERROR(VLOOKUP($C1203,sources!$A$2:$N$200,2,FALSE()),"?"))</f>
        <v>Newspaper</v>
      </c>
      <c r="S1203" t="str">
        <f>IF($C1203="","",IFERROR(VLOOKUP($C1203,sources!$A$2:$N$200,9,FALSE()),"?"))</f>
        <v>US press</v>
      </c>
    </row>
    <row r="1204" spans="1:19" x14ac:dyDescent="0.2">
      <c r="A1204" t="s">
        <v>4509</v>
      </c>
      <c r="B1204" t="s">
        <v>584</v>
      </c>
      <c r="C1204" t="s">
        <v>1222</v>
      </c>
      <c r="D1204" t="s">
        <v>1599</v>
      </c>
      <c r="E1204" t="s">
        <v>585</v>
      </c>
      <c r="F1204" t="s">
        <v>1612</v>
      </c>
      <c r="I1204" t="s">
        <v>1077</v>
      </c>
      <c r="K1204">
        <v>1883</v>
      </c>
      <c r="L1204">
        <v>1883</v>
      </c>
      <c r="M1204" t="s">
        <v>228</v>
      </c>
      <c r="N1204" t="s">
        <v>228</v>
      </c>
      <c r="O1204" t="s">
        <v>4470</v>
      </c>
      <c r="P1204" t="s">
        <v>4510</v>
      </c>
      <c r="Q1204" t="str">
        <f>IF($C1204="","",IFERROR(VLOOKUP($C1204,sources!$A$2:$N$200,2,FALSE()),"?"))</f>
        <v>Newspaper</v>
      </c>
      <c r="S1204" t="str">
        <f>IF($C1204="","",IFERROR(VLOOKUP($C1204,sources!$A$2:$N$200,9,FALSE()),"?"))</f>
        <v>US press</v>
      </c>
    </row>
    <row r="1205" spans="1:19" x14ac:dyDescent="0.2">
      <c r="A1205" t="s">
        <v>4511</v>
      </c>
      <c r="B1205" t="s">
        <v>589</v>
      </c>
      <c r="C1205" t="s">
        <v>1222</v>
      </c>
      <c r="D1205" t="s">
        <v>1666</v>
      </c>
      <c r="E1205" t="s">
        <v>590</v>
      </c>
      <c r="F1205" t="s">
        <v>1612</v>
      </c>
      <c r="I1205" t="s">
        <v>1077</v>
      </c>
      <c r="M1205" t="s">
        <v>209</v>
      </c>
      <c r="N1205" t="s">
        <v>228</v>
      </c>
      <c r="O1205" t="s">
        <v>4470</v>
      </c>
      <c r="P1205" t="s">
        <v>4512</v>
      </c>
      <c r="Q1205" t="str">
        <f>IF($C1205="","",IFERROR(VLOOKUP($C1205,sources!$A$2:$N$200,2,FALSE()),"?"))</f>
        <v>Newspaper</v>
      </c>
      <c r="S1205" t="str">
        <f>IF($C1205="","",IFERROR(VLOOKUP($C1205,sources!$A$2:$N$200,9,FALSE()),"?"))</f>
        <v>US press</v>
      </c>
    </row>
    <row r="1206" spans="1:19" x14ac:dyDescent="0.2">
      <c r="A1206" t="s">
        <v>4513</v>
      </c>
      <c r="B1206" t="s">
        <v>594</v>
      </c>
      <c r="C1206" t="s">
        <v>1222</v>
      </c>
      <c r="D1206" t="s">
        <v>1599</v>
      </c>
      <c r="E1206" t="s">
        <v>595</v>
      </c>
      <c r="F1206" t="s">
        <v>1612</v>
      </c>
      <c r="I1206" t="s">
        <v>1077</v>
      </c>
      <c r="M1206" t="s">
        <v>209</v>
      </c>
      <c r="N1206" t="s">
        <v>228</v>
      </c>
      <c r="O1206" t="s">
        <v>4470</v>
      </c>
      <c r="P1206" t="s">
        <v>4514</v>
      </c>
      <c r="Q1206" t="str">
        <f>IF($C1206="","",IFERROR(VLOOKUP($C1206,sources!$A$2:$N$200,2,FALSE()),"?"))</f>
        <v>Newspaper</v>
      </c>
      <c r="S1206" t="str">
        <f>IF($C1206="","",IFERROR(VLOOKUP($C1206,sources!$A$2:$N$200,9,FALSE()),"?"))</f>
        <v>US press</v>
      </c>
    </row>
    <row r="1207" spans="1:19" x14ac:dyDescent="0.2">
      <c r="A1207" t="s">
        <v>4515</v>
      </c>
      <c r="B1207" t="s">
        <v>599</v>
      </c>
      <c r="C1207" t="s">
        <v>1222</v>
      </c>
      <c r="D1207" t="s">
        <v>1599</v>
      </c>
      <c r="E1207" t="s">
        <v>600</v>
      </c>
      <c r="F1207" t="s">
        <v>1612</v>
      </c>
      <c r="I1207" t="s">
        <v>1077</v>
      </c>
      <c r="M1207" t="s">
        <v>209</v>
      </c>
      <c r="N1207" t="s">
        <v>228</v>
      </c>
      <c r="O1207" t="s">
        <v>4470</v>
      </c>
      <c r="P1207" t="s">
        <v>4516</v>
      </c>
      <c r="Q1207" t="str">
        <f>IF($C1207="","",IFERROR(VLOOKUP($C1207,sources!$A$2:$N$200,2,FALSE()),"?"))</f>
        <v>Newspaper</v>
      </c>
      <c r="S1207" t="str">
        <f>IF($C1207="","",IFERROR(VLOOKUP($C1207,sources!$A$2:$N$200,9,FALSE()),"?"))</f>
        <v>US press</v>
      </c>
    </row>
    <row r="1208" spans="1:19" x14ac:dyDescent="0.2">
      <c r="A1208" t="s">
        <v>4517</v>
      </c>
      <c r="B1208" t="s">
        <v>603</v>
      </c>
      <c r="C1208" t="s">
        <v>1222</v>
      </c>
      <c r="D1208" t="s">
        <v>1666</v>
      </c>
      <c r="E1208" t="s">
        <v>605</v>
      </c>
      <c r="F1208" t="s">
        <v>1612</v>
      </c>
      <c r="I1208" t="s">
        <v>1077</v>
      </c>
      <c r="M1208" t="s">
        <v>209</v>
      </c>
      <c r="N1208" t="s">
        <v>228</v>
      </c>
      <c r="O1208" t="s">
        <v>4470</v>
      </c>
      <c r="P1208" t="s">
        <v>4518</v>
      </c>
      <c r="Q1208" t="str">
        <f>IF($C1208="","",IFERROR(VLOOKUP($C1208,sources!$A$2:$N$200,2,FALSE()),"?"))</f>
        <v>Newspaper</v>
      </c>
      <c r="S1208" t="str">
        <f>IF($C1208="","",IFERROR(VLOOKUP($C1208,sources!$A$2:$N$200,9,FALSE()),"?"))</f>
        <v>US press</v>
      </c>
    </row>
    <row r="1209" spans="1:19" x14ac:dyDescent="0.2">
      <c r="A1209" t="s">
        <v>4519</v>
      </c>
      <c r="B1209" t="s">
        <v>611</v>
      </c>
      <c r="C1209" t="s">
        <v>1222</v>
      </c>
      <c r="D1209" t="s">
        <v>1599</v>
      </c>
      <c r="E1209" t="s">
        <v>612</v>
      </c>
      <c r="F1209" t="s">
        <v>1612</v>
      </c>
      <c r="I1209" t="s">
        <v>1077</v>
      </c>
      <c r="K1209">
        <v>1902</v>
      </c>
      <c r="L1209">
        <v>1902</v>
      </c>
      <c r="M1209" t="s">
        <v>228</v>
      </c>
      <c r="N1209" t="s">
        <v>228</v>
      </c>
      <c r="O1209" t="s">
        <v>4470</v>
      </c>
      <c r="P1209" t="s">
        <v>4520</v>
      </c>
      <c r="Q1209" t="str">
        <f>IF($C1209="","",IFERROR(VLOOKUP($C1209,sources!$A$2:$N$200,2,FALSE()),"?"))</f>
        <v>Newspaper</v>
      </c>
      <c r="S1209" t="str">
        <f>IF($C1209="","",IFERROR(VLOOKUP($C1209,sources!$A$2:$N$200,9,FALSE()),"?"))</f>
        <v>US press</v>
      </c>
    </row>
    <row r="1210" spans="1:19" x14ac:dyDescent="0.2">
      <c r="A1210" t="s">
        <v>4521</v>
      </c>
      <c r="B1210" t="s">
        <v>614</v>
      </c>
      <c r="C1210" t="s">
        <v>1222</v>
      </c>
      <c r="D1210" t="s">
        <v>1599</v>
      </c>
      <c r="E1210" t="s">
        <v>615</v>
      </c>
      <c r="F1210" t="s">
        <v>1612</v>
      </c>
      <c r="I1210" t="s">
        <v>1077</v>
      </c>
      <c r="K1210">
        <v>1912</v>
      </c>
      <c r="L1210">
        <v>1912</v>
      </c>
      <c r="M1210" t="s">
        <v>228</v>
      </c>
      <c r="N1210" t="s">
        <v>228</v>
      </c>
      <c r="O1210" t="s">
        <v>4470</v>
      </c>
      <c r="P1210" t="s">
        <v>4522</v>
      </c>
      <c r="Q1210" t="str">
        <f>IF($C1210="","",IFERROR(VLOOKUP($C1210,sources!$A$2:$N$200,2,FALSE()),"?"))</f>
        <v>Newspaper</v>
      </c>
      <c r="S1210" t="str">
        <f>IF($C1210="","",IFERROR(VLOOKUP($C1210,sources!$A$2:$N$200,9,FALSE()),"?"))</f>
        <v>US press</v>
      </c>
    </row>
    <row r="1211" spans="1:19" x14ac:dyDescent="0.2">
      <c r="A1211" t="s">
        <v>4523</v>
      </c>
      <c r="B1211" t="s">
        <v>618</v>
      </c>
      <c r="C1211" t="s">
        <v>1222</v>
      </c>
      <c r="D1211" t="s">
        <v>1599</v>
      </c>
      <c r="E1211" t="s">
        <v>4027</v>
      </c>
      <c r="F1211" t="s">
        <v>1612</v>
      </c>
      <c r="I1211" t="s">
        <v>1077</v>
      </c>
      <c r="K1211">
        <v>1907</v>
      </c>
      <c r="L1211">
        <v>1907</v>
      </c>
      <c r="M1211" t="s">
        <v>228</v>
      </c>
      <c r="N1211" t="s">
        <v>228</v>
      </c>
      <c r="O1211" t="s">
        <v>4470</v>
      </c>
      <c r="P1211" t="s">
        <v>4524</v>
      </c>
      <c r="Q1211" t="str">
        <f>IF($C1211="","",IFERROR(VLOOKUP($C1211,sources!$A$2:$N$200,2,FALSE()),"?"))</f>
        <v>Newspaper</v>
      </c>
      <c r="S1211" t="str">
        <f>IF($C1211="","",IFERROR(VLOOKUP($C1211,sources!$A$2:$N$200,9,FALSE()),"?"))</f>
        <v>US press</v>
      </c>
    </row>
    <row r="1212" spans="1:19" x14ac:dyDescent="0.2">
      <c r="A1212" t="s">
        <v>4525</v>
      </c>
      <c r="B1212" t="s">
        <v>622</v>
      </c>
      <c r="C1212" t="s">
        <v>1222</v>
      </c>
      <c r="D1212" t="s">
        <v>1666</v>
      </c>
      <c r="E1212" t="s">
        <v>623</v>
      </c>
      <c r="F1212" t="s">
        <v>1612</v>
      </c>
      <c r="I1212" t="s">
        <v>1077</v>
      </c>
      <c r="M1212" t="s">
        <v>209</v>
      </c>
      <c r="N1212" t="s">
        <v>228</v>
      </c>
      <c r="O1212" t="s">
        <v>4470</v>
      </c>
      <c r="P1212" t="s">
        <v>4526</v>
      </c>
      <c r="Q1212" t="str">
        <f>IF($C1212="","",IFERROR(VLOOKUP($C1212,sources!$A$2:$N$200,2,FALSE()),"?"))</f>
        <v>Newspaper</v>
      </c>
      <c r="S1212" t="str">
        <f>IF($C1212="","",IFERROR(VLOOKUP($C1212,sources!$A$2:$N$200,9,FALSE()),"?"))</f>
        <v>US press</v>
      </c>
    </row>
    <row r="1213" spans="1:19" x14ac:dyDescent="0.2">
      <c r="A1213" t="s">
        <v>4527</v>
      </c>
      <c r="B1213" t="s">
        <v>626</v>
      </c>
      <c r="C1213" t="s">
        <v>1222</v>
      </c>
      <c r="D1213" t="s">
        <v>1599</v>
      </c>
      <c r="E1213" t="s">
        <v>628</v>
      </c>
      <c r="F1213" t="s">
        <v>1612</v>
      </c>
      <c r="I1213" t="s">
        <v>1077</v>
      </c>
      <c r="K1213">
        <v>1902</v>
      </c>
      <c r="L1213">
        <v>1902</v>
      </c>
      <c r="M1213" t="s">
        <v>228</v>
      </c>
      <c r="N1213" t="s">
        <v>228</v>
      </c>
      <c r="O1213" t="s">
        <v>4470</v>
      </c>
      <c r="P1213" t="s">
        <v>4528</v>
      </c>
      <c r="Q1213" t="str">
        <f>IF($C1213="","",IFERROR(VLOOKUP($C1213,sources!$A$2:$N$200,2,FALSE()),"?"))</f>
        <v>Newspaper</v>
      </c>
      <c r="S1213" t="str">
        <f>IF($C1213="","",IFERROR(VLOOKUP($C1213,sources!$A$2:$N$200,9,FALSE()),"?"))</f>
        <v>US press</v>
      </c>
    </row>
    <row r="1214" spans="1:19" x14ac:dyDescent="0.2">
      <c r="A1214" t="s">
        <v>4529</v>
      </c>
      <c r="B1214" t="s">
        <v>306</v>
      </c>
      <c r="C1214" t="s">
        <v>1222</v>
      </c>
      <c r="D1214" t="s">
        <v>1666</v>
      </c>
      <c r="E1214" t="s">
        <v>4033</v>
      </c>
      <c r="F1214" t="s">
        <v>1612</v>
      </c>
      <c r="I1214" t="s">
        <v>1077</v>
      </c>
      <c r="M1214" t="s">
        <v>209</v>
      </c>
      <c r="N1214" t="s">
        <v>228</v>
      </c>
      <c r="O1214" t="s">
        <v>4470</v>
      </c>
      <c r="P1214" t="s">
        <v>4530</v>
      </c>
      <c r="Q1214" t="str">
        <f>IF($C1214="","",IFERROR(VLOOKUP($C1214,sources!$A$2:$N$200,2,FALSE()),"?"))</f>
        <v>Newspaper</v>
      </c>
      <c r="S1214" t="str">
        <f>IF($C1214="","",IFERROR(VLOOKUP($C1214,sources!$A$2:$N$200,9,FALSE()),"?"))</f>
        <v>US press</v>
      </c>
    </row>
    <row r="1215" spans="1:19" x14ac:dyDescent="0.2">
      <c r="A1215" t="s">
        <v>4531</v>
      </c>
      <c r="B1215" t="s">
        <v>313</v>
      </c>
      <c r="C1215" t="s">
        <v>1222</v>
      </c>
      <c r="D1215" t="s">
        <v>1666</v>
      </c>
      <c r="E1215" t="s">
        <v>4036</v>
      </c>
      <c r="F1215" t="s">
        <v>1612</v>
      </c>
      <c r="I1215" t="s">
        <v>1077</v>
      </c>
      <c r="M1215" t="s">
        <v>209</v>
      </c>
      <c r="N1215" t="s">
        <v>228</v>
      </c>
      <c r="O1215" t="s">
        <v>4470</v>
      </c>
      <c r="P1215" t="s">
        <v>4532</v>
      </c>
      <c r="Q1215" t="str">
        <f>IF($C1215="","",IFERROR(VLOOKUP($C1215,sources!$A$2:$N$200,2,FALSE()),"?"))</f>
        <v>Newspaper</v>
      </c>
      <c r="S1215" t="str">
        <f>IF($C1215="","",IFERROR(VLOOKUP($C1215,sources!$A$2:$N$200,9,FALSE()),"?"))</f>
        <v>US press</v>
      </c>
    </row>
    <row r="1216" spans="1:19" x14ac:dyDescent="0.2">
      <c r="A1216" t="s">
        <v>4533</v>
      </c>
      <c r="B1216" t="s">
        <v>679</v>
      </c>
      <c r="C1216" t="s">
        <v>1222</v>
      </c>
      <c r="D1216" t="s">
        <v>1666</v>
      </c>
      <c r="E1216" t="s">
        <v>4534</v>
      </c>
      <c r="F1216" t="s">
        <v>1612</v>
      </c>
      <c r="I1216" t="s">
        <v>1077</v>
      </c>
      <c r="M1216" t="s">
        <v>209</v>
      </c>
      <c r="N1216" t="s">
        <v>228</v>
      </c>
      <c r="O1216" t="s">
        <v>4470</v>
      </c>
      <c r="P1216" t="s">
        <v>4535</v>
      </c>
      <c r="Q1216" t="str">
        <f>IF($C1216="","",IFERROR(VLOOKUP($C1216,sources!$A$2:$N$200,2,FALSE()),"?"))</f>
        <v>Newspaper</v>
      </c>
      <c r="S1216" t="str">
        <f>IF($C1216="","",IFERROR(VLOOKUP($C1216,sources!$A$2:$N$200,9,FALSE()),"?"))</f>
        <v>US press</v>
      </c>
    </row>
    <row r="1217" spans="1:19" x14ac:dyDescent="0.2">
      <c r="A1217" t="s">
        <v>4536</v>
      </c>
      <c r="B1217" t="s">
        <v>336</v>
      </c>
      <c r="C1217" t="s">
        <v>1222</v>
      </c>
      <c r="D1217" t="s">
        <v>1599</v>
      </c>
      <c r="E1217" t="s">
        <v>4537</v>
      </c>
      <c r="F1217" t="s">
        <v>1612</v>
      </c>
      <c r="I1217" t="s">
        <v>1077</v>
      </c>
      <c r="M1217" t="s">
        <v>209</v>
      </c>
      <c r="N1217" t="s">
        <v>228</v>
      </c>
      <c r="O1217" t="s">
        <v>4470</v>
      </c>
      <c r="P1217" t="s">
        <v>4538</v>
      </c>
      <c r="Q1217" t="str">
        <f>IF($C1217="","",IFERROR(VLOOKUP($C1217,sources!$A$2:$N$200,2,FALSE()),"?"))</f>
        <v>Newspaper</v>
      </c>
      <c r="S1217" t="str">
        <f>IF($C1217="","",IFERROR(VLOOKUP($C1217,sources!$A$2:$N$200,9,FALSE()),"?"))</f>
        <v>US press</v>
      </c>
    </row>
    <row r="1218" spans="1:19" x14ac:dyDescent="0.2">
      <c r="A1218" t="s">
        <v>4539</v>
      </c>
      <c r="B1218" t="s">
        <v>341</v>
      </c>
      <c r="C1218" t="s">
        <v>1222</v>
      </c>
      <c r="D1218" t="s">
        <v>1599</v>
      </c>
      <c r="E1218" t="s">
        <v>4540</v>
      </c>
      <c r="F1218" t="s">
        <v>1612</v>
      </c>
      <c r="I1218" t="s">
        <v>1077</v>
      </c>
      <c r="M1218" t="s">
        <v>209</v>
      </c>
      <c r="N1218" t="s">
        <v>228</v>
      </c>
      <c r="O1218" t="s">
        <v>4470</v>
      </c>
      <c r="P1218" t="s">
        <v>4541</v>
      </c>
      <c r="Q1218" t="str">
        <f>IF($C1218="","",IFERROR(VLOOKUP($C1218,sources!$A$2:$N$200,2,FALSE()),"?"))</f>
        <v>Newspaper</v>
      </c>
      <c r="S1218" t="str">
        <f>IF($C1218="","",IFERROR(VLOOKUP($C1218,sources!$A$2:$N$200,9,FALSE()),"?"))</f>
        <v>US press</v>
      </c>
    </row>
    <row r="1219" spans="1:19" x14ac:dyDescent="0.2">
      <c r="A1219" t="s">
        <v>4542</v>
      </c>
      <c r="B1219" t="s">
        <v>638</v>
      </c>
      <c r="C1219" t="s">
        <v>1222</v>
      </c>
      <c r="D1219" t="s">
        <v>1599</v>
      </c>
      <c r="E1219" t="s">
        <v>639</v>
      </c>
      <c r="F1219" t="s">
        <v>1612</v>
      </c>
      <c r="I1219" t="s">
        <v>1077</v>
      </c>
      <c r="M1219" t="s">
        <v>209</v>
      </c>
      <c r="N1219" t="s">
        <v>228</v>
      </c>
      <c r="O1219" t="s">
        <v>4470</v>
      </c>
      <c r="P1219" t="s">
        <v>4543</v>
      </c>
      <c r="Q1219" t="str">
        <f>IF($C1219="","",IFERROR(VLOOKUP($C1219,sources!$A$2:$N$200,2,FALSE()),"?"))</f>
        <v>Newspaper</v>
      </c>
      <c r="S1219" t="str">
        <f>IF($C1219="","",IFERROR(VLOOKUP($C1219,sources!$A$2:$N$200,9,FALSE()),"?"))</f>
        <v>US press</v>
      </c>
    </row>
    <row r="1220" spans="1:19" x14ac:dyDescent="0.2">
      <c r="A1220" t="s">
        <v>4544</v>
      </c>
      <c r="B1220" t="s">
        <v>644</v>
      </c>
      <c r="C1220" t="s">
        <v>1222</v>
      </c>
      <c r="D1220" t="s">
        <v>1599</v>
      </c>
      <c r="E1220" t="s">
        <v>645</v>
      </c>
      <c r="F1220" t="s">
        <v>1612</v>
      </c>
      <c r="I1220" t="s">
        <v>1077</v>
      </c>
      <c r="M1220" t="s">
        <v>209</v>
      </c>
      <c r="N1220" t="s">
        <v>228</v>
      </c>
      <c r="O1220" t="s">
        <v>4470</v>
      </c>
      <c r="P1220" t="s">
        <v>4545</v>
      </c>
      <c r="Q1220" t="str">
        <f>IF($C1220="","",IFERROR(VLOOKUP($C1220,sources!$A$2:$N$200,2,FALSE()),"?"))</f>
        <v>Newspaper</v>
      </c>
      <c r="S1220" t="str">
        <f>IF($C1220="","",IFERROR(VLOOKUP($C1220,sources!$A$2:$N$200,9,FALSE()),"?"))</f>
        <v>US press</v>
      </c>
    </row>
    <row r="1221" spans="1:19" x14ac:dyDescent="0.2">
      <c r="A1221" t="s">
        <v>4546</v>
      </c>
      <c r="B1221" t="s">
        <v>649</v>
      </c>
      <c r="C1221" t="s">
        <v>1222</v>
      </c>
      <c r="D1221" t="s">
        <v>1599</v>
      </c>
      <c r="E1221" t="s">
        <v>650</v>
      </c>
      <c r="F1221" t="s">
        <v>1612</v>
      </c>
      <c r="I1221" t="s">
        <v>1077</v>
      </c>
      <c r="K1221">
        <v>1906</v>
      </c>
      <c r="L1221">
        <v>1906</v>
      </c>
      <c r="M1221" t="s">
        <v>228</v>
      </c>
      <c r="N1221" t="s">
        <v>228</v>
      </c>
      <c r="O1221" t="s">
        <v>4470</v>
      </c>
      <c r="P1221" t="s">
        <v>4547</v>
      </c>
      <c r="Q1221" t="str">
        <f>IF($C1221="","",IFERROR(VLOOKUP($C1221,sources!$A$2:$N$200,2,FALSE()),"?"))</f>
        <v>Newspaper</v>
      </c>
      <c r="S1221" t="str">
        <f>IF($C1221="","",IFERROR(VLOOKUP($C1221,sources!$A$2:$N$200,9,FALSE()),"?"))</f>
        <v>US press</v>
      </c>
    </row>
    <row r="1222" spans="1:19" x14ac:dyDescent="0.2">
      <c r="A1222" t="s">
        <v>4548</v>
      </c>
      <c r="B1222" t="s">
        <v>654</v>
      </c>
      <c r="C1222" t="s">
        <v>1222</v>
      </c>
      <c r="D1222" t="s">
        <v>1666</v>
      </c>
      <c r="E1222" t="s">
        <v>655</v>
      </c>
      <c r="F1222" t="s">
        <v>1612</v>
      </c>
      <c r="I1222" t="s">
        <v>1077</v>
      </c>
      <c r="M1222" t="s">
        <v>209</v>
      </c>
      <c r="N1222" t="s">
        <v>228</v>
      </c>
      <c r="O1222" t="s">
        <v>4470</v>
      </c>
      <c r="P1222" t="s">
        <v>4549</v>
      </c>
      <c r="Q1222" t="str">
        <f>IF($C1222="","",IFERROR(VLOOKUP($C1222,sources!$A$2:$N$200,2,FALSE()),"?"))</f>
        <v>Newspaper</v>
      </c>
      <c r="S1222" t="str">
        <f>IF($C1222="","",IFERROR(VLOOKUP($C1222,sources!$A$2:$N$200,9,FALSE()),"?"))</f>
        <v>US press</v>
      </c>
    </row>
    <row r="1223" spans="1:19" x14ac:dyDescent="0.2">
      <c r="A1223" t="s">
        <v>4550</v>
      </c>
      <c r="B1223" t="s">
        <v>658</v>
      </c>
      <c r="C1223" t="s">
        <v>1222</v>
      </c>
      <c r="D1223" t="s">
        <v>1666</v>
      </c>
      <c r="E1223" t="s">
        <v>4030</v>
      </c>
      <c r="F1223" t="s">
        <v>1612</v>
      </c>
      <c r="I1223" t="s">
        <v>1077</v>
      </c>
      <c r="M1223" t="s">
        <v>209</v>
      </c>
      <c r="N1223" t="s">
        <v>228</v>
      </c>
      <c r="O1223" t="s">
        <v>4470</v>
      </c>
      <c r="P1223" t="s">
        <v>4551</v>
      </c>
      <c r="Q1223" t="str">
        <f>IF($C1223="","",IFERROR(VLOOKUP($C1223,sources!$A$2:$N$200,2,FALSE()),"?"))</f>
        <v>Newspaper</v>
      </c>
      <c r="S1223" t="str">
        <f>IF($C1223="","",IFERROR(VLOOKUP($C1223,sources!$A$2:$N$200,9,FALSE()),"?"))</f>
        <v>US press</v>
      </c>
    </row>
    <row r="1224" spans="1:19" x14ac:dyDescent="0.2">
      <c r="A1224" t="s">
        <v>4552</v>
      </c>
      <c r="B1224" t="s">
        <v>662</v>
      </c>
      <c r="C1224" t="s">
        <v>1222</v>
      </c>
      <c r="D1224" t="s">
        <v>1599</v>
      </c>
      <c r="E1224" t="s">
        <v>663</v>
      </c>
      <c r="F1224" t="s">
        <v>1612</v>
      </c>
      <c r="I1224" t="s">
        <v>1077</v>
      </c>
      <c r="M1224" t="s">
        <v>209</v>
      </c>
      <c r="N1224" t="s">
        <v>228</v>
      </c>
      <c r="O1224" t="s">
        <v>4470</v>
      </c>
      <c r="P1224" t="s">
        <v>4553</v>
      </c>
      <c r="Q1224" t="str">
        <f>IF($C1224="","",IFERROR(VLOOKUP($C1224,sources!$A$2:$N$200,2,FALSE()),"?"))</f>
        <v>Newspaper</v>
      </c>
      <c r="S1224" t="str">
        <f>IF($C1224="","",IFERROR(VLOOKUP($C1224,sources!$A$2:$N$200,9,FALSE()),"?"))</f>
        <v>US press</v>
      </c>
    </row>
    <row r="1225" spans="1:19" x14ac:dyDescent="0.2">
      <c r="A1225" t="s">
        <v>4554</v>
      </c>
      <c r="B1225" t="s">
        <v>665</v>
      </c>
      <c r="C1225" t="s">
        <v>1222</v>
      </c>
      <c r="D1225" t="s">
        <v>1599</v>
      </c>
      <c r="E1225" t="s">
        <v>666</v>
      </c>
      <c r="F1225" t="s">
        <v>1612</v>
      </c>
      <c r="I1225" t="s">
        <v>1077</v>
      </c>
      <c r="M1225" t="s">
        <v>209</v>
      </c>
      <c r="N1225" t="s">
        <v>228</v>
      </c>
      <c r="O1225" t="s">
        <v>4470</v>
      </c>
      <c r="P1225" t="s">
        <v>4555</v>
      </c>
      <c r="Q1225" t="str">
        <f>IF($C1225="","",IFERROR(VLOOKUP($C1225,sources!$A$2:$N$200,2,FALSE()),"?"))</f>
        <v>Newspaper</v>
      </c>
      <c r="S1225" t="str">
        <f>IF($C1225="","",IFERROR(VLOOKUP($C1225,sources!$A$2:$N$200,9,FALSE()),"?"))</f>
        <v>US press</v>
      </c>
    </row>
    <row r="1226" spans="1:19" x14ac:dyDescent="0.2">
      <c r="A1226" t="s">
        <v>4556</v>
      </c>
      <c r="B1226" t="s">
        <v>668</v>
      </c>
      <c r="C1226" t="s">
        <v>1222</v>
      </c>
      <c r="D1226" t="s">
        <v>1599</v>
      </c>
      <c r="E1226" t="s">
        <v>669</v>
      </c>
      <c r="F1226" t="s">
        <v>1612</v>
      </c>
      <c r="I1226" t="s">
        <v>1077</v>
      </c>
      <c r="M1226" t="s">
        <v>209</v>
      </c>
      <c r="N1226" t="s">
        <v>228</v>
      </c>
      <c r="O1226" t="s">
        <v>4470</v>
      </c>
      <c r="P1226" t="s">
        <v>4557</v>
      </c>
      <c r="Q1226" t="str">
        <f>IF($C1226="","",IFERROR(VLOOKUP($C1226,sources!$A$2:$N$200,2,FALSE()),"?"))</f>
        <v>Newspaper</v>
      </c>
      <c r="S1226" t="str">
        <f>IF($C1226="","",IFERROR(VLOOKUP($C1226,sources!$A$2:$N$200,9,FALSE()),"?"))</f>
        <v>US press</v>
      </c>
    </row>
    <row r="1227" spans="1:19" x14ac:dyDescent="0.2">
      <c r="A1227" t="s">
        <v>4558</v>
      </c>
      <c r="B1227" t="s">
        <v>671</v>
      </c>
      <c r="C1227" t="s">
        <v>1222</v>
      </c>
      <c r="D1227" t="s">
        <v>1599</v>
      </c>
      <c r="E1227" t="s">
        <v>4048</v>
      </c>
      <c r="F1227" t="s">
        <v>1612</v>
      </c>
      <c r="I1227" t="s">
        <v>1077</v>
      </c>
      <c r="M1227" t="s">
        <v>209</v>
      </c>
      <c r="N1227" t="s">
        <v>228</v>
      </c>
      <c r="O1227" t="s">
        <v>4470</v>
      </c>
      <c r="P1227" t="s">
        <v>4559</v>
      </c>
      <c r="Q1227" t="str">
        <f>IF($C1227="","",IFERROR(VLOOKUP($C1227,sources!$A$2:$N$200,2,FALSE()),"?"))</f>
        <v>Newspaper</v>
      </c>
      <c r="S1227" t="str">
        <f>IF($C1227="","",IFERROR(VLOOKUP($C1227,sources!$A$2:$N$200,9,FALSE()),"?"))</f>
        <v>US press</v>
      </c>
    </row>
    <row r="1228" spans="1:19" x14ac:dyDescent="0.2">
      <c r="A1228" t="s">
        <v>4560</v>
      </c>
      <c r="B1228" t="s">
        <v>679</v>
      </c>
      <c r="C1228" t="s">
        <v>1222</v>
      </c>
      <c r="D1228" t="s">
        <v>1599</v>
      </c>
      <c r="E1228" t="s">
        <v>4561</v>
      </c>
      <c r="F1228" t="s">
        <v>1612</v>
      </c>
      <c r="I1228" t="s">
        <v>1077</v>
      </c>
      <c r="M1228" t="s">
        <v>209</v>
      </c>
      <c r="N1228" t="s">
        <v>228</v>
      </c>
      <c r="O1228" t="s">
        <v>4470</v>
      </c>
      <c r="P1228" t="s">
        <v>4562</v>
      </c>
      <c r="Q1228" t="str">
        <f>IF($C1228="","",IFERROR(VLOOKUP($C1228,sources!$A$2:$N$200,2,FALSE()),"?"))</f>
        <v>Newspaper</v>
      </c>
      <c r="S1228" t="str">
        <f>IF($C1228="","",IFERROR(VLOOKUP($C1228,sources!$A$2:$N$200,9,FALSE()),"?"))</f>
        <v>US press</v>
      </c>
    </row>
    <row r="1229" spans="1:19" x14ac:dyDescent="0.2">
      <c r="A1229" t="s">
        <v>4563</v>
      </c>
      <c r="B1229" t="s">
        <v>682</v>
      </c>
      <c r="C1229" t="s">
        <v>1222</v>
      </c>
      <c r="D1229" t="s">
        <v>1599</v>
      </c>
      <c r="E1229" t="s">
        <v>4564</v>
      </c>
      <c r="F1229" t="s">
        <v>1612</v>
      </c>
      <c r="I1229" t="s">
        <v>1077</v>
      </c>
      <c r="M1229" t="s">
        <v>209</v>
      </c>
      <c r="N1229" t="s">
        <v>228</v>
      </c>
      <c r="O1229" t="s">
        <v>4470</v>
      </c>
      <c r="P1229" t="s">
        <v>4565</v>
      </c>
      <c r="Q1229" t="str">
        <f>IF($C1229="","",IFERROR(VLOOKUP($C1229,sources!$A$2:$N$200,2,FALSE()),"?"))</f>
        <v>Newspaper</v>
      </c>
      <c r="S1229" t="str">
        <f>IF($C1229="","",IFERROR(VLOOKUP($C1229,sources!$A$2:$N$200,9,FALSE()),"?"))</f>
        <v>US press</v>
      </c>
    </row>
    <row r="1230" spans="1:19" x14ac:dyDescent="0.2">
      <c r="A1230" t="s">
        <v>4566</v>
      </c>
      <c r="B1230" t="s">
        <v>686</v>
      </c>
      <c r="C1230" t="s">
        <v>1222</v>
      </c>
      <c r="D1230" t="s">
        <v>1599</v>
      </c>
      <c r="E1230" t="s">
        <v>4567</v>
      </c>
      <c r="F1230" t="s">
        <v>1612</v>
      </c>
      <c r="I1230" t="s">
        <v>1077</v>
      </c>
      <c r="M1230" t="s">
        <v>209</v>
      </c>
      <c r="N1230" t="s">
        <v>228</v>
      </c>
      <c r="O1230" t="s">
        <v>4470</v>
      </c>
      <c r="P1230" t="s">
        <v>4568</v>
      </c>
      <c r="Q1230" t="str">
        <f>IF($C1230="","",IFERROR(VLOOKUP($C1230,sources!$A$2:$N$200,2,FALSE()),"?"))</f>
        <v>Newspaper</v>
      </c>
      <c r="S1230" t="str">
        <f>IF($C1230="","",IFERROR(VLOOKUP($C1230,sources!$A$2:$N$200,9,FALSE()),"?"))</f>
        <v>US press</v>
      </c>
    </row>
    <row r="1231" spans="1:19" x14ac:dyDescent="0.2">
      <c r="A1231" t="s">
        <v>4569</v>
      </c>
      <c r="B1231" t="s">
        <v>692</v>
      </c>
      <c r="C1231" t="s">
        <v>1222</v>
      </c>
      <c r="D1231" t="s">
        <v>1599</v>
      </c>
      <c r="E1231" t="s">
        <v>4570</v>
      </c>
      <c r="F1231" t="s">
        <v>1612</v>
      </c>
      <c r="I1231" t="s">
        <v>1077</v>
      </c>
      <c r="M1231" t="s">
        <v>209</v>
      </c>
      <c r="N1231" t="s">
        <v>228</v>
      </c>
      <c r="O1231" t="s">
        <v>4470</v>
      </c>
      <c r="P1231" t="s">
        <v>4571</v>
      </c>
      <c r="Q1231" t="str">
        <f>IF($C1231="","",IFERROR(VLOOKUP($C1231,sources!$A$2:$N$200,2,FALSE()),"?"))</f>
        <v>Newspaper</v>
      </c>
      <c r="S1231" t="str">
        <f>IF($C1231="","",IFERROR(VLOOKUP($C1231,sources!$A$2:$N$200,9,FALSE()),"?"))</f>
        <v>US press</v>
      </c>
    </row>
    <row r="1232" spans="1:19" x14ac:dyDescent="0.2">
      <c r="A1232" t="s">
        <v>4572</v>
      </c>
      <c r="B1232" t="s">
        <v>696</v>
      </c>
      <c r="C1232" t="s">
        <v>1222</v>
      </c>
      <c r="D1232" t="s">
        <v>1666</v>
      </c>
      <c r="E1232" t="s">
        <v>4573</v>
      </c>
      <c r="F1232" t="s">
        <v>1612</v>
      </c>
      <c r="I1232" t="s">
        <v>1077</v>
      </c>
      <c r="M1232" t="s">
        <v>209</v>
      </c>
      <c r="N1232" t="s">
        <v>228</v>
      </c>
      <c r="O1232" t="s">
        <v>4470</v>
      </c>
      <c r="P1232" t="s">
        <v>4574</v>
      </c>
      <c r="Q1232" t="str">
        <f>IF($C1232="","",IFERROR(VLOOKUP($C1232,sources!$A$2:$N$200,2,FALSE()),"?"))</f>
        <v>Newspaper</v>
      </c>
      <c r="S1232" t="str">
        <f>IF($C1232="","",IFERROR(VLOOKUP($C1232,sources!$A$2:$N$200,9,FALSE()),"?"))</f>
        <v>US press</v>
      </c>
    </row>
    <row r="1233" spans="1:19" x14ac:dyDescent="0.2">
      <c r="A1233" t="s">
        <v>4575</v>
      </c>
      <c r="B1233" t="s">
        <v>705</v>
      </c>
      <c r="C1233" t="s">
        <v>1222</v>
      </c>
      <c r="D1233" t="s">
        <v>1666</v>
      </c>
      <c r="E1233" t="s">
        <v>4576</v>
      </c>
      <c r="F1233" t="s">
        <v>1612</v>
      </c>
      <c r="I1233" t="s">
        <v>1077</v>
      </c>
      <c r="M1233" t="s">
        <v>209</v>
      </c>
      <c r="N1233" t="s">
        <v>228</v>
      </c>
      <c r="O1233" t="s">
        <v>4470</v>
      </c>
      <c r="P1233" t="s">
        <v>4577</v>
      </c>
      <c r="Q1233" t="str">
        <f>IF($C1233="","",IFERROR(VLOOKUP($C1233,sources!$A$2:$N$200,2,FALSE()),"?"))</f>
        <v>Newspaper</v>
      </c>
      <c r="S1233" t="str">
        <f>IF($C1233="","",IFERROR(VLOOKUP($C1233,sources!$A$2:$N$200,9,FALSE()),"?"))</f>
        <v>US press</v>
      </c>
    </row>
    <row r="1234" spans="1:19" x14ac:dyDescent="0.2">
      <c r="A1234" t="s">
        <v>4578</v>
      </c>
      <c r="B1234" t="s">
        <v>708</v>
      </c>
      <c r="C1234" t="s">
        <v>1222</v>
      </c>
      <c r="D1234" t="s">
        <v>1666</v>
      </c>
      <c r="E1234" t="s">
        <v>4579</v>
      </c>
      <c r="F1234" t="s">
        <v>1612</v>
      </c>
      <c r="I1234" t="s">
        <v>1077</v>
      </c>
      <c r="M1234" t="s">
        <v>209</v>
      </c>
      <c r="N1234" t="s">
        <v>228</v>
      </c>
      <c r="O1234" t="s">
        <v>4470</v>
      </c>
      <c r="P1234" t="s">
        <v>4580</v>
      </c>
      <c r="Q1234" t="str">
        <f>IF($C1234="","",IFERROR(VLOOKUP($C1234,sources!$A$2:$N$200,2,FALSE()),"?"))</f>
        <v>Newspaper</v>
      </c>
      <c r="S1234" t="str">
        <f>IF($C1234="","",IFERROR(VLOOKUP($C1234,sources!$A$2:$N$200,9,FALSE()),"?"))</f>
        <v>US press</v>
      </c>
    </row>
    <row r="1235" spans="1:19" x14ac:dyDescent="0.2">
      <c r="A1235" t="s">
        <v>4581</v>
      </c>
      <c r="B1235" t="s">
        <v>712</v>
      </c>
      <c r="C1235" t="s">
        <v>1222</v>
      </c>
      <c r="D1235" t="s">
        <v>1666</v>
      </c>
      <c r="E1235" t="s">
        <v>4582</v>
      </c>
      <c r="F1235" t="s">
        <v>1612</v>
      </c>
      <c r="I1235" t="s">
        <v>1077</v>
      </c>
      <c r="M1235" t="s">
        <v>209</v>
      </c>
      <c r="N1235" t="s">
        <v>228</v>
      </c>
      <c r="O1235" t="s">
        <v>4470</v>
      </c>
      <c r="P1235" t="s">
        <v>4583</v>
      </c>
      <c r="Q1235" t="str">
        <f>IF($C1235="","",IFERROR(VLOOKUP($C1235,sources!$A$2:$N$200,2,FALSE()),"?"))</f>
        <v>Newspaper</v>
      </c>
      <c r="S1235" t="str">
        <f>IF($C1235="","",IFERROR(VLOOKUP($C1235,sources!$A$2:$N$200,9,FALSE()),"?"))</f>
        <v>US press</v>
      </c>
    </row>
    <row r="1236" spans="1:19" x14ac:dyDescent="0.2">
      <c r="A1236" t="s">
        <v>4584</v>
      </c>
      <c r="B1236" t="s">
        <v>717</v>
      </c>
      <c r="C1236" t="s">
        <v>1222</v>
      </c>
      <c r="D1236" t="s">
        <v>1666</v>
      </c>
      <c r="E1236" t="s">
        <v>4585</v>
      </c>
      <c r="F1236" t="s">
        <v>1612</v>
      </c>
      <c r="I1236" t="s">
        <v>1077</v>
      </c>
      <c r="M1236" t="s">
        <v>209</v>
      </c>
      <c r="N1236" t="s">
        <v>228</v>
      </c>
      <c r="O1236" t="s">
        <v>4470</v>
      </c>
      <c r="P1236" t="s">
        <v>4586</v>
      </c>
      <c r="Q1236" t="str">
        <f>IF($C1236="","",IFERROR(VLOOKUP($C1236,sources!$A$2:$N$200,2,FALSE()),"?"))</f>
        <v>Newspaper</v>
      </c>
      <c r="S1236" t="str">
        <f>IF($C1236="","",IFERROR(VLOOKUP($C1236,sources!$A$2:$N$200,9,FALSE()),"?"))</f>
        <v>US press</v>
      </c>
    </row>
    <row r="1237" spans="1:19" x14ac:dyDescent="0.2">
      <c r="A1237" t="s">
        <v>4587</v>
      </c>
      <c r="B1237" t="s">
        <v>723</v>
      </c>
      <c r="C1237" t="s">
        <v>1222</v>
      </c>
      <c r="D1237" t="s">
        <v>1599</v>
      </c>
      <c r="E1237" t="s">
        <v>4096</v>
      </c>
      <c r="F1237" t="s">
        <v>1612</v>
      </c>
      <c r="I1237" t="s">
        <v>1077</v>
      </c>
      <c r="M1237" t="s">
        <v>209</v>
      </c>
      <c r="N1237" t="s">
        <v>228</v>
      </c>
      <c r="O1237" t="s">
        <v>4470</v>
      </c>
      <c r="P1237" t="s">
        <v>4588</v>
      </c>
      <c r="Q1237" t="str">
        <f>IF($C1237="","",IFERROR(VLOOKUP($C1237,sources!$A$2:$N$200,2,FALSE()),"?"))</f>
        <v>Newspaper</v>
      </c>
      <c r="S1237" t="str">
        <f>IF($C1237="","",IFERROR(VLOOKUP($C1237,sources!$A$2:$N$200,9,FALSE()),"?"))</f>
        <v>US press</v>
      </c>
    </row>
    <row r="1238" spans="1:19" x14ac:dyDescent="0.2">
      <c r="A1238" t="s">
        <v>4589</v>
      </c>
      <c r="B1238" t="s">
        <v>730</v>
      </c>
      <c r="C1238" t="s">
        <v>1222</v>
      </c>
      <c r="D1238" t="s">
        <v>1599</v>
      </c>
      <c r="E1238" t="s">
        <v>4590</v>
      </c>
      <c r="F1238" t="s">
        <v>1612</v>
      </c>
      <c r="I1238" t="s">
        <v>1077</v>
      </c>
      <c r="K1238">
        <v>1912</v>
      </c>
      <c r="L1238">
        <v>1912</v>
      </c>
      <c r="M1238" t="s">
        <v>228</v>
      </c>
      <c r="N1238" t="s">
        <v>228</v>
      </c>
      <c r="O1238" t="s">
        <v>4470</v>
      </c>
      <c r="P1238" t="s">
        <v>4591</v>
      </c>
      <c r="Q1238" t="str">
        <f>IF($C1238="","",IFERROR(VLOOKUP($C1238,sources!$A$2:$N$200,2,FALSE()),"?"))</f>
        <v>Newspaper</v>
      </c>
      <c r="S1238" t="str">
        <f>IF($C1238="","",IFERROR(VLOOKUP($C1238,sources!$A$2:$N$200,9,FALSE()),"?"))</f>
        <v>US press</v>
      </c>
    </row>
    <row r="1239" spans="1:19" x14ac:dyDescent="0.2">
      <c r="A1239" t="s">
        <v>4592</v>
      </c>
      <c r="B1239" t="s">
        <v>733</v>
      </c>
      <c r="C1239" t="s">
        <v>1222</v>
      </c>
      <c r="D1239" t="s">
        <v>1599</v>
      </c>
      <c r="E1239" t="s">
        <v>4593</v>
      </c>
      <c r="F1239" t="s">
        <v>1612</v>
      </c>
      <c r="I1239" t="s">
        <v>1077</v>
      </c>
      <c r="M1239" t="s">
        <v>209</v>
      </c>
      <c r="N1239" t="s">
        <v>228</v>
      </c>
      <c r="O1239" t="s">
        <v>4470</v>
      </c>
      <c r="P1239" t="s">
        <v>4594</v>
      </c>
      <c r="Q1239" t="str">
        <f>IF($C1239="","",IFERROR(VLOOKUP($C1239,sources!$A$2:$N$200,2,FALSE()),"?"))</f>
        <v>Newspaper</v>
      </c>
      <c r="S1239" t="str">
        <f>IF($C1239="","",IFERROR(VLOOKUP($C1239,sources!$A$2:$N$200,9,FALSE()),"?"))</f>
        <v>US press</v>
      </c>
    </row>
    <row r="1240" spans="1:19" x14ac:dyDescent="0.2">
      <c r="A1240" t="s">
        <v>4595</v>
      </c>
      <c r="B1240" t="s">
        <v>736</v>
      </c>
      <c r="C1240" t="s">
        <v>1222</v>
      </c>
      <c r="D1240" t="s">
        <v>1666</v>
      </c>
      <c r="E1240" t="s">
        <v>4596</v>
      </c>
      <c r="F1240" t="s">
        <v>1612</v>
      </c>
      <c r="I1240" t="s">
        <v>1077</v>
      </c>
      <c r="M1240" t="s">
        <v>209</v>
      </c>
      <c r="N1240" t="s">
        <v>228</v>
      </c>
      <c r="O1240" t="s">
        <v>4470</v>
      </c>
      <c r="P1240" t="s">
        <v>4597</v>
      </c>
      <c r="Q1240" t="str">
        <f>IF($C1240="","",IFERROR(VLOOKUP($C1240,sources!$A$2:$N$200,2,FALSE()),"?"))</f>
        <v>Newspaper</v>
      </c>
      <c r="S1240" t="str">
        <f>IF($C1240="","",IFERROR(VLOOKUP($C1240,sources!$A$2:$N$200,9,FALSE()),"?"))</f>
        <v>US press</v>
      </c>
    </row>
    <row r="1241" spans="1:19" x14ac:dyDescent="0.2">
      <c r="A1241" t="s">
        <v>4598</v>
      </c>
      <c r="B1241" t="s">
        <v>739</v>
      </c>
      <c r="C1241" t="s">
        <v>1222</v>
      </c>
      <c r="D1241" t="s">
        <v>1666</v>
      </c>
      <c r="E1241" t="s">
        <v>4599</v>
      </c>
      <c r="F1241" t="s">
        <v>1612</v>
      </c>
      <c r="I1241" t="s">
        <v>1077</v>
      </c>
      <c r="M1241" t="s">
        <v>209</v>
      </c>
      <c r="N1241" t="s">
        <v>228</v>
      </c>
      <c r="O1241" t="s">
        <v>4470</v>
      </c>
      <c r="P1241" t="s">
        <v>4600</v>
      </c>
      <c r="Q1241" t="str">
        <f>IF($C1241="","",IFERROR(VLOOKUP($C1241,sources!$A$2:$N$200,2,FALSE()),"?"))</f>
        <v>Newspaper</v>
      </c>
      <c r="S1241" t="str">
        <f>IF($C1241="","",IFERROR(VLOOKUP($C1241,sources!$A$2:$N$200,9,FALSE()),"?"))</f>
        <v>US press</v>
      </c>
    </row>
    <row r="1242" spans="1:19" x14ac:dyDescent="0.2">
      <c r="A1242" t="s">
        <v>4601</v>
      </c>
      <c r="B1242" t="s">
        <v>742</v>
      </c>
      <c r="C1242" t="s">
        <v>1222</v>
      </c>
      <c r="D1242" t="s">
        <v>1666</v>
      </c>
      <c r="E1242" t="s">
        <v>4602</v>
      </c>
      <c r="F1242" t="s">
        <v>1612</v>
      </c>
      <c r="I1242" t="s">
        <v>1077</v>
      </c>
      <c r="M1242" t="s">
        <v>209</v>
      </c>
      <c r="N1242" t="s">
        <v>228</v>
      </c>
      <c r="O1242" t="s">
        <v>4470</v>
      </c>
      <c r="P1242" t="s">
        <v>4603</v>
      </c>
      <c r="Q1242" t="str">
        <f>IF($C1242="","",IFERROR(VLOOKUP($C1242,sources!$A$2:$N$200,2,FALSE()),"?"))</f>
        <v>Newspaper</v>
      </c>
      <c r="S1242" t="str">
        <f>IF($C1242="","",IFERROR(VLOOKUP($C1242,sources!$A$2:$N$200,9,FALSE()),"?"))</f>
        <v>US press</v>
      </c>
    </row>
    <row r="1243" spans="1:19" x14ac:dyDescent="0.2">
      <c r="A1243" t="s">
        <v>4604</v>
      </c>
      <c r="B1243" t="s">
        <v>746</v>
      </c>
      <c r="C1243" t="s">
        <v>1222</v>
      </c>
      <c r="D1243" t="s">
        <v>1666</v>
      </c>
      <c r="E1243" t="s">
        <v>4605</v>
      </c>
      <c r="F1243" t="s">
        <v>1612</v>
      </c>
      <c r="I1243" t="s">
        <v>1077</v>
      </c>
      <c r="M1243" t="s">
        <v>209</v>
      </c>
      <c r="N1243" t="s">
        <v>228</v>
      </c>
      <c r="O1243" t="s">
        <v>4470</v>
      </c>
      <c r="P1243" t="s">
        <v>4606</v>
      </c>
      <c r="Q1243" t="str">
        <f>IF($C1243="","",IFERROR(VLOOKUP($C1243,sources!$A$2:$N$200,2,FALSE()),"?"))</f>
        <v>Newspaper</v>
      </c>
      <c r="S1243" t="str">
        <f>IF($C1243="","",IFERROR(VLOOKUP($C1243,sources!$A$2:$N$200,9,FALSE()),"?"))</f>
        <v>US press</v>
      </c>
    </row>
    <row r="1244" spans="1:19" x14ac:dyDescent="0.2">
      <c r="A1244" t="s">
        <v>4607</v>
      </c>
      <c r="B1244" t="s">
        <v>765</v>
      </c>
      <c r="C1244" t="s">
        <v>1222</v>
      </c>
      <c r="D1244" t="s">
        <v>1666</v>
      </c>
      <c r="E1244" t="s">
        <v>4608</v>
      </c>
      <c r="F1244" t="s">
        <v>1612</v>
      </c>
      <c r="I1244" t="s">
        <v>1077</v>
      </c>
      <c r="M1244" t="s">
        <v>209</v>
      </c>
      <c r="N1244" t="s">
        <v>228</v>
      </c>
      <c r="O1244" t="s">
        <v>4470</v>
      </c>
      <c r="P1244" t="s">
        <v>4609</v>
      </c>
      <c r="Q1244" t="str">
        <f>IF($C1244="","",IFERROR(VLOOKUP($C1244,sources!$A$2:$N$200,2,FALSE()),"?"))</f>
        <v>Newspaper</v>
      </c>
      <c r="S1244" t="str">
        <f>IF($C1244="","",IFERROR(VLOOKUP($C1244,sources!$A$2:$N$200,9,FALSE()),"?"))</f>
        <v>US press</v>
      </c>
    </row>
    <row r="1245" spans="1:19" x14ac:dyDescent="0.2">
      <c r="A1245" t="s">
        <v>4610</v>
      </c>
      <c r="B1245" t="s">
        <v>777</v>
      </c>
      <c r="C1245" t="s">
        <v>1222</v>
      </c>
      <c r="D1245" t="s">
        <v>1599</v>
      </c>
      <c r="E1245" t="s">
        <v>3786</v>
      </c>
      <c r="F1245" t="s">
        <v>1612</v>
      </c>
      <c r="I1245" t="s">
        <v>1077</v>
      </c>
      <c r="K1245">
        <v>1915</v>
      </c>
      <c r="L1245">
        <v>1915</v>
      </c>
      <c r="M1245" t="s">
        <v>228</v>
      </c>
      <c r="N1245" t="s">
        <v>228</v>
      </c>
      <c r="O1245" t="s">
        <v>4470</v>
      </c>
      <c r="P1245" t="s">
        <v>4611</v>
      </c>
      <c r="Q1245" t="str">
        <f>IF($C1245="","",IFERROR(VLOOKUP($C1245,sources!$A$2:$N$200,2,FALSE()),"?"))</f>
        <v>Newspaper</v>
      </c>
      <c r="S1245" t="str">
        <f>IF($C1245="","",IFERROR(VLOOKUP($C1245,sources!$A$2:$N$200,9,FALSE()),"?"))</f>
        <v>US press</v>
      </c>
    </row>
    <row r="1246" spans="1:19" x14ac:dyDescent="0.2">
      <c r="A1246" t="s">
        <v>4612</v>
      </c>
      <c r="B1246" t="s">
        <v>783</v>
      </c>
      <c r="C1246" t="s">
        <v>1222</v>
      </c>
      <c r="D1246" t="s">
        <v>1666</v>
      </c>
      <c r="E1246" t="s">
        <v>4613</v>
      </c>
      <c r="F1246" t="s">
        <v>1612</v>
      </c>
      <c r="I1246" t="s">
        <v>1077</v>
      </c>
      <c r="M1246" t="s">
        <v>209</v>
      </c>
      <c r="N1246" t="s">
        <v>228</v>
      </c>
      <c r="O1246" t="s">
        <v>4470</v>
      </c>
      <c r="P1246" t="s">
        <v>4614</v>
      </c>
      <c r="Q1246" t="str">
        <f>IF($C1246="","",IFERROR(VLOOKUP($C1246,sources!$A$2:$N$200,2,FALSE()),"?"))</f>
        <v>Newspaper</v>
      </c>
      <c r="S1246" t="str">
        <f>IF($C1246="","",IFERROR(VLOOKUP($C1246,sources!$A$2:$N$200,9,FALSE()),"?"))</f>
        <v>US press</v>
      </c>
    </row>
    <row r="1247" spans="1:19" x14ac:dyDescent="0.2">
      <c r="A1247" t="s">
        <v>4615</v>
      </c>
      <c r="B1247" t="s">
        <v>786</v>
      </c>
      <c r="C1247" t="s">
        <v>1222</v>
      </c>
      <c r="D1247" t="s">
        <v>1666</v>
      </c>
      <c r="E1247" t="s">
        <v>4616</v>
      </c>
      <c r="F1247" t="s">
        <v>1612</v>
      </c>
      <c r="I1247" t="s">
        <v>1077</v>
      </c>
      <c r="M1247" t="s">
        <v>209</v>
      </c>
      <c r="N1247" t="s">
        <v>228</v>
      </c>
      <c r="O1247" t="s">
        <v>4470</v>
      </c>
      <c r="P1247" t="s">
        <v>4617</v>
      </c>
      <c r="Q1247" t="str">
        <f>IF($C1247="","",IFERROR(VLOOKUP($C1247,sources!$A$2:$N$200,2,FALSE()),"?"))</f>
        <v>Newspaper</v>
      </c>
      <c r="S1247" t="str">
        <f>IF($C1247="","",IFERROR(VLOOKUP($C1247,sources!$A$2:$N$200,9,FALSE()),"?"))</f>
        <v>US press</v>
      </c>
    </row>
    <row r="1248" spans="1:19" x14ac:dyDescent="0.2">
      <c r="A1248" t="s">
        <v>4618</v>
      </c>
      <c r="B1248" t="s">
        <v>792</v>
      </c>
      <c r="C1248" t="s">
        <v>1222</v>
      </c>
      <c r="D1248" t="s">
        <v>1666</v>
      </c>
      <c r="E1248" t="s">
        <v>4619</v>
      </c>
      <c r="F1248" t="s">
        <v>1612</v>
      </c>
      <c r="I1248" t="s">
        <v>1077</v>
      </c>
      <c r="M1248" t="s">
        <v>209</v>
      </c>
      <c r="N1248" t="s">
        <v>228</v>
      </c>
      <c r="O1248" t="s">
        <v>4470</v>
      </c>
      <c r="P1248" t="s">
        <v>4620</v>
      </c>
      <c r="Q1248" t="str">
        <f>IF($C1248="","",IFERROR(VLOOKUP($C1248,sources!$A$2:$N$200,2,FALSE()),"?"))</f>
        <v>Newspaper</v>
      </c>
      <c r="S1248" t="str">
        <f>IF($C1248="","",IFERROR(VLOOKUP($C1248,sources!$A$2:$N$200,9,FALSE()),"?"))</f>
        <v>US press</v>
      </c>
    </row>
    <row r="1249" spans="1:19" x14ac:dyDescent="0.2">
      <c r="A1249" t="s">
        <v>4621</v>
      </c>
      <c r="B1249" t="s">
        <v>499</v>
      </c>
      <c r="C1249" t="s">
        <v>1412</v>
      </c>
      <c r="D1249" t="s">
        <v>1599</v>
      </c>
      <c r="E1249" t="s">
        <v>500</v>
      </c>
      <c r="F1249" t="s">
        <v>1612</v>
      </c>
      <c r="N1249" t="s">
        <v>228</v>
      </c>
      <c r="O1249" t="s">
        <v>4622</v>
      </c>
      <c r="P1249" t="s">
        <v>4623</v>
      </c>
      <c r="Q1249" t="str">
        <f>IF($C1249="","",IFERROR(VLOOKUP($C1249,sources!$A$2:$N$200,2,FALSE()),"?"))</f>
        <v>Web compilation</v>
      </c>
      <c r="S1249" t="str">
        <f>IF($C1249="","",IFERROR(VLOOKUP($C1249,sources!$A$2:$N$200,9,FALSE()),"?"))</f>
        <v>Caribbean community</v>
      </c>
    </row>
    <row r="1250" spans="1:19" x14ac:dyDescent="0.2">
      <c r="A1250" t="s">
        <v>4624</v>
      </c>
      <c r="B1250" t="s">
        <v>224</v>
      </c>
      <c r="C1250" t="s">
        <v>1412</v>
      </c>
      <c r="D1250" t="s">
        <v>1666</v>
      </c>
      <c r="E1250" t="s">
        <v>225</v>
      </c>
      <c r="F1250" t="s">
        <v>1612</v>
      </c>
      <c r="N1250" t="s">
        <v>228</v>
      </c>
      <c r="O1250" t="s">
        <v>4625</v>
      </c>
      <c r="P1250" t="s">
        <v>4626</v>
      </c>
      <c r="Q1250" t="str">
        <f>IF($C1250="","",IFERROR(VLOOKUP($C1250,sources!$A$2:$N$200,2,FALSE()),"?"))</f>
        <v>Web compilation</v>
      </c>
      <c r="S1250" t="str">
        <f>IF($C1250="","",IFERROR(VLOOKUP($C1250,sources!$A$2:$N$200,9,FALSE()),"?"))</f>
        <v>Caribbean community</v>
      </c>
    </row>
    <row r="1251" spans="1:19" x14ac:dyDescent="0.2">
      <c r="A1251" t="s">
        <v>4627</v>
      </c>
      <c r="B1251" t="s">
        <v>448</v>
      </c>
      <c r="C1251" t="s">
        <v>1412</v>
      </c>
      <c r="D1251" t="s">
        <v>1666</v>
      </c>
      <c r="E1251" t="s">
        <v>449</v>
      </c>
      <c r="F1251" t="s">
        <v>1612</v>
      </c>
      <c r="N1251" t="s">
        <v>228</v>
      </c>
      <c r="O1251" t="s">
        <v>4625</v>
      </c>
      <c r="P1251" t="s">
        <v>4626</v>
      </c>
      <c r="Q1251" t="str">
        <f>IF($C1251="","",IFERROR(VLOOKUP($C1251,sources!$A$2:$N$200,2,FALSE()),"?"))</f>
        <v>Web compilation</v>
      </c>
      <c r="S1251" t="str">
        <f>IF($C1251="","",IFERROR(VLOOKUP($C1251,sources!$A$2:$N$200,9,FALSE()),"?"))</f>
        <v>Caribbean community</v>
      </c>
    </row>
    <row r="1252" spans="1:19" x14ac:dyDescent="0.2">
      <c r="A1252" t="s">
        <v>4628</v>
      </c>
      <c r="B1252" t="s">
        <v>589</v>
      </c>
      <c r="C1252" t="s">
        <v>1412</v>
      </c>
      <c r="D1252" t="s">
        <v>1666</v>
      </c>
      <c r="E1252" t="s">
        <v>590</v>
      </c>
      <c r="F1252" t="s">
        <v>1612</v>
      </c>
      <c r="N1252" t="s">
        <v>228</v>
      </c>
      <c r="O1252" t="s">
        <v>4625</v>
      </c>
      <c r="P1252" t="s">
        <v>4626</v>
      </c>
      <c r="Q1252" t="str">
        <f>IF($C1252="","",IFERROR(VLOOKUP($C1252,sources!$A$2:$N$200,2,FALSE()),"?"))</f>
        <v>Web compilation</v>
      </c>
      <c r="S1252" t="str">
        <f>IF($C1252="","",IFERROR(VLOOKUP($C1252,sources!$A$2:$N$200,9,FALSE()),"?"))</f>
        <v>Caribbean community</v>
      </c>
    </row>
    <row r="1253" spans="1:19" x14ac:dyDescent="0.2">
      <c r="A1253" t="s">
        <v>4629</v>
      </c>
      <c r="B1253" t="s">
        <v>354</v>
      </c>
      <c r="C1253" t="s">
        <v>1412</v>
      </c>
      <c r="D1253" t="s">
        <v>1599</v>
      </c>
      <c r="E1253" t="s">
        <v>355</v>
      </c>
      <c r="F1253" t="s">
        <v>1612</v>
      </c>
      <c r="N1253" t="s">
        <v>222</v>
      </c>
      <c r="O1253" t="s">
        <v>4630</v>
      </c>
      <c r="P1253" t="s">
        <v>4631</v>
      </c>
      <c r="Q1253" t="str">
        <f>IF($C1253="","",IFERROR(VLOOKUP($C1253,sources!$A$2:$N$200,2,FALSE()),"?"))</f>
        <v>Web compilation</v>
      </c>
      <c r="S1253" t="str">
        <f>IF($C1253="","",IFERROR(VLOOKUP($C1253,sources!$A$2:$N$200,9,FALSE()),"?"))</f>
        <v>Caribbean community</v>
      </c>
    </row>
    <row r="1254" spans="1:19" x14ac:dyDescent="0.2">
      <c r="A1254" t="s">
        <v>4632</v>
      </c>
      <c r="B1254" t="s">
        <v>820</v>
      </c>
      <c r="C1254" t="s">
        <v>1412</v>
      </c>
      <c r="D1254" t="s">
        <v>1599</v>
      </c>
      <c r="E1254" t="s">
        <v>821</v>
      </c>
      <c r="F1254" t="s">
        <v>1612</v>
      </c>
      <c r="N1254" t="s">
        <v>222</v>
      </c>
      <c r="O1254" t="s">
        <v>4633</v>
      </c>
      <c r="P1254" t="s">
        <v>4634</v>
      </c>
      <c r="Q1254" t="str">
        <f>IF($C1254="","",IFERROR(VLOOKUP($C1254,sources!$A$2:$N$200,2,FALSE()),"?"))</f>
        <v>Web compilation</v>
      </c>
      <c r="S1254" t="str">
        <f>IF($C1254="","",IFERROR(VLOOKUP($C1254,sources!$A$2:$N$200,9,FALSE()),"?"))</f>
        <v>Caribbean community</v>
      </c>
    </row>
    <row r="1255" spans="1:19" x14ac:dyDescent="0.2">
      <c r="A1255" t="s">
        <v>4635</v>
      </c>
      <c r="B1255" t="s">
        <v>234</v>
      </c>
      <c r="C1255" t="s">
        <v>1412</v>
      </c>
      <c r="D1255" t="s">
        <v>1666</v>
      </c>
      <c r="E1255" t="s">
        <v>235</v>
      </c>
      <c r="F1255" t="s">
        <v>1612</v>
      </c>
      <c r="N1255" t="s">
        <v>228</v>
      </c>
      <c r="O1255" t="s">
        <v>4625</v>
      </c>
      <c r="P1255" t="s">
        <v>4626</v>
      </c>
      <c r="Q1255" t="str">
        <f>IF($C1255="","",IFERROR(VLOOKUP($C1255,sources!$A$2:$N$200,2,FALSE()),"?"))</f>
        <v>Web compilation</v>
      </c>
      <c r="S1255" t="str">
        <f>IF($C1255="","",IFERROR(VLOOKUP($C1255,sources!$A$2:$N$200,9,FALSE()),"?"))</f>
        <v>Caribbean community</v>
      </c>
    </row>
    <row r="1256" spans="1:19" x14ac:dyDescent="0.2">
      <c r="A1256" t="s">
        <v>4636</v>
      </c>
      <c r="B1256" t="s">
        <v>430</v>
      </c>
      <c r="C1256" t="s">
        <v>1412</v>
      </c>
      <c r="D1256" t="s">
        <v>1599</v>
      </c>
      <c r="E1256" t="s">
        <v>431</v>
      </c>
      <c r="F1256" t="s">
        <v>1612</v>
      </c>
      <c r="N1256" t="s">
        <v>222</v>
      </c>
      <c r="O1256" t="s">
        <v>4637</v>
      </c>
      <c r="P1256" t="s">
        <v>4638</v>
      </c>
      <c r="Q1256" t="str">
        <f>IF($C1256="","",IFERROR(VLOOKUP($C1256,sources!$A$2:$N$200,2,FALSE()),"?"))</f>
        <v>Web compilation</v>
      </c>
      <c r="S1256" t="str">
        <f>IF($C1256="","",IFERROR(VLOOKUP($C1256,sources!$A$2:$N$200,9,FALSE()),"?"))</f>
        <v>Caribbean community</v>
      </c>
    </row>
    <row r="1257" spans="1:19" x14ac:dyDescent="0.2">
      <c r="A1257" t="s">
        <v>4639</v>
      </c>
      <c r="B1257" t="s">
        <v>458</v>
      </c>
      <c r="C1257" t="s">
        <v>1412</v>
      </c>
      <c r="D1257" t="s">
        <v>1599</v>
      </c>
      <c r="E1257" t="s">
        <v>459</v>
      </c>
      <c r="F1257" t="s">
        <v>1612</v>
      </c>
      <c r="N1257" t="s">
        <v>222</v>
      </c>
      <c r="O1257" t="s">
        <v>4640</v>
      </c>
      <c r="P1257" t="s">
        <v>4641</v>
      </c>
      <c r="Q1257" t="str">
        <f>IF($C1257="","",IFERROR(VLOOKUP($C1257,sources!$A$2:$N$200,2,FALSE()),"?"))</f>
        <v>Web compilation</v>
      </c>
      <c r="S1257" t="str">
        <f>IF($C1257="","",IFERROR(VLOOKUP($C1257,sources!$A$2:$N$200,9,FALSE()),"?"))</f>
        <v>Caribbean community</v>
      </c>
    </row>
    <row r="1258" spans="1:19" x14ac:dyDescent="0.2">
      <c r="A1258" t="s">
        <v>4642</v>
      </c>
      <c r="B1258" t="s">
        <v>213</v>
      </c>
      <c r="C1258" t="s">
        <v>1412</v>
      </c>
      <c r="D1258" t="s">
        <v>1599</v>
      </c>
      <c r="E1258" t="s">
        <v>214</v>
      </c>
      <c r="F1258" t="s">
        <v>1612</v>
      </c>
      <c r="N1258" t="s">
        <v>228</v>
      </c>
      <c r="O1258" t="s">
        <v>4622</v>
      </c>
      <c r="P1258" t="s">
        <v>4643</v>
      </c>
      <c r="Q1258" t="str">
        <f>IF($C1258="","",IFERROR(VLOOKUP($C1258,sources!$A$2:$N$200,2,FALSE()),"?"))</f>
        <v>Web compilation</v>
      </c>
      <c r="S1258" t="str">
        <f>IF($C1258="","",IFERROR(VLOOKUP($C1258,sources!$A$2:$N$200,9,FALSE()),"?"))</f>
        <v>Caribbean community</v>
      </c>
    </row>
    <row r="1259" spans="1:19" x14ac:dyDescent="0.2">
      <c r="A1259" t="s">
        <v>4644</v>
      </c>
      <c r="B1259" t="s">
        <v>272</v>
      </c>
      <c r="C1259" t="s">
        <v>1412</v>
      </c>
      <c r="D1259" t="s">
        <v>1599</v>
      </c>
      <c r="E1259" t="s">
        <v>273</v>
      </c>
      <c r="F1259" t="s">
        <v>1612</v>
      </c>
      <c r="N1259" t="s">
        <v>222</v>
      </c>
      <c r="O1259" t="s">
        <v>4645</v>
      </c>
      <c r="P1259" t="s">
        <v>4646</v>
      </c>
      <c r="Q1259" t="str">
        <f>IF($C1259="","",IFERROR(VLOOKUP($C1259,sources!$A$2:$N$200,2,FALSE()),"?"))</f>
        <v>Web compilation</v>
      </c>
      <c r="S1259" t="str">
        <f>IF($C1259="","",IFERROR(VLOOKUP($C1259,sources!$A$2:$N$200,9,FALSE()),"?"))</f>
        <v>Caribbean community</v>
      </c>
    </row>
    <row r="1260" spans="1:19" x14ac:dyDescent="0.2">
      <c r="A1260" t="s">
        <v>4647</v>
      </c>
      <c r="B1260" t="s">
        <v>284</v>
      </c>
      <c r="C1260" t="s">
        <v>1412</v>
      </c>
      <c r="D1260" t="s">
        <v>1599</v>
      </c>
      <c r="E1260" t="s">
        <v>285</v>
      </c>
      <c r="F1260" t="s">
        <v>1612</v>
      </c>
      <c r="N1260" t="s">
        <v>228</v>
      </c>
      <c r="O1260" t="s">
        <v>4648</v>
      </c>
      <c r="P1260" t="s">
        <v>4649</v>
      </c>
      <c r="Q1260" t="str">
        <f>IF($C1260="","",IFERROR(VLOOKUP($C1260,sources!$A$2:$N$200,2,FALSE()),"?"))</f>
        <v>Web compilation</v>
      </c>
      <c r="S1260" t="str">
        <f>IF($C1260="","",IFERROR(VLOOKUP($C1260,sources!$A$2:$N$200,9,FALSE()),"?"))</f>
        <v>Caribbean community</v>
      </c>
    </row>
    <row r="1261" spans="1:19" x14ac:dyDescent="0.2">
      <c r="A1261" t="s">
        <v>4650</v>
      </c>
      <c r="B1261" t="s">
        <v>405</v>
      </c>
      <c r="C1261" t="s">
        <v>1412</v>
      </c>
      <c r="D1261" t="s">
        <v>1666</v>
      </c>
      <c r="E1261" t="s">
        <v>406</v>
      </c>
      <c r="F1261" t="s">
        <v>1612</v>
      </c>
      <c r="N1261" t="s">
        <v>228</v>
      </c>
      <c r="O1261" t="s">
        <v>4625</v>
      </c>
      <c r="P1261" t="s">
        <v>4626</v>
      </c>
      <c r="Q1261" t="str">
        <f>IF($C1261="","",IFERROR(VLOOKUP($C1261,sources!$A$2:$N$200,2,FALSE()),"?"))</f>
        <v>Web compilation</v>
      </c>
      <c r="S1261" t="str">
        <f>IF($C1261="","",IFERROR(VLOOKUP($C1261,sources!$A$2:$N$200,9,FALSE()),"?"))</f>
        <v>Caribbean community</v>
      </c>
    </row>
    <row r="1262" spans="1:19" x14ac:dyDescent="0.2">
      <c r="A1262" t="s">
        <v>4651</v>
      </c>
      <c r="B1262" t="s">
        <v>611</v>
      </c>
      <c r="C1262" t="s">
        <v>1412</v>
      </c>
      <c r="D1262" t="s">
        <v>1599</v>
      </c>
      <c r="E1262" t="s">
        <v>612</v>
      </c>
      <c r="F1262" t="s">
        <v>1612</v>
      </c>
      <c r="N1262" t="s">
        <v>222</v>
      </c>
      <c r="O1262" t="s">
        <v>4625</v>
      </c>
      <c r="P1262" t="s">
        <v>4652</v>
      </c>
      <c r="Q1262" t="str">
        <f>IF($C1262="","",IFERROR(VLOOKUP($C1262,sources!$A$2:$N$200,2,FALSE()),"?"))</f>
        <v>Web compilation</v>
      </c>
      <c r="S1262" t="str">
        <f>IF($C1262="","",IFERROR(VLOOKUP($C1262,sources!$A$2:$N$200,9,FALSE()),"?"))</f>
        <v>Caribbean community</v>
      </c>
    </row>
    <row r="1263" spans="1:19" x14ac:dyDescent="0.2">
      <c r="A1263" t="s">
        <v>4653</v>
      </c>
      <c r="B1263" t="s">
        <v>230</v>
      </c>
      <c r="C1263" t="s">
        <v>1412</v>
      </c>
      <c r="D1263" t="s">
        <v>1666</v>
      </c>
      <c r="E1263" t="s">
        <v>231</v>
      </c>
      <c r="F1263" t="s">
        <v>1612</v>
      </c>
      <c r="N1263" t="s">
        <v>228</v>
      </c>
      <c r="O1263" t="s">
        <v>4625</v>
      </c>
      <c r="P1263" t="s">
        <v>4626</v>
      </c>
      <c r="Q1263" t="str">
        <f>IF($C1263="","",IFERROR(VLOOKUP($C1263,sources!$A$2:$N$200,2,FALSE()),"?"))</f>
        <v>Web compilation</v>
      </c>
      <c r="S1263" t="str">
        <f>IF($C1263="","",IFERROR(VLOOKUP($C1263,sources!$A$2:$N$200,9,FALSE()),"?"))</f>
        <v>Caribbean community</v>
      </c>
    </row>
    <row r="1264" spans="1:19" x14ac:dyDescent="0.2">
      <c r="A1264" t="s">
        <v>4654</v>
      </c>
      <c r="B1264" t="s">
        <v>484</v>
      </c>
      <c r="C1264" t="s">
        <v>1412</v>
      </c>
      <c r="D1264" t="s">
        <v>1599</v>
      </c>
      <c r="E1264" t="s">
        <v>485</v>
      </c>
      <c r="F1264" t="s">
        <v>1612</v>
      </c>
      <c r="N1264" t="s">
        <v>228</v>
      </c>
      <c r="O1264" t="s">
        <v>4655</v>
      </c>
      <c r="P1264" t="s">
        <v>4656</v>
      </c>
      <c r="Q1264" t="str">
        <f>IF($C1264="","",IFERROR(VLOOKUP($C1264,sources!$A$2:$N$200,2,FALSE()),"?"))</f>
        <v>Web compilation</v>
      </c>
      <c r="S1264" t="str">
        <f>IF($C1264="","",IFERROR(VLOOKUP($C1264,sources!$A$2:$N$200,9,FALSE()),"?"))</f>
        <v>Caribbean community</v>
      </c>
    </row>
    <row r="1265" spans="1:19" x14ac:dyDescent="0.2">
      <c r="A1265" t="s">
        <v>4657</v>
      </c>
      <c r="B1265" t="s">
        <v>417</v>
      </c>
      <c r="C1265" t="s">
        <v>1412</v>
      </c>
      <c r="D1265" t="s">
        <v>1666</v>
      </c>
      <c r="E1265" t="s">
        <v>418</v>
      </c>
      <c r="F1265" t="s">
        <v>1612</v>
      </c>
      <c r="N1265" t="s">
        <v>228</v>
      </c>
      <c r="O1265" t="s">
        <v>4625</v>
      </c>
      <c r="P1265" t="s">
        <v>4626</v>
      </c>
      <c r="Q1265" t="str">
        <f>IF($C1265="","",IFERROR(VLOOKUP($C1265,sources!$A$2:$N$200,2,FALSE()),"?"))</f>
        <v>Web compilation</v>
      </c>
      <c r="S1265" t="str">
        <f>IF($C1265="","",IFERROR(VLOOKUP($C1265,sources!$A$2:$N$200,9,FALSE()),"?"))</f>
        <v>Caribbean community</v>
      </c>
    </row>
    <row r="1266" spans="1:19" x14ac:dyDescent="0.2">
      <c r="A1266" t="s">
        <v>4658</v>
      </c>
      <c r="B1266" t="s">
        <v>668</v>
      </c>
      <c r="C1266" t="s">
        <v>1412</v>
      </c>
      <c r="D1266" t="s">
        <v>1666</v>
      </c>
      <c r="E1266" t="s">
        <v>669</v>
      </c>
      <c r="F1266" t="s">
        <v>1612</v>
      </c>
      <c r="N1266" t="s">
        <v>228</v>
      </c>
      <c r="O1266" t="s">
        <v>4625</v>
      </c>
      <c r="P1266" t="s">
        <v>4626</v>
      </c>
      <c r="Q1266" t="str">
        <f>IF($C1266="","",IFERROR(VLOOKUP($C1266,sources!$A$2:$N$200,2,FALSE()),"?"))</f>
        <v>Web compilation</v>
      </c>
      <c r="S1266" t="str">
        <f>IF($C1266="","",IFERROR(VLOOKUP($C1266,sources!$A$2:$N$200,9,FALSE()),"?"))</f>
        <v>Caribbean community</v>
      </c>
    </row>
    <row r="1267" spans="1:19" x14ac:dyDescent="0.2">
      <c r="A1267" t="s">
        <v>4659</v>
      </c>
      <c r="B1267" t="s">
        <v>802</v>
      </c>
      <c r="C1267" t="s">
        <v>1412</v>
      </c>
      <c r="D1267" t="s">
        <v>1666</v>
      </c>
      <c r="E1267" t="s">
        <v>803</v>
      </c>
      <c r="F1267" t="s">
        <v>1612</v>
      </c>
      <c r="N1267" t="s">
        <v>228</v>
      </c>
      <c r="O1267" t="s">
        <v>4625</v>
      </c>
      <c r="P1267" t="s">
        <v>4626</v>
      </c>
      <c r="Q1267" t="str">
        <f>IF($C1267="","",IFERROR(VLOOKUP($C1267,sources!$A$2:$N$200,2,FALSE()),"?"))</f>
        <v>Web compilation</v>
      </c>
      <c r="S1267" t="str">
        <f>IF($C1267="","",IFERROR(VLOOKUP($C1267,sources!$A$2:$N$200,9,FALSE()),"?"))</f>
        <v>Caribbean community</v>
      </c>
    </row>
    <row r="1268" spans="1:19" x14ac:dyDescent="0.2">
      <c r="A1268" t="s">
        <v>4660</v>
      </c>
      <c r="B1268" t="s">
        <v>649</v>
      </c>
      <c r="C1268" t="s">
        <v>1412</v>
      </c>
      <c r="D1268" t="s">
        <v>1666</v>
      </c>
      <c r="E1268" t="s">
        <v>650</v>
      </c>
      <c r="F1268" t="s">
        <v>1612</v>
      </c>
      <c r="N1268" t="s">
        <v>228</v>
      </c>
      <c r="O1268" t="s">
        <v>4625</v>
      </c>
      <c r="P1268" t="s">
        <v>4626</v>
      </c>
      <c r="Q1268" t="str">
        <f>IF($C1268="","",IFERROR(VLOOKUP($C1268,sources!$A$2:$N$200,2,FALSE()),"?"))</f>
        <v>Web compilation</v>
      </c>
      <c r="S1268" t="str">
        <f>IF($C1268="","",IFERROR(VLOOKUP($C1268,sources!$A$2:$N$200,9,FALSE()),"?"))</f>
        <v>Caribbean community</v>
      </c>
    </row>
    <row r="1269" spans="1:19" x14ac:dyDescent="0.2">
      <c r="A1269" t="s">
        <v>4661</v>
      </c>
      <c r="B1269" t="s">
        <v>522</v>
      </c>
      <c r="C1269" t="s">
        <v>1412</v>
      </c>
      <c r="D1269" t="s">
        <v>1666</v>
      </c>
      <c r="E1269" t="s">
        <v>523</v>
      </c>
      <c r="F1269" t="s">
        <v>1612</v>
      </c>
      <c r="N1269" t="s">
        <v>228</v>
      </c>
      <c r="O1269" t="s">
        <v>4625</v>
      </c>
      <c r="P1269" t="s">
        <v>4626</v>
      </c>
      <c r="Q1269" t="str">
        <f>IF($C1269="","",IFERROR(VLOOKUP($C1269,sources!$A$2:$N$200,2,FALSE()),"?"))</f>
        <v>Web compilation</v>
      </c>
      <c r="S1269" t="str">
        <f>IF($C1269="","",IFERROR(VLOOKUP($C1269,sources!$A$2:$N$200,9,FALSE()),"?"))</f>
        <v>Caribbean community</v>
      </c>
    </row>
    <row r="1270" spans="1:19" x14ac:dyDescent="0.2">
      <c r="A1270" t="s">
        <v>4662</v>
      </c>
      <c r="B1270" t="s">
        <v>654</v>
      </c>
      <c r="C1270" t="s">
        <v>1412</v>
      </c>
      <c r="D1270" t="s">
        <v>1666</v>
      </c>
      <c r="E1270" t="s">
        <v>655</v>
      </c>
      <c r="F1270" t="s">
        <v>1612</v>
      </c>
      <c r="N1270" t="s">
        <v>228</v>
      </c>
      <c r="O1270" t="s">
        <v>4625</v>
      </c>
      <c r="P1270" t="s">
        <v>4626</v>
      </c>
      <c r="Q1270" t="str">
        <f>IF($C1270="","",IFERROR(VLOOKUP($C1270,sources!$A$2:$N$200,2,FALSE()),"?"))</f>
        <v>Web compilation</v>
      </c>
      <c r="S1270" t="str">
        <f>IF($C1270="","",IFERROR(VLOOKUP($C1270,sources!$A$2:$N$200,9,FALSE()),"?"))</f>
        <v>Caribbean community</v>
      </c>
    </row>
    <row r="1271" spans="1:19" x14ac:dyDescent="0.2">
      <c r="A1271" t="s">
        <v>4663</v>
      </c>
      <c r="B1271" t="s">
        <v>835</v>
      </c>
      <c r="C1271" t="s">
        <v>1412</v>
      </c>
      <c r="D1271" t="s">
        <v>1666</v>
      </c>
      <c r="E1271" t="s">
        <v>836</v>
      </c>
      <c r="F1271" t="s">
        <v>1612</v>
      </c>
      <c r="N1271" t="s">
        <v>228</v>
      </c>
      <c r="O1271" t="s">
        <v>4625</v>
      </c>
      <c r="P1271" t="s">
        <v>4626</v>
      </c>
      <c r="Q1271" t="str">
        <f>IF($C1271="","",IFERROR(VLOOKUP($C1271,sources!$A$2:$N$200,2,FALSE()),"?"))</f>
        <v>Web compilation</v>
      </c>
      <c r="S1271" t="str">
        <f>IF($C1271="","",IFERROR(VLOOKUP($C1271,sources!$A$2:$N$200,9,FALSE()),"?"))</f>
        <v>Caribbean community</v>
      </c>
    </row>
    <row r="1272" spans="1:19" x14ac:dyDescent="0.2">
      <c r="A1272" t="s">
        <v>4664</v>
      </c>
      <c r="B1272" t="s">
        <v>462</v>
      </c>
      <c r="C1272" t="s">
        <v>1412</v>
      </c>
      <c r="D1272" t="s">
        <v>1599</v>
      </c>
      <c r="E1272" t="s">
        <v>463</v>
      </c>
      <c r="F1272" t="s">
        <v>1612</v>
      </c>
      <c r="N1272" t="s">
        <v>222</v>
      </c>
      <c r="O1272" t="s">
        <v>4665</v>
      </c>
      <c r="P1272" t="s">
        <v>4666</v>
      </c>
      <c r="Q1272" t="str">
        <f>IF($C1272="","",IFERROR(VLOOKUP($C1272,sources!$A$2:$N$200,2,FALSE()),"?"))</f>
        <v>Web compilation</v>
      </c>
      <c r="S1272" t="str">
        <f>IF($C1272="","",IFERROR(VLOOKUP($C1272,sources!$A$2:$N$200,9,FALSE()),"?"))</f>
        <v>Caribbean community</v>
      </c>
    </row>
    <row r="1273" spans="1:19" x14ac:dyDescent="0.2">
      <c r="A1273" t="s">
        <v>4667</v>
      </c>
      <c r="B1273" t="s">
        <v>614</v>
      </c>
      <c r="C1273" t="s">
        <v>1412</v>
      </c>
      <c r="D1273" t="s">
        <v>1666</v>
      </c>
      <c r="E1273" t="s">
        <v>615</v>
      </c>
      <c r="F1273" t="s">
        <v>1612</v>
      </c>
      <c r="N1273" t="s">
        <v>228</v>
      </c>
      <c r="O1273" t="s">
        <v>4625</v>
      </c>
      <c r="P1273" t="s">
        <v>4626</v>
      </c>
      <c r="Q1273" t="str">
        <f>IF($C1273="","",IFERROR(VLOOKUP($C1273,sources!$A$2:$N$200,2,FALSE()),"?"))</f>
        <v>Web compilation</v>
      </c>
      <c r="S1273" t="str">
        <f>IF($C1273="","",IFERROR(VLOOKUP($C1273,sources!$A$2:$N$200,9,FALSE()),"?"))</f>
        <v>Caribbean community</v>
      </c>
    </row>
    <row r="1274" spans="1:19" x14ac:dyDescent="0.2">
      <c r="A1274" t="s">
        <v>4668</v>
      </c>
      <c r="B1274" t="s">
        <v>529</v>
      </c>
      <c r="C1274" t="s">
        <v>1412</v>
      </c>
      <c r="D1274" t="s">
        <v>1599</v>
      </c>
      <c r="E1274" t="s">
        <v>530</v>
      </c>
      <c r="F1274" t="s">
        <v>1612</v>
      </c>
      <c r="N1274" t="s">
        <v>228</v>
      </c>
      <c r="O1274" t="s">
        <v>4622</v>
      </c>
      <c r="P1274" t="s">
        <v>4669</v>
      </c>
      <c r="Q1274" t="str">
        <f>IF($C1274="","",IFERROR(VLOOKUP($C1274,sources!$A$2:$N$200,2,FALSE()),"?"))</f>
        <v>Web compilation</v>
      </c>
      <c r="S1274" t="str">
        <f>IF($C1274="","",IFERROR(VLOOKUP($C1274,sources!$A$2:$N$200,9,FALSE()),"?"))</f>
        <v>Caribbean community</v>
      </c>
    </row>
    <row r="1275" spans="1:19" x14ac:dyDescent="0.2">
      <c r="A1275" t="s">
        <v>4670</v>
      </c>
      <c r="B1275" t="s">
        <v>594</v>
      </c>
      <c r="C1275" t="s">
        <v>1412</v>
      </c>
      <c r="D1275" t="s">
        <v>1666</v>
      </c>
      <c r="E1275" t="s">
        <v>595</v>
      </c>
      <c r="F1275" t="s">
        <v>1612</v>
      </c>
      <c r="N1275" t="s">
        <v>228</v>
      </c>
      <c r="O1275" t="s">
        <v>4625</v>
      </c>
      <c r="P1275" t="s">
        <v>4626</v>
      </c>
      <c r="Q1275" t="str">
        <f>IF($C1275="","",IFERROR(VLOOKUP($C1275,sources!$A$2:$N$200,2,FALSE()),"?"))</f>
        <v>Web compilation</v>
      </c>
      <c r="S1275" t="str">
        <f>IF($C1275="","",IFERROR(VLOOKUP($C1275,sources!$A$2:$N$200,9,FALSE()),"?"))</f>
        <v>Caribbean community</v>
      </c>
    </row>
    <row r="1276" spans="1:19" x14ac:dyDescent="0.2">
      <c r="A1276" t="s">
        <v>4671</v>
      </c>
      <c r="B1276" t="s">
        <v>370</v>
      </c>
      <c r="C1276" t="s">
        <v>1412</v>
      </c>
      <c r="D1276" t="s">
        <v>1599</v>
      </c>
      <c r="E1276" t="s">
        <v>371</v>
      </c>
      <c r="F1276" t="s">
        <v>1612</v>
      </c>
      <c r="N1276" t="s">
        <v>222</v>
      </c>
      <c r="O1276" t="s">
        <v>4672</v>
      </c>
      <c r="P1276" t="s">
        <v>4673</v>
      </c>
      <c r="Q1276" t="str">
        <f>IF($C1276="","",IFERROR(VLOOKUP($C1276,sources!$A$2:$N$200,2,FALSE()),"?"))</f>
        <v>Web compilation</v>
      </c>
      <c r="S1276" t="str">
        <f>IF($C1276="","",IFERROR(VLOOKUP($C1276,sources!$A$2:$N$200,9,FALSE()),"?"))</f>
        <v>Caribbean community</v>
      </c>
    </row>
    <row r="1277" spans="1:19" x14ac:dyDescent="0.2">
      <c r="A1277" t="s">
        <v>4674</v>
      </c>
      <c r="B1277" t="s">
        <v>349</v>
      </c>
      <c r="C1277" t="s">
        <v>1412</v>
      </c>
      <c r="D1277" t="s">
        <v>1599</v>
      </c>
      <c r="E1277" t="s">
        <v>350</v>
      </c>
      <c r="F1277" t="s">
        <v>1612</v>
      </c>
      <c r="N1277" t="s">
        <v>222</v>
      </c>
      <c r="O1277" t="s">
        <v>4675</v>
      </c>
      <c r="P1277" t="s">
        <v>4676</v>
      </c>
      <c r="Q1277" t="str">
        <f>IF($C1277="","",IFERROR(VLOOKUP($C1277,sources!$A$2:$N$200,2,FALSE()),"?"))</f>
        <v>Web compilation</v>
      </c>
      <c r="S1277" t="str">
        <f>IF($C1277="","",IFERROR(VLOOKUP($C1277,sources!$A$2:$N$200,9,FALSE()),"?"))</f>
        <v>Caribbean community</v>
      </c>
    </row>
    <row r="1278" spans="1:19" x14ac:dyDescent="0.2">
      <c r="A1278" t="s">
        <v>4677</v>
      </c>
      <c r="B1278" t="s">
        <v>218</v>
      </c>
      <c r="C1278" t="s">
        <v>1412</v>
      </c>
      <c r="D1278" t="s">
        <v>1599</v>
      </c>
      <c r="E1278" t="s">
        <v>219</v>
      </c>
      <c r="F1278" t="s">
        <v>1612</v>
      </c>
      <c r="N1278" t="s">
        <v>228</v>
      </c>
      <c r="O1278" t="s">
        <v>4622</v>
      </c>
      <c r="P1278" t="s">
        <v>4678</v>
      </c>
      <c r="Q1278" t="str">
        <f>IF($C1278="","",IFERROR(VLOOKUP($C1278,sources!$A$2:$N$200,2,FALSE()),"?"))</f>
        <v>Web compilation</v>
      </c>
      <c r="S1278" t="str">
        <f>IF($C1278="","",IFERROR(VLOOKUP($C1278,sources!$A$2:$N$200,9,FALSE()),"?"))</f>
        <v>Caribbean community</v>
      </c>
    </row>
    <row r="1279" spans="1:19" x14ac:dyDescent="0.2">
      <c r="A1279" t="s">
        <v>4679</v>
      </c>
      <c r="B1279" t="s">
        <v>236</v>
      </c>
      <c r="C1279" t="s">
        <v>1412</v>
      </c>
      <c r="D1279" t="s">
        <v>1666</v>
      </c>
      <c r="E1279" t="s">
        <v>237</v>
      </c>
      <c r="F1279" t="s">
        <v>1612</v>
      </c>
      <c r="N1279" t="s">
        <v>228</v>
      </c>
      <c r="O1279" t="s">
        <v>4625</v>
      </c>
      <c r="P1279" t="s">
        <v>4626</v>
      </c>
      <c r="Q1279" t="str">
        <f>IF($C1279="","",IFERROR(VLOOKUP($C1279,sources!$A$2:$N$200,2,FALSE()),"?"))</f>
        <v>Web compilation</v>
      </c>
      <c r="S1279" t="str">
        <f>IF($C1279="","",IFERROR(VLOOKUP($C1279,sources!$A$2:$N$200,9,FALSE()),"?"))</f>
        <v>Caribbean community</v>
      </c>
    </row>
    <row r="1280" spans="1:19" x14ac:dyDescent="0.2">
      <c r="A1280" t="s">
        <v>4680</v>
      </c>
      <c r="B1280" t="s">
        <v>397</v>
      </c>
      <c r="C1280" t="s">
        <v>1412</v>
      </c>
      <c r="D1280" t="s">
        <v>1599</v>
      </c>
      <c r="E1280" t="s">
        <v>398</v>
      </c>
      <c r="F1280" t="s">
        <v>1612</v>
      </c>
      <c r="N1280" t="s">
        <v>228</v>
      </c>
      <c r="O1280" t="s">
        <v>4655</v>
      </c>
      <c r="P1280" t="s">
        <v>4681</v>
      </c>
      <c r="Q1280" t="str">
        <f>IF($C1280="","",IFERROR(VLOOKUP($C1280,sources!$A$2:$N$200,2,FALSE()),"?"))</f>
        <v>Web compilation</v>
      </c>
      <c r="S1280" t="str">
        <f>IF($C1280="","",IFERROR(VLOOKUP($C1280,sources!$A$2:$N$200,9,FALSE()),"?"))</f>
        <v>Caribbean community</v>
      </c>
    </row>
    <row r="1281" spans="1:19" x14ac:dyDescent="0.2">
      <c r="A1281" t="s">
        <v>4682</v>
      </c>
      <c r="B1281" t="s">
        <v>266</v>
      </c>
      <c r="C1281" t="s">
        <v>1412</v>
      </c>
      <c r="D1281" t="s">
        <v>1599</v>
      </c>
      <c r="E1281" t="s">
        <v>267</v>
      </c>
      <c r="F1281" t="s">
        <v>1612</v>
      </c>
      <c r="N1281" t="s">
        <v>222</v>
      </c>
      <c r="O1281" t="s">
        <v>4683</v>
      </c>
      <c r="P1281" t="s">
        <v>4684</v>
      </c>
      <c r="Q1281" t="str">
        <f>IF($C1281="","",IFERROR(VLOOKUP($C1281,sources!$A$2:$N$200,2,FALSE()),"?"))</f>
        <v>Web compilation</v>
      </c>
      <c r="S1281" t="str">
        <f>IF($C1281="","",IFERROR(VLOOKUP($C1281,sources!$A$2:$N$200,9,FALSE()),"?"))</f>
        <v>Caribbean community</v>
      </c>
    </row>
    <row r="1282" spans="1:19" x14ac:dyDescent="0.2">
      <c r="A1282" t="s">
        <v>4685</v>
      </c>
      <c r="B1282" t="s">
        <v>599</v>
      </c>
      <c r="C1282" t="s">
        <v>1412</v>
      </c>
      <c r="D1282" t="s">
        <v>1666</v>
      </c>
      <c r="E1282" t="s">
        <v>600</v>
      </c>
      <c r="F1282" t="s">
        <v>1612</v>
      </c>
      <c r="N1282" t="s">
        <v>228</v>
      </c>
      <c r="O1282" t="s">
        <v>4625</v>
      </c>
      <c r="P1282" t="s">
        <v>4626</v>
      </c>
      <c r="Q1282" t="str">
        <f>IF($C1282="","",IFERROR(VLOOKUP($C1282,sources!$A$2:$N$200,2,FALSE()),"?"))</f>
        <v>Web compilation</v>
      </c>
      <c r="S1282" t="str">
        <f>IF($C1282="","",IFERROR(VLOOKUP($C1282,sources!$A$2:$N$200,9,FALSE()),"?"))</f>
        <v>Caribbean community</v>
      </c>
    </row>
    <row r="1283" spans="1:19" x14ac:dyDescent="0.2">
      <c r="A1283" t="s">
        <v>4686</v>
      </c>
      <c r="B1283" t="s">
        <v>471</v>
      </c>
      <c r="C1283" t="s">
        <v>1412</v>
      </c>
      <c r="D1283" t="s">
        <v>1599</v>
      </c>
      <c r="E1283" t="s">
        <v>472</v>
      </c>
      <c r="F1283" t="s">
        <v>1612</v>
      </c>
      <c r="N1283" t="s">
        <v>228</v>
      </c>
      <c r="O1283" t="s">
        <v>4622</v>
      </c>
      <c r="P1283" t="s">
        <v>4687</v>
      </c>
      <c r="Q1283" t="str">
        <f>IF($C1283="","",IFERROR(VLOOKUP($C1283,sources!$A$2:$N$200,2,FALSE()),"?"))</f>
        <v>Web compilation</v>
      </c>
      <c r="S1283" t="str">
        <f>IF($C1283="","",IFERROR(VLOOKUP($C1283,sources!$A$2:$N$200,9,FALSE()),"?"))</f>
        <v>Caribbean community</v>
      </c>
    </row>
    <row r="1284" spans="1:19" x14ac:dyDescent="0.2">
      <c r="A1284" t="s">
        <v>4688</v>
      </c>
      <c r="B1284" t="s">
        <v>494</v>
      </c>
      <c r="C1284" t="s">
        <v>1412</v>
      </c>
      <c r="D1284" t="s">
        <v>1599</v>
      </c>
      <c r="E1284" t="s">
        <v>495</v>
      </c>
      <c r="F1284" t="s">
        <v>1612</v>
      </c>
      <c r="N1284" t="s">
        <v>228</v>
      </c>
      <c r="O1284" t="s">
        <v>4648</v>
      </c>
      <c r="P1284" t="s">
        <v>4689</v>
      </c>
      <c r="Q1284" t="str">
        <f>IF($C1284="","",IFERROR(VLOOKUP($C1284,sources!$A$2:$N$200,2,FALSE()),"?"))</f>
        <v>Web compilation</v>
      </c>
      <c r="S1284" t="str">
        <f>IF($C1284="","",IFERROR(VLOOKUP($C1284,sources!$A$2:$N$200,9,FALSE()),"?"))</f>
        <v>Caribbean community</v>
      </c>
    </row>
    <row r="1285" spans="1:19" x14ac:dyDescent="0.2">
      <c r="A1285" t="s">
        <v>4690</v>
      </c>
      <c r="B1285" t="s">
        <v>665</v>
      </c>
      <c r="C1285" t="s">
        <v>1412</v>
      </c>
      <c r="D1285" t="s">
        <v>1666</v>
      </c>
      <c r="E1285" t="s">
        <v>666</v>
      </c>
      <c r="F1285" t="s">
        <v>1612</v>
      </c>
      <c r="N1285" t="s">
        <v>228</v>
      </c>
      <c r="O1285" t="s">
        <v>4625</v>
      </c>
      <c r="P1285" t="s">
        <v>4626</v>
      </c>
      <c r="Q1285" t="str">
        <f>IF($C1285="","",IFERROR(VLOOKUP($C1285,sources!$A$2:$N$200,2,FALSE()),"?"))</f>
        <v>Web compilation</v>
      </c>
      <c r="S1285" t="str">
        <f>IF($C1285="","",IFERROR(VLOOKUP($C1285,sources!$A$2:$N$200,9,FALSE()),"?"))</f>
        <v>Caribbean community</v>
      </c>
    </row>
    <row r="1286" spans="1:19" x14ac:dyDescent="0.2">
      <c r="A1286" t="s">
        <v>4691</v>
      </c>
      <c r="B1286" t="s">
        <v>491</v>
      </c>
      <c r="C1286" t="s">
        <v>1412</v>
      </c>
      <c r="D1286" t="s">
        <v>1666</v>
      </c>
      <c r="E1286" t="s">
        <v>492</v>
      </c>
      <c r="F1286" t="s">
        <v>1612</v>
      </c>
      <c r="N1286" t="s">
        <v>228</v>
      </c>
      <c r="O1286" t="s">
        <v>4625</v>
      </c>
      <c r="P1286" t="s">
        <v>4626</v>
      </c>
      <c r="Q1286" t="str">
        <f>IF($C1286="","",IFERROR(VLOOKUP($C1286,sources!$A$2:$N$200,2,FALSE()),"?"))</f>
        <v>Web compilation</v>
      </c>
      <c r="S1286" t="str">
        <f>IF($C1286="","",IFERROR(VLOOKUP($C1286,sources!$A$2:$N$200,9,FALSE()),"?"))</f>
        <v>Caribbean community</v>
      </c>
    </row>
    <row r="1287" spans="1:19" x14ac:dyDescent="0.2">
      <c r="A1287" t="s">
        <v>4692</v>
      </c>
      <c r="B1287" t="s">
        <v>252</v>
      </c>
      <c r="C1287" t="s">
        <v>1412</v>
      </c>
      <c r="D1287" t="s">
        <v>1599</v>
      </c>
      <c r="E1287" t="s">
        <v>253</v>
      </c>
      <c r="F1287" t="s">
        <v>1612</v>
      </c>
      <c r="N1287" t="s">
        <v>222</v>
      </c>
      <c r="O1287" t="s">
        <v>4693</v>
      </c>
      <c r="P1287" t="s">
        <v>4694</v>
      </c>
      <c r="Q1287" t="str">
        <f>IF($C1287="","",IFERROR(VLOOKUP($C1287,sources!$A$2:$N$200,2,FALSE()),"?"))</f>
        <v>Web compilation</v>
      </c>
      <c r="S1287" t="str">
        <f>IF($C1287="","",IFERROR(VLOOKUP($C1287,sources!$A$2:$N$200,9,FALSE()),"?"))</f>
        <v>Caribbean community</v>
      </c>
    </row>
    <row r="1288" spans="1:19" x14ac:dyDescent="0.2">
      <c r="A1288" t="s">
        <v>4695</v>
      </c>
      <c r="B1288" t="s">
        <v>313</v>
      </c>
      <c r="C1288" t="s">
        <v>1412</v>
      </c>
      <c r="D1288" t="s">
        <v>1666</v>
      </c>
      <c r="E1288" t="s">
        <v>314</v>
      </c>
      <c r="F1288" t="s">
        <v>1612</v>
      </c>
      <c r="N1288" t="s">
        <v>228</v>
      </c>
      <c r="O1288" t="s">
        <v>4625</v>
      </c>
      <c r="P1288" t="s">
        <v>4626</v>
      </c>
      <c r="Q1288" t="str">
        <f>IF($C1288="","",IFERROR(VLOOKUP($C1288,sources!$A$2:$N$200,2,FALSE()),"?"))</f>
        <v>Web compilation</v>
      </c>
      <c r="S1288" t="str">
        <f>IF($C1288="","",IFERROR(VLOOKUP($C1288,sources!$A$2:$N$200,9,FALSE()),"?"))</f>
        <v>Caribbean community</v>
      </c>
    </row>
    <row r="1289" spans="1:19" x14ac:dyDescent="0.2">
      <c r="A1289" t="s">
        <v>4696</v>
      </c>
      <c r="B1289" t="s">
        <v>306</v>
      </c>
      <c r="C1289" t="s">
        <v>1412</v>
      </c>
      <c r="D1289" t="s">
        <v>1666</v>
      </c>
      <c r="E1289" t="s">
        <v>307</v>
      </c>
      <c r="F1289" t="s">
        <v>1612</v>
      </c>
      <c r="N1289" t="s">
        <v>228</v>
      </c>
      <c r="O1289" t="s">
        <v>4625</v>
      </c>
      <c r="P1289" t="s">
        <v>4626</v>
      </c>
      <c r="Q1289" t="str">
        <f>IF($C1289="","",IFERROR(VLOOKUP($C1289,sources!$A$2:$N$200,2,FALSE()),"?"))</f>
        <v>Web compilation</v>
      </c>
      <c r="S1289" t="str">
        <f>IF($C1289="","",IFERROR(VLOOKUP($C1289,sources!$A$2:$N$200,9,FALSE()),"?"))</f>
        <v>Caribbean community</v>
      </c>
    </row>
    <row r="1290" spans="1:19" x14ac:dyDescent="0.2">
      <c r="A1290" t="s">
        <v>4697</v>
      </c>
      <c r="B1290" t="s">
        <v>506</v>
      </c>
      <c r="C1290" t="s">
        <v>1412</v>
      </c>
      <c r="D1290" t="s">
        <v>1599</v>
      </c>
      <c r="E1290" t="s">
        <v>507</v>
      </c>
      <c r="F1290" t="s">
        <v>1612</v>
      </c>
      <c r="N1290" t="s">
        <v>228</v>
      </c>
      <c r="O1290" t="s">
        <v>4648</v>
      </c>
      <c r="P1290" t="s">
        <v>4698</v>
      </c>
      <c r="Q1290" t="str">
        <f>IF($C1290="","",IFERROR(VLOOKUP($C1290,sources!$A$2:$N$200,2,FALSE()),"?"))</f>
        <v>Web compilation</v>
      </c>
      <c r="S1290" t="str">
        <f>IF($C1290="","",IFERROR(VLOOKUP($C1290,sources!$A$2:$N$200,9,FALSE()),"?"))</f>
        <v>Caribbean community</v>
      </c>
    </row>
    <row r="1291" spans="1:19" x14ac:dyDescent="0.2">
      <c r="A1291" t="s">
        <v>4699</v>
      </c>
      <c r="B1291" t="s">
        <v>557</v>
      </c>
      <c r="C1291" t="s">
        <v>1412</v>
      </c>
      <c r="D1291" t="s">
        <v>1599</v>
      </c>
      <c r="E1291" t="s">
        <v>558</v>
      </c>
      <c r="F1291" t="s">
        <v>1612</v>
      </c>
      <c r="N1291" t="s">
        <v>222</v>
      </c>
      <c r="O1291" t="s">
        <v>4700</v>
      </c>
      <c r="P1291" t="s">
        <v>4701</v>
      </c>
      <c r="Q1291" t="str">
        <f>IF($C1291="","",IFERROR(VLOOKUP($C1291,sources!$A$2:$N$200,2,FALSE()),"?"))</f>
        <v>Web compilation</v>
      </c>
      <c r="S1291" t="str">
        <f>IF($C1291="","",IFERROR(VLOOKUP($C1291,sources!$A$2:$N$200,9,FALSE()),"?"))</f>
        <v>Caribbean community</v>
      </c>
    </row>
    <row r="1292" spans="1:19" x14ac:dyDescent="0.2">
      <c r="A1292" t="s">
        <v>4702</v>
      </c>
      <c r="B1292" t="s">
        <v>553</v>
      </c>
      <c r="C1292" t="s">
        <v>1412</v>
      </c>
      <c r="D1292" t="s">
        <v>1599</v>
      </c>
      <c r="E1292" t="s">
        <v>554</v>
      </c>
      <c r="F1292" t="s">
        <v>1612</v>
      </c>
      <c r="N1292" t="s">
        <v>228</v>
      </c>
      <c r="O1292" t="s">
        <v>4655</v>
      </c>
      <c r="P1292" t="s">
        <v>4703</v>
      </c>
      <c r="Q1292" t="str">
        <f>IF($C1292="","",IFERROR(VLOOKUP($C1292,sources!$A$2:$N$200,2,FALSE()),"?"))</f>
        <v>Web compilation</v>
      </c>
      <c r="S1292" t="str">
        <f>IF($C1292="","",IFERROR(VLOOKUP($C1292,sources!$A$2:$N$200,9,FALSE()),"?"))</f>
        <v>Caribbean community</v>
      </c>
    </row>
    <row r="1293" spans="1:19" x14ac:dyDescent="0.2">
      <c r="A1293" t="s">
        <v>4704</v>
      </c>
      <c r="B1293" t="s">
        <v>373</v>
      </c>
      <c r="C1293" t="s">
        <v>1412</v>
      </c>
      <c r="D1293" t="s">
        <v>1599</v>
      </c>
      <c r="E1293" t="s">
        <v>374</v>
      </c>
      <c r="F1293" t="s">
        <v>1612</v>
      </c>
      <c r="N1293" t="s">
        <v>222</v>
      </c>
      <c r="O1293" t="s">
        <v>4633</v>
      </c>
      <c r="P1293" t="s">
        <v>4705</v>
      </c>
      <c r="Q1293" t="str">
        <f>IF($C1293="","",IFERROR(VLOOKUP($C1293,sources!$A$2:$N$200,2,FALSE()),"?"))</f>
        <v>Web compilation</v>
      </c>
      <c r="S1293" t="str">
        <f>IF($C1293="","",IFERROR(VLOOKUP($C1293,sources!$A$2:$N$200,9,FALSE()),"?"))</f>
        <v>Caribbean community</v>
      </c>
    </row>
    <row r="1294" spans="1:19" x14ac:dyDescent="0.2">
      <c r="A1294" t="s">
        <v>4706</v>
      </c>
      <c r="B1294" t="s">
        <v>388</v>
      </c>
      <c r="C1294" t="s">
        <v>1412</v>
      </c>
      <c r="D1294" t="s">
        <v>1599</v>
      </c>
      <c r="E1294" t="s">
        <v>389</v>
      </c>
      <c r="F1294" t="s">
        <v>1612</v>
      </c>
      <c r="N1294" t="s">
        <v>222</v>
      </c>
      <c r="O1294" t="s">
        <v>4707</v>
      </c>
      <c r="P1294" t="s">
        <v>4708</v>
      </c>
      <c r="Q1294" t="str">
        <f>IF($C1294="","",IFERROR(VLOOKUP($C1294,sources!$A$2:$N$200,2,FALSE()),"?"))</f>
        <v>Web compilation</v>
      </c>
      <c r="S1294" t="str">
        <f>IF($C1294="","",IFERROR(VLOOKUP($C1294,sources!$A$2:$N$200,9,FALSE()),"?"))</f>
        <v>Caribbean community</v>
      </c>
    </row>
    <row r="1295" spans="1:19" x14ac:dyDescent="0.2">
      <c r="A1295" t="s">
        <v>4709</v>
      </c>
      <c r="B1295" t="s">
        <v>455</v>
      </c>
      <c r="C1295" t="s">
        <v>1412</v>
      </c>
      <c r="D1295" t="s">
        <v>1666</v>
      </c>
      <c r="E1295" t="s">
        <v>456</v>
      </c>
      <c r="F1295" t="s">
        <v>1612</v>
      </c>
      <c r="N1295" t="s">
        <v>228</v>
      </c>
      <c r="O1295" t="s">
        <v>4625</v>
      </c>
      <c r="P1295" t="s">
        <v>4626</v>
      </c>
      <c r="Q1295" t="str">
        <f>IF($C1295="","",IFERROR(VLOOKUP($C1295,sources!$A$2:$N$200,2,FALSE()),"?"))</f>
        <v>Web compilation</v>
      </c>
      <c r="S1295" t="str">
        <f>IF($C1295="","",IFERROR(VLOOKUP($C1295,sources!$A$2:$N$200,9,FALSE()),"?"))</f>
        <v>Caribbean community</v>
      </c>
    </row>
    <row r="1296" spans="1:19" x14ac:dyDescent="0.2">
      <c r="A1296" t="s">
        <v>4710</v>
      </c>
      <c r="B1296" t="s">
        <v>644</v>
      </c>
      <c r="C1296" t="s">
        <v>1412</v>
      </c>
      <c r="D1296" t="s">
        <v>1599</v>
      </c>
      <c r="E1296" t="s">
        <v>645</v>
      </c>
      <c r="F1296" t="s">
        <v>1612</v>
      </c>
      <c r="N1296" t="s">
        <v>228</v>
      </c>
      <c r="O1296" t="s">
        <v>4622</v>
      </c>
      <c r="P1296" t="s">
        <v>4711</v>
      </c>
      <c r="Q1296" t="str">
        <f>IF($C1296="","",IFERROR(VLOOKUP($C1296,sources!$A$2:$N$200,2,FALSE()),"?"))</f>
        <v>Web compilation</v>
      </c>
      <c r="S1296" t="str">
        <f>IF($C1296="","",IFERROR(VLOOKUP($C1296,sources!$A$2:$N$200,9,FALSE()),"?"))</f>
        <v>Caribbean community</v>
      </c>
    </row>
    <row r="1297" spans="1:19" x14ac:dyDescent="0.2">
      <c r="A1297" t="s">
        <v>4712</v>
      </c>
      <c r="B1297" t="s">
        <v>261</v>
      </c>
      <c r="C1297" t="s">
        <v>1412</v>
      </c>
      <c r="D1297" t="s">
        <v>1599</v>
      </c>
      <c r="E1297" t="s">
        <v>262</v>
      </c>
      <c r="F1297" t="s">
        <v>1612</v>
      </c>
      <c r="N1297" t="s">
        <v>222</v>
      </c>
      <c r="O1297" t="s">
        <v>4713</v>
      </c>
      <c r="P1297" t="s">
        <v>4714</v>
      </c>
      <c r="Q1297" t="str">
        <f>IF($C1297="","",IFERROR(VLOOKUP($C1297,sources!$A$2:$N$200,2,FALSE()),"?"))</f>
        <v>Web compilation</v>
      </c>
      <c r="S1297" t="str">
        <f>IF($C1297="","",IFERROR(VLOOKUP($C1297,sources!$A$2:$N$200,9,FALSE()),"?"))</f>
        <v>Caribbean community</v>
      </c>
    </row>
    <row r="1298" spans="1:19" x14ac:dyDescent="0.2">
      <c r="A1298" t="s">
        <v>4715</v>
      </c>
      <c r="B1298" t="s">
        <v>584</v>
      </c>
      <c r="C1298" t="s">
        <v>1412</v>
      </c>
      <c r="D1298" t="s">
        <v>1599</v>
      </c>
      <c r="E1298" t="s">
        <v>585</v>
      </c>
      <c r="F1298" t="s">
        <v>1612</v>
      </c>
      <c r="N1298" t="s">
        <v>222</v>
      </c>
      <c r="O1298" t="s">
        <v>4625</v>
      </c>
      <c r="P1298" t="s">
        <v>4716</v>
      </c>
      <c r="Q1298" t="str">
        <f>IF($C1298="","",IFERROR(VLOOKUP($C1298,sources!$A$2:$N$200,2,FALSE()),"?"))</f>
        <v>Web compilation</v>
      </c>
      <c r="S1298" t="str">
        <f>IF($C1298="","",IFERROR(VLOOKUP($C1298,sources!$A$2:$N$200,9,FALSE()),"?"))</f>
        <v>Caribbean community</v>
      </c>
    </row>
    <row r="1299" spans="1:19" x14ac:dyDescent="0.2">
      <c r="A1299" t="s">
        <v>4717</v>
      </c>
      <c r="B1299" t="s">
        <v>452</v>
      </c>
      <c r="C1299" t="s">
        <v>1412</v>
      </c>
      <c r="D1299" t="s">
        <v>1666</v>
      </c>
      <c r="E1299" t="s">
        <v>453</v>
      </c>
      <c r="F1299" t="s">
        <v>1612</v>
      </c>
      <c r="N1299" t="s">
        <v>228</v>
      </c>
      <c r="O1299" t="s">
        <v>4625</v>
      </c>
      <c r="P1299" t="s">
        <v>4626</v>
      </c>
      <c r="Q1299" t="str">
        <f>IF($C1299="","",IFERROR(VLOOKUP($C1299,sources!$A$2:$N$200,2,FALSE()),"?"))</f>
        <v>Web compilation</v>
      </c>
      <c r="S1299" t="str">
        <f>IF($C1299="","",IFERROR(VLOOKUP($C1299,sources!$A$2:$N$200,9,FALSE()),"?"))</f>
        <v>Caribbean community</v>
      </c>
    </row>
    <row r="1300" spans="1:19" x14ac:dyDescent="0.2">
      <c r="A1300" t="s">
        <v>4718</v>
      </c>
      <c r="B1300" t="s">
        <v>503</v>
      </c>
      <c r="C1300" t="s">
        <v>1412</v>
      </c>
      <c r="D1300" t="s">
        <v>1666</v>
      </c>
      <c r="E1300" t="s">
        <v>504</v>
      </c>
      <c r="F1300" t="s">
        <v>1612</v>
      </c>
      <c r="N1300" t="s">
        <v>228</v>
      </c>
      <c r="O1300" t="s">
        <v>4625</v>
      </c>
      <c r="P1300" t="s">
        <v>4626</v>
      </c>
      <c r="Q1300" t="str">
        <f>IF($C1300="","",IFERROR(VLOOKUP($C1300,sources!$A$2:$N$200,2,FALSE()),"?"))</f>
        <v>Web compilation</v>
      </c>
      <c r="S1300" t="str">
        <f>IF($C1300="","",IFERROR(VLOOKUP($C1300,sources!$A$2:$N$200,9,FALSE()),"?"))</f>
        <v>Caribbean community</v>
      </c>
    </row>
    <row r="1301" spans="1:19" x14ac:dyDescent="0.2">
      <c r="A1301" t="s">
        <v>4719</v>
      </c>
      <c r="B1301" t="s">
        <v>367</v>
      </c>
      <c r="C1301" t="s">
        <v>1412</v>
      </c>
      <c r="D1301" t="s">
        <v>1599</v>
      </c>
      <c r="E1301" t="s">
        <v>368</v>
      </c>
      <c r="F1301" t="s">
        <v>1612</v>
      </c>
      <c r="N1301" t="s">
        <v>222</v>
      </c>
      <c r="O1301" t="s">
        <v>4720</v>
      </c>
      <c r="P1301" t="s">
        <v>4721</v>
      </c>
      <c r="Q1301" t="str">
        <f>IF($C1301="","",IFERROR(VLOOKUP($C1301,sources!$A$2:$N$200,2,FALSE()),"?"))</f>
        <v>Web compilation</v>
      </c>
      <c r="S1301" t="str">
        <f>IF($C1301="","",IFERROR(VLOOKUP($C1301,sources!$A$2:$N$200,9,FALSE()),"?"))</f>
        <v>Caribbean community</v>
      </c>
    </row>
    <row r="1302" spans="1:19" x14ac:dyDescent="0.2">
      <c r="A1302" t="s">
        <v>4722</v>
      </c>
      <c r="B1302" t="s">
        <v>280</v>
      </c>
      <c r="C1302" t="s">
        <v>1412</v>
      </c>
      <c r="D1302" t="s">
        <v>1599</v>
      </c>
      <c r="E1302" t="s">
        <v>281</v>
      </c>
      <c r="F1302" t="s">
        <v>1612</v>
      </c>
      <c r="N1302" t="s">
        <v>222</v>
      </c>
      <c r="O1302" t="s">
        <v>4700</v>
      </c>
      <c r="P1302" t="s">
        <v>4723</v>
      </c>
      <c r="Q1302" t="str">
        <f>IF($C1302="","",IFERROR(VLOOKUP($C1302,sources!$A$2:$N$200,2,FALSE()),"?"))</f>
        <v>Web compilation</v>
      </c>
      <c r="S1302" t="str">
        <f>IF($C1302="","",IFERROR(VLOOKUP($C1302,sources!$A$2:$N$200,9,FALSE()),"?"))</f>
        <v>Caribbean community</v>
      </c>
    </row>
    <row r="1303" spans="1:19" x14ac:dyDescent="0.2">
      <c r="A1303" t="s">
        <v>4724</v>
      </c>
      <c r="B1303" t="s">
        <v>622</v>
      </c>
      <c r="C1303" t="s">
        <v>1412</v>
      </c>
      <c r="D1303" t="s">
        <v>1666</v>
      </c>
      <c r="E1303" t="s">
        <v>623</v>
      </c>
      <c r="F1303" t="s">
        <v>1612</v>
      </c>
      <c r="N1303" t="s">
        <v>228</v>
      </c>
      <c r="O1303" t="s">
        <v>4625</v>
      </c>
      <c r="P1303" t="s">
        <v>4626</v>
      </c>
      <c r="Q1303" t="str">
        <f>IF($C1303="","",IFERROR(VLOOKUP($C1303,sources!$A$2:$N$200,2,FALSE()),"?"))</f>
        <v>Web compilation</v>
      </c>
      <c r="S1303" t="str">
        <f>IF($C1303="","",IFERROR(VLOOKUP($C1303,sources!$A$2:$N$200,9,FALSE()),"?"))</f>
        <v>Caribbean community</v>
      </c>
    </row>
    <row r="1304" spans="1:19" x14ac:dyDescent="0.2">
      <c r="A1304" t="s">
        <v>4725</v>
      </c>
      <c r="B1304" t="s">
        <v>408</v>
      </c>
      <c r="C1304" t="s">
        <v>1412</v>
      </c>
      <c r="D1304" t="s">
        <v>1599</v>
      </c>
      <c r="E1304" t="s">
        <v>409</v>
      </c>
      <c r="F1304" t="s">
        <v>1612</v>
      </c>
      <c r="N1304" t="s">
        <v>228</v>
      </c>
      <c r="O1304" t="s">
        <v>4622</v>
      </c>
      <c r="P1304" t="s">
        <v>4726</v>
      </c>
      <c r="Q1304" t="str">
        <f>IF($C1304="","",IFERROR(VLOOKUP($C1304,sources!$A$2:$N$200,2,FALSE()),"?"))</f>
        <v>Web compilation</v>
      </c>
      <c r="S1304" t="str">
        <f>IF($C1304="","",IFERROR(VLOOKUP($C1304,sources!$A$2:$N$200,9,FALSE()),"?"))</f>
        <v>Caribbean community</v>
      </c>
    </row>
    <row r="1305" spans="1:19" x14ac:dyDescent="0.2">
      <c r="A1305" t="s">
        <v>4727</v>
      </c>
      <c r="B1305" t="s">
        <v>607</v>
      </c>
      <c r="C1305" t="s">
        <v>1412</v>
      </c>
      <c r="D1305" t="s">
        <v>1599</v>
      </c>
      <c r="E1305" t="s">
        <v>608</v>
      </c>
      <c r="F1305" t="s">
        <v>1612</v>
      </c>
      <c r="N1305" t="s">
        <v>222</v>
      </c>
      <c r="O1305" t="s">
        <v>4700</v>
      </c>
      <c r="P1305" t="s">
        <v>4728</v>
      </c>
      <c r="Q1305" t="str">
        <f>IF($C1305="","",IFERROR(VLOOKUP($C1305,sources!$A$2:$N$200,2,FALSE()),"?"))</f>
        <v>Web compilation</v>
      </c>
      <c r="S1305" t="str">
        <f>IF($C1305="","",IFERROR(VLOOKUP($C1305,sources!$A$2:$N$200,9,FALSE()),"?"))</f>
        <v>Caribbean community</v>
      </c>
    </row>
    <row r="1306" spans="1:19" x14ac:dyDescent="0.2">
      <c r="A1306" t="s">
        <v>4729</v>
      </c>
      <c r="B1306" t="s">
        <v>414</v>
      </c>
      <c r="C1306" t="s">
        <v>1412</v>
      </c>
      <c r="D1306" t="s">
        <v>1666</v>
      </c>
      <c r="E1306" t="s">
        <v>415</v>
      </c>
      <c r="F1306" t="s">
        <v>1612</v>
      </c>
      <c r="N1306" t="s">
        <v>228</v>
      </c>
      <c r="O1306" t="s">
        <v>4625</v>
      </c>
      <c r="P1306" t="s">
        <v>4626</v>
      </c>
      <c r="Q1306" t="str">
        <f>IF($C1306="","",IFERROR(VLOOKUP($C1306,sources!$A$2:$N$200,2,FALSE()),"?"))</f>
        <v>Web compilation</v>
      </c>
      <c r="S1306" t="str">
        <f>IF($C1306="","",IFERROR(VLOOKUP($C1306,sources!$A$2:$N$200,9,FALSE()),"?"))</f>
        <v>Caribbean community</v>
      </c>
    </row>
    <row r="1307" spans="1:19" x14ac:dyDescent="0.2">
      <c r="A1307" t="s">
        <v>4730</v>
      </c>
      <c r="B1307" t="s">
        <v>198</v>
      </c>
      <c r="C1307" t="s">
        <v>1412</v>
      </c>
      <c r="D1307" t="s">
        <v>1599</v>
      </c>
      <c r="E1307" t="s">
        <v>199</v>
      </c>
      <c r="F1307" t="s">
        <v>1612</v>
      </c>
      <c r="N1307" t="s">
        <v>222</v>
      </c>
      <c r="O1307" t="s">
        <v>4640</v>
      </c>
      <c r="P1307" t="s">
        <v>4731</v>
      </c>
      <c r="Q1307" t="str">
        <f>IF($C1307="","",IFERROR(VLOOKUP($C1307,sources!$A$2:$N$200,2,FALSE()),"?"))</f>
        <v>Web compilation</v>
      </c>
      <c r="S1307" t="str">
        <f>IF($C1307="","",IFERROR(VLOOKUP($C1307,sources!$A$2:$N$200,9,FALSE()),"?"))</f>
        <v>Caribbean community</v>
      </c>
    </row>
    <row r="1308" spans="1:19" x14ac:dyDescent="0.2">
      <c r="A1308" t="s">
        <v>4732</v>
      </c>
      <c r="B1308" t="s">
        <v>402</v>
      </c>
      <c r="C1308" t="s">
        <v>1412</v>
      </c>
      <c r="D1308" t="s">
        <v>1599</v>
      </c>
      <c r="E1308" t="s">
        <v>403</v>
      </c>
      <c r="F1308" t="s">
        <v>1612</v>
      </c>
      <c r="N1308" t="s">
        <v>222</v>
      </c>
      <c r="O1308" t="s">
        <v>4633</v>
      </c>
      <c r="P1308" t="s">
        <v>4733</v>
      </c>
      <c r="Q1308" t="str">
        <f>IF($C1308="","",IFERROR(VLOOKUP($C1308,sources!$A$2:$N$200,2,FALSE()),"?"))</f>
        <v>Web compilation</v>
      </c>
      <c r="S1308" t="str">
        <f>IF($C1308="","",IFERROR(VLOOKUP($C1308,sources!$A$2:$N$200,9,FALSE()),"?"))</f>
        <v>Caribbean community</v>
      </c>
    </row>
    <row r="1309" spans="1:19" x14ac:dyDescent="0.2">
      <c r="A1309" t="s">
        <v>4734</v>
      </c>
      <c r="B1309" t="s">
        <v>393</v>
      </c>
      <c r="C1309" t="s">
        <v>1412</v>
      </c>
      <c r="D1309" t="s">
        <v>1599</v>
      </c>
      <c r="E1309" t="s">
        <v>394</v>
      </c>
      <c r="F1309" t="s">
        <v>1612</v>
      </c>
      <c r="N1309" t="s">
        <v>222</v>
      </c>
      <c r="O1309" t="s">
        <v>4735</v>
      </c>
      <c r="P1309" t="s">
        <v>4736</v>
      </c>
      <c r="Q1309" t="str">
        <f>IF($C1309="","",IFERROR(VLOOKUP($C1309,sources!$A$2:$N$200,2,FALSE()),"?"))</f>
        <v>Web compilation</v>
      </c>
      <c r="S1309" t="str">
        <f>IF($C1309="","",IFERROR(VLOOKUP($C1309,sources!$A$2:$N$200,9,FALSE()),"?"))</f>
        <v>Caribbean community</v>
      </c>
    </row>
    <row r="1310" spans="1:19" x14ac:dyDescent="0.2">
      <c r="A1310" t="s">
        <v>4737</v>
      </c>
      <c r="B1310" t="s">
        <v>422</v>
      </c>
      <c r="C1310" t="s">
        <v>1412</v>
      </c>
      <c r="D1310" t="s">
        <v>1599</v>
      </c>
      <c r="E1310" t="s">
        <v>423</v>
      </c>
      <c r="F1310" t="s">
        <v>1612</v>
      </c>
      <c r="N1310" t="s">
        <v>228</v>
      </c>
      <c r="O1310" t="s">
        <v>4655</v>
      </c>
      <c r="P1310" t="s">
        <v>4738</v>
      </c>
      <c r="Q1310" t="str">
        <f>IF($C1310="","",IFERROR(VLOOKUP($C1310,sources!$A$2:$N$200,2,FALSE()),"?"))</f>
        <v>Web compilation</v>
      </c>
      <c r="S1310" t="str">
        <f>IF($C1310="","",IFERROR(VLOOKUP($C1310,sources!$A$2:$N$200,9,FALSE()),"?"))</f>
        <v>Caribbean community</v>
      </c>
    </row>
    <row r="1311" spans="1:19" x14ac:dyDescent="0.2">
      <c r="A1311" t="s">
        <v>4739</v>
      </c>
      <c r="B1311" t="s">
        <v>434</v>
      </c>
      <c r="C1311" t="s">
        <v>1412</v>
      </c>
      <c r="D1311" t="s">
        <v>1599</v>
      </c>
      <c r="E1311" t="s">
        <v>435</v>
      </c>
      <c r="F1311" t="s">
        <v>1612</v>
      </c>
      <c r="N1311" t="s">
        <v>228</v>
      </c>
      <c r="O1311" t="s">
        <v>4648</v>
      </c>
      <c r="P1311" t="s">
        <v>4740</v>
      </c>
      <c r="Q1311" t="str">
        <f>IF($C1311="","",IFERROR(VLOOKUP($C1311,sources!$A$2:$N$200,2,FALSE()),"?"))</f>
        <v>Web compilation</v>
      </c>
      <c r="S1311" t="str">
        <f>IF($C1311="","",IFERROR(VLOOKUP($C1311,sources!$A$2:$N$200,9,FALSE()),"?"))</f>
        <v>Caribbean community</v>
      </c>
    </row>
    <row r="1312" spans="1:19" x14ac:dyDescent="0.2">
      <c r="A1312" t="s">
        <v>4741</v>
      </c>
      <c r="B1312" t="s">
        <v>618</v>
      </c>
      <c r="C1312" t="s">
        <v>1412</v>
      </c>
      <c r="D1312" t="s">
        <v>1666</v>
      </c>
      <c r="E1312" t="s">
        <v>619</v>
      </c>
      <c r="F1312" t="s">
        <v>1612</v>
      </c>
      <c r="N1312" t="s">
        <v>228</v>
      </c>
      <c r="O1312" t="s">
        <v>4625</v>
      </c>
      <c r="P1312" t="s">
        <v>4626</v>
      </c>
      <c r="Q1312" t="str">
        <f>IF($C1312="","",IFERROR(VLOOKUP($C1312,sources!$A$2:$N$200,2,FALSE()),"?"))</f>
        <v>Web compilation</v>
      </c>
      <c r="S1312" t="str">
        <f>IF($C1312="","",IFERROR(VLOOKUP($C1312,sources!$A$2:$N$200,9,FALSE()),"?"))</f>
        <v>Caribbean community</v>
      </c>
    </row>
    <row r="1313" spans="1:19" x14ac:dyDescent="0.2">
      <c r="A1313" t="s">
        <v>4742</v>
      </c>
      <c r="B1313" t="s">
        <v>487</v>
      </c>
      <c r="C1313" t="s">
        <v>1412</v>
      </c>
      <c r="D1313" t="s">
        <v>1599</v>
      </c>
      <c r="E1313" t="s">
        <v>488</v>
      </c>
      <c r="F1313" t="s">
        <v>1612</v>
      </c>
      <c r="N1313" t="s">
        <v>228</v>
      </c>
      <c r="O1313" t="s">
        <v>4622</v>
      </c>
      <c r="P1313" t="s">
        <v>4726</v>
      </c>
      <c r="Q1313" t="str">
        <f>IF($C1313="","",IFERROR(VLOOKUP($C1313,sources!$A$2:$N$200,2,FALSE()),"?"))</f>
        <v>Web compilation</v>
      </c>
      <c r="S1313" t="str">
        <f>IF($C1313="","",IFERROR(VLOOKUP($C1313,sources!$A$2:$N$200,9,FALSE()),"?"))</f>
        <v>Caribbean community</v>
      </c>
    </row>
    <row r="1314" spans="1:19" x14ac:dyDescent="0.2">
      <c r="A1314" t="s">
        <v>4743</v>
      </c>
      <c r="B1314" t="s">
        <v>245</v>
      </c>
      <c r="C1314" t="s">
        <v>1412</v>
      </c>
      <c r="D1314" t="s">
        <v>1599</v>
      </c>
      <c r="E1314" t="s">
        <v>246</v>
      </c>
      <c r="F1314" t="s">
        <v>1612</v>
      </c>
      <c r="N1314" t="s">
        <v>228</v>
      </c>
      <c r="O1314" t="s">
        <v>4622</v>
      </c>
      <c r="P1314" t="s">
        <v>4744</v>
      </c>
      <c r="Q1314" t="str">
        <f>IF($C1314="","",IFERROR(VLOOKUP($C1314,sources!$A$2:$N$200,2,FALSE()),"?"))</f>
        <v>Web compilation</v>
      </c>
      <c r="S1314" t="str">
        <f>IF($C1314="","",IFERROR(VLOOKUP($C1314,sources!$A$2:$N$200,9,FALSE()),"?"))</f>
        <v>Caribbean community</v>
      </c>
    </row>
    <row r="1315" spans="1:19" x14ac:dyDescent="0.2">
      <c r="A1315" t="s">
        <v>4745</v>
      </c>
      <c r="B1315" t="s">
        <v>526</v>
      </c>
      <c r="C1315" t="s">
        <v>1412</v>
      </c>
      <c r="D1315" t="s">
        <v>1666</v>
      </c>
      <c r="E1315" t="s">
        <v>527</v>
      </c>
      <c r="F1315" t="s">
        <v>1612</v>
      </c>
      <c r="N1315" t="s">
        <v>228</v>
      </c>
      <c r="O1315" t="s">
        <v>4625</v>
      </c>
      <c r="P1315" t="s">
        <v>4626</v>
      </c>
      <c r="Q1315" t="str">
        <f>IF($C1315="","",IFERROR(VLOOKUP($C1315,sources!$A$2:$N$200,2,FALSE()),"?"))</f>
        <v>Web compilation</v>
      </c>
      <c r="S1315" t="str">
        <f>IF($C1315="","",IFERROR(VLOOKUP($C1315,sources!$A$2:$N$200,9,FALSE()),"?"))</f>
        <v>Caribbean community</v>
      </c>
    </row>
    <row r="1316" spans="1:19" x14ac:dyDescent="0.2">
      <c r="A1316" t="s">
        <v>4746</v>
      </c>
      <c r="B1316" t="s">
        <v>626</v>
      </c>
      <c r="C1316" t="s">
        <v>1412</v>
      </c>
      <c r="D1316" t="s">
        <v>1666</v>
      </c>
      <c r="E1316" t="s">
        <v>627</v>
      </c>
      <c r="F1316" t="s">
        <v>1612</v>
      </c>
      <c r="N1316" t="s">
        <v>228</v>
      </c>
      <c r="O1316" t="s">
        <v>4625</v>
      </c>
      <c r="P1316" t="s">
        <v>4626</v>
      </c>
      <c r="Q1316" t="str">
        <f>IF($C1316="","",IFERROR(VLOOKUP($C1316,sources!$A$2:$N$200,2,FALSE()),"?"))</f>
        <v>Web compilation</v>
      </c>
      <c r="S1316" t="str">
        <f>IF($C1316="","",IFERROR(VLOOKUP($C1316,sources!$A$2:$N$200,9,FALSE()),"?"))</f>
        <v>Caribbean community</v>
      </c>
    </row>
    <row r="1317" spans="1:19" x14ac:dyDescent="0.2">
      <c r="A1317" t="s">
        <v>4747</v>
      </c>
      <c r="B1317" t="s">
        <v>466</v>
      </c>
      <c r="C1317" t="s">
        <v>1412</v>
      </c>
      <c r="D1317" t="s">
        <v>1599</v>
      </c>
      <c r="E1317" t="s">
        <v>467</v>
      </c>
      <c r="F1317" t="s">
        <v>1612</v>
      </c>
      <c r="N1317" t="s">
        <v>228</v>
      </c>
      <c r="O1317" t="s">
        <v>4655</v>
      </c>
      <c r="P1317" t="s">
        <v>4748</v>
      </c>
      <c r="Q1317" t="str">
        <f>IF($C1317="","",IFERROR(VLOOKUP($C1317,sources!$A$2:$N$200,2,FALSE()),"?"))</f>
        <v>Web compilation</v>
      </c>
      <c r="S1317" t="str">
        <f>IF($C1317="","",IFERROR(VLOOKUP($C1317,sources!$A$2:$N$200,9,FALSE()),"?"))</f>
        <v>Caribbean community</v>
      </c>
    </row>
    <row r="1318" spans="1:19" x14ac:dyDescent="0.2">
      <c r="A1318" t="s">
        <v>4749</v>
      </c>
      <c r="B1318" t="s">
        <v>376</v>
      </c>
      <c r="C1318" t="s">
        <v>1412</v>
      </c>
      <c r="D1318" t="s">
        <v>1599</v>
      </c>
      <c r="E1318" t="s">
        <v>377</v>
      </c>
      <c r="F1318" t="s">
        <v>1612</v>
      </c>
      <c r="N1318" t="s">
        <v>222</v>
      </c>
      <c r="O1318" t="s">
        <v>4750</v>
      </c>
      <c r="P1318" t="s">
        <v>4751</v>
      </c>
      <c r="Q1318" t="str">
        <f>IF($C1318="","",IFERROR(VLOOKUP($C1318,sources!$A$2:$N$200,2,FALSE()),"?"))</f>
        <v>Web compilation</v>
      </c>
      <c r="S1318" t="str">
        <f>IF($C1318="","",IFERROR(VLOOKUP($C1318,sources!$A$2:$N$200,9,FALSE()),"?"))</f>
        <v>Caribbean community</v>
      </c>
    </row>
    <row r="1319" spans="1:19" x14ac:dyDescent="0.2">
      <c r="A1319" t="s">
        <v>4752</v>
      </c>
      <c r="B1319" t="s">
        <v>363</v>
      </c>
      <c r="C1319" t="s">
        <v>1412</v>
      </c>
      <c r="D1319" t="s">
        <v>1599</v>
      </c>
      <c r="E1319" t="s">
        <v>364</v>
      </c>
      <c r="F1319" t="s">
        <v>1612</v>
      </c>
      <c r="N1319" t="s">
        <v>222</v>
      </c>
      <c r="O1319" t="s">
        <v>4753</v>
      </c>
      <c r="P1319" t="s">
        <v>4754</v>
      </c>
      <c r="Q1319" t="str">
        <f>IF($C1319="","",IFERROR(VLOOKUP($C1319,sources!$A$2:$N$200,2,FALSE()),"?"))</f>
        <v>Web compilation</v>
      </c>
      <c r="S1319" t="str">
        <f>IF($C1319="","",IFERROR(VLOOKUP($C1319,sources!$A$2:$N$200,9,FALSE()),"?"))</f>
        <v>Caribbean community</v>
      </c>
    </row>
    <row r="1320" spans="1:19" x14ac:dyDescent="0.2">
      <c r="A1320" t="s">
        <v>4755</v>
      </c>
      <c r="B1320" t="s">
        <v>783</v>
      </c>
      <c r="C1320" t="s">
        <v>1412</v>
      </c>
      <c r="D1320" t="s">
        <v>1666</v>
      </c>
      <c r="E1320" t="s">
        <v>784</v>
      </c>
      <c r="F1320" t="s">
        <v>1612</v>
      </c>
      <c r="N1320" t="s">
        <v>228</v>
      </c>
      <c r="O1320" t="s">
        <v>4625</v>
      </c>
      <c r="P1320" t="s">
        <v>4756</v>
      </c>
      <c r="Q1320" t="str">
        <f>IF($C1320="","",IFERROR(VLOOKUP($C1320,sources!$A$2:$N$200,2,FALSE()),"?"))</f>
        <v>Web compilation</v>
      </c>
      <c r="S1320" t="str">
        <f>IF($C1320="","",IFERROR(VLOOKUP($C1320,sources!$A$2:$N$200,9,FALSE()),"?"))</f>
        <v>Caribbean community</v>
      </c>
    </row>
    <row r="1321" spans="1:19" x14ac:dyDescent="0.2">
      <c r="A1321" t="s">
        <v>4757</v>
      </c>
      <c r="B1321" t="s">
        <v>517</v>
      </c>
      <c r="C1321" t="s">
        <v>1412</v>
      </c>
      <c r="D1321" t="s">
        <v>1666</v>
      </c>
      <c r="E1321" t="s">
        <v>518</v>
      </c>
      <c r="F1321" t="s">
        <v>1612</v>
      </c>
      <c r="N1321" t="s">
        <v>228</v>
      </c>
      <c r="O1321" t="s">
        <v>4625</v>
      </c>
      <c r="P1321" t="s">
        <v>4626</v>
      </c>
      <c r="Q1321" t="str">
        <f>IF($C1321="","",IFERROR(VLOOKUP($C1321,sources!$A$2:$N$200,2,FALSE()),"?"))</f>
        <v>Web compilation</v>
      </c>
      <c r="S1321" t="str">
        <f>IF($C1321="","",IFERROR(VLOOKUP($C1321,sources!$A$2:$N$200,9,FALSE()),"?"))</f>
        <v>Caribbean community</v>
      </c>
    </row>
    <row r="1322" spans="1:19" x14ac:dyDescent="0.2">
      <c r="A1322" t="s">
        <v>4758</v>
      </c>
      <c r="B1322" t="s">
        <v>443</v>
      </c>
      <c r="C1322" t="s">
        <v>1412</v>
      </c>
      <c r="D1322" t="s">
        <v>1599</v>
      </c>
      <c r="E1322" t="s">
        <v>444</v>
      </c>
      <c r="F1322" t="s">
        <v>1612</v>
      </c>
      <c r="N1322" t="s">
        <v>228</v>
      </c>
      <c r="O1322" t="s">
        <v>4759</v>
      </c>
      <c r="P1322" t="s">
        <v>4760</v>
      </c>
      <c r="Q1322" t="str">
        <f>IF($C1322="","",IFERROR(VLOOKUP($C1322,sources!$A$2:$N$200,2,FALSE()),"?"))</f>
        <v>Web compilation</v>
      </c>
      <c r="S1322" t="str">
        <f>IF($C1322="","",IFERROR(VLOOKUP($C1322,sources!$A$2:$N$200,9,FALSE()),"?"))</f>
        <v>Caribbean community</v>
      </c>
    </row>
    <row r="1323" spans="1:19" x14ac:dyDescent="0.2">
      <c r="A1323" t="s">
        <v>4761</v>
      </c>
      <c r="B1323" t="s">
        <v>359</v>
      </c>
      <c r="C1323" t="s">
        <v>1412</v>
      </c>
      <c r="D1323" t="s">
        <v>1599</v>
      </c>
      <c r="E1323" t="s">
        <v>360</v>
      </c>
      <c r="F1323" t="s">
        <v>1612</v>
      </c>
      <c r="N1323" t="s">
        <v>222</v>
      </c>
      <c r="O1323" t="s">
        <v>4762</v>
      </c>
      <c r="P1323" t="s">
        <v>4763</v>
      </c>
      <c r="Q1323" t="str">
        <f>IF($C1323="","",IFERROR(VLOOKUP($C1323,sources!$A$2:$N$200,2,FALSE()),"?"))</f>
        <v>Web compilation</v>
      </c>
      <c r="S1323" t="str">
        <f>IF($C1323="","",IFERROR(VLOOKUP($C1323,sources!$A$2:$N$200,9,FALSE()),"?"))</f>
        <v>Caribbean community</v>
      </c>
    </row>
    <row r="1324" spans="1:19" x14ac:dyDescent="0.2">
      <c r="A1324" t="s">
        <v>4764</v>
      </c>
      <c r="B1324" t="s">
        <v>379</v>
      </c>
      <c r="C1324" t="s">
        <v>1412</v>
      </c>
      <c r="D1324" t="s">
        <v>1599</v>
      </c>
      <c r="E1324" t="s">
        <v>380</v>
      </c>
      <c r="F1324" t="s">
        <v>1612</v>
      </c>
      <c r="N1324" t="s">
        <v>222</v>
      </c>
      <c r="O1324" t="s">
        <v>4765</v>
      </c>
      <c r="P1324" t="s">
        <v>4766</v>
      </c>
      <c r="Q1324" t="str">
        <f>IF($C1324="","",IFERROR(VLOOKUP($C1324,sources!$A$2:$N$200,2,FALSE()),"?"))</f>
        <v>Web compilation</v>
      </c>
      <c r="S1324" t="str">
        <f>IF($C1324="","",IFERROR(VLOOKUP($C1324,sources!$A$2:$N$200,9,FALSE()),"?"))</f>
        <v>Caribbean community</v>
      </c>
    </row>
    <row r="1325" spans="1:19" x14ac:dyDescent="0.2">
      <c r="A1325" t="s">
        <v>4767</v>
      </c>
      <c r="B1325" t="s">
        <v>232</v>
      </c>
      <c r="C1325" t="s">
        <v>1412</v>
      </c>
      <c r="D1325" t="s">
        <v>1599</v>
      </c>
      <c r="E1325" t="s">
        <v>233</v>
      </c>
      <c r="F1325" t="s">
        <v>1612</v>
      </c>
      <c r="N1325" t="s">
        <v>228</v>
      </c>
      <c r="O1325" t="s">
        <v>4622</v>
      </c>
      <c r="P1325" t="s">
        <v>4768</v>
      </c>
      <c r="Q1325" t="str">
        <f>IF($C1325="","",IFERROR(VLOOKUP($C1325,sources!$A$2:$N$200,2,FALSE()),"?"))</f>
        <v>Web compilation</v>
      </c>
      <c r="S1325" t="str">
        <f>IF($C1325="","",IFERROR(VLOOKUP($C1325,sources!$A$2:$N$200,9,FALSE()),"?"))</f>
        <v>Caribbean community</v>
      </c>
    </row>
    <row r="1326" spans="1:19" x14ac:dyDescent="0.2">
      <c r="A1326" t="s">
        <v>4769</v>
      </c>
      <c r="B1326" t="s">
        <v>638</v>
      </c>
      <c r="C1326" t="s">
        <v>1412</v>
      </c>
      <c r="D1326" t="s">
        <v>1599</v>
      </c>
      <c r="E1326" t="s">
        <v>639</v>
      </c>
      <c r="F1326" t="s">
        <v>1612</v>
      </c>
      <c r="N1326" t="s">
        <v>228</v>
      </c>
      <c r="O1326" t="s">
        <v>4648</v>
      </c>
      <c r="P1326" t="s">
        <v>4770</v>
      </c>
      <c r="Q1326" t="str">
        <f>IF($C1326="","",IFERROR(VLOOKUP($C1326,sources!$A$2:$N$200,2,FALSE()),"?"))</f>
        <v>Web compilation</v>
      </c>
      <c r="S1326" t="str">
        <f>IF($C1326="","",IFERROR(VLOOKUP($C1326,sources!$A$2:$N$200,9,FALSE()),"?"))</f>
        <v>Caribbean community</v>
      </c>
    </row>
    <row r="1327" spans="1:19" x14ac:dyDescent="0.2">
      <c r="A1327" t="s">
        <v>4771</v>
      </c>
      <c r="B1327" t="s">
        <v>475</v>
      </c>
      <c r="C1327" t="s">
        <v>1412</v>
      </c>
      <c r="D1327" t="s">
        <v>1599</v>
      </c>
      <c r="E1327" t="s">
        <v>476</v>
      </c>
      <c r="F1327" t="s">
        <v>1612</v>
      </c>
      <c r="N1327" t="s">
        <v>228</v>
      </c>
      <c r="O1327" t="s">
        <v>4648</v>
      </c>
      <c r="P1327" t="s">
        <v>4772</v>
      </c>
      <c r="Q1327" t="str">
        <f>IF($C1327="","",IFERROR(VLOOKUP($C1327,sources!$A$2:$N$200,2,FALSE()),"?"))</f>
        <v>Web compilation</v>
      </c>
      <c r="S1327" t="str">
        <f>IF($C1327="","",IFERROR(VLOOKUP($C1327,sources!$A$2:$N$200,9,FALSE()),"?"))</f>
        <v>Caribbean community</v>
      </c>
    </row>
    <row r="1328" spans="1:19" x14ac:dyDescent="0.2">
      <c r="A1328" t="s">
        <v>4773</v>
      </c>
      <c r="B1328" t="s">
        <v>382</v>
      </c>
      <c r="C1328" t="s">
        <v>1412</v>
      </c>
      <c r="D1328" t="s">
        <v>1599</v>
      </c>
      <c r="E1328" t="s">
        <v>383</v>
      </c>
      <c r="F1328" t="s">
        <v>1612</v>
      </c>
      <c r="N1328" t="s">
        <v>222</v>
      </c>
      <c r="O1328" t="s">
        <v>4633</v>
      </c>
      <c r="P1328" t="s">
        <v>4774</v>
      </c>
      <c r="Q1328" t="str">
        <f>IF($C1328="","",IFERROR(VLOOKUP($C1328,sources!$A$2:$N$200,2,FALSE()),"?"))</f>
        <v>Web compilation</v>
      </c>
      <c r="S1328" t="str">
        <f>IF($C1328="","",IFERROR(VLOOKUP($C1328,sources!$A$2:$N$200,9,FALSE()),"?"))</f>
        <v>Caribbean community</v>
      </c>
    </row>
    <row r="1329" spans="1:19" x14ac:dyDescent="0.2">
      <c r="A1329" t="s">
        <v>4775</v>
      </c>
      <c r="B1329" t="s">
        <v>439</v>
      </c>
      <c r="C1329" t="s">
        <v>1412</v>
      </c>
      <c r="D1329" t="s">
        <v>1599</v>
      </c>
      <c r="E1329" t="s">
        <v>440</v>
      </c>
      <c r="F1329" t="s">
        <v>1612</v>
      </c>
      <c r="N1329" t="s">
        <v>228</v>
      </c>
      <c r="O1329" t="s">
        <v>4655</v>
      </c>
      <c r="P1329" t="s">
        <v>4776</v>
      </c>
      <c r="Q1329" t="str">
        <f>IF($C1329="","",IFERROR(VLOOKUP($C1329,sources!$A$2:$N$200,2,FALSE()),"?"))</f>
        <v>Web compilation</v>
      </c>
      <c r="S1329" t="str">
        <f>IF($C1329="","",IFERROR(VLOOKUP($C1329,sources!$A$2:$N$200,9,FALSE()),"?"))</f>
        <v>Caribbean community</v>
      </c>
    </row>
    <row r="1330" spans="1:19" x14ac:dyDescent="0.2">
      <c r="A1330" t="s">
        <v>4777</v>
      </c>
      <c r="B1330" t="s">
        <v>411</v>
      </c>
      <c r="C1330" t="s">
        <v>1412</v>
      </c>
      <c r="D1330" t="s">
        <v>1666</v>
      </c>
      <c r="E1330" t="s">
        <v>412</v>
      </c>
      <c r="F1330" t="s">
        <v>1612</v>
      </c>
      <c r="N1330" t="s">
        <v>228</v>
      </c>
      <c r="O1330" t="s">
        <v>4625</v>
      </c>
      <c r="P1330" t="s">
        <v>4626</v>
      </c>
      <c r="Q1330" t="str">
        <f>IF($C1330="","",IFERROR(VLOOKUP($C1330,sources!$A$2:$N$200,2,FALSE()),"?"))</f>
        <v>Web compilation</v>
      </c>
      <c r="S1330" t="str">
        <f>IF($C1330="","",IFERROR(VLOOKUP($C1330,sources!$A$2:$N$200,9,FALSE()),"?"))</f>
        <v>Caribbean community</v>
      </c>
    </row>
    <row r="1331" spans="1:19" x14ac:dyDescent="0.2">
      <c r="A1331" t="s">
        <v>4778</v>
      </c>
      <c r="B1331" t="s">
        <v>426</v>
      </c>
      <c r="C1331" t="s">
        <v>1412</v>
      </c>
      <c r="D1331" t="s">
        <v>1599</v>
      </c>
      <c r="E1331" t="s">
        <v>427</v>
      </c>
      <c r="F1331" t="s">
        <v>1612</v>
      </c>
      <c r="N1331" t="s">
        <v>222</v>
      </c>
      <c r="O1331" t="s">
        <v>4700</v>
      </c>
      <c r="P1331" t="s">
        <v>4779</v>
      </c>
      <c r="Q1331" t="str">
        <f>IF($C1331="","",IFERROR(VLOOKUP($C1331,sources!$A$2:$N$200,2,FALSE()),"?"))</f>
        <v>Web compilation</v>
      </c>
      <c r="S1331" t="str">
        <f>IF($C1331="","",IFERROR(VLOOKUP($C1331,sources!$A$2:$N$200,9,FALSE()),"?"))</f>
        <v>Caribbean community</v>
      </c>
    </row>
    <row r="1332" spans="1:19" x14ac:dyDescent="0.2">
      <c r="A1332" t="s">
        <v>4780</v>
      </c>
      <c r="B1332" t="s">
        <v>662</v>
      </c>
      <c r="C1332" t="s">
        <v>1412</v>
      </c>
      <c r="D1332" t="s">
        <v>1666</v>
      </c>
      <c r="E1332" t="s">
        <v>663</v>
      </c>
      <c r="F1332" t="s">
        <v>1612</v>
      </c>
      <c r="N1332" t="s">
        <v>228</v>
      </c>
      <c r="O1332" t="s">
        <v>4625</v>
      </c>
      <c r="P1332" t="s">
        <v>4626</v>
      </c>
      <c r="Q1332" t="str">
        <f>IF($C1332="","",IFERROR(VLOOKUP($C1332,sources!$A$2:$N$200,2,FALSE()),"?"))</f>
        <v>Web compilation</v>
      </c>
      <c r="S1332" t="str">
        <f>IF($C1332="","",IFERROR(VLOOKUP($C1332,sources!$A$2:$N$200,9,FALSE()),"?"))</f>
        <v>Caribbean community</v>
      </c>
    </row>
    <row r="1333" spans="1:19" x14ac:dyDescent="0.2">
      <c r="A1333" t="s">
        <v>4781</v>
      </c>
      <c r="B1333" t="s">
        <v>514</v>
      </c>
      <c r="C1333" t="s">
        <v>1412</v>
      </c>
      <c r="D1333" t="s">
        <v>1666</v>
      </c>
      <c r="E1333" t="s">
        <v>515</v>
      </c>
      <c r="F1333" t="s">
        <v>1612</v>
      </c>
      <c r="N1333" t="s">
        <v>228</v>
      </c>
      <c r="O1333" t="s">
        <v>4625</v>
      </c>
      <c r="P1333" t="s">
        <v>4626</v>
      </c>
      <c r="Q1333" t="str">
        <f>IF($C1333="","",IFERROR(VLOOKUP($C1333,sources!$A$2:$N$200,2,FALSE()),"?"))</f>
        <v>Web compilation</v>
      </c>
      <c r="S1333" t="str">
        <f>IF($C1333="","",IFERROR(VLOOKUP($C1333,sources!$A$2:$N$200,9,FALSE()),"?"))</f>
        <v>Caribbean community</v>
      </c>
    </row>
    <row r="1334" spans="1:19" x14ac:dyDescent="0.2">
      <c r="A1334" t="s">
        <v>4782</v>
      </c>
      <c r="B1334" t="s">
        <v>509</v>
      </c>
      <c r="C1334" t="s">
        <v>1412</v>
      </c>
      <c r="D1334" t="s">
        <v>1666</v>
      </c>
      <c r="E1334" t="s">
        <v>510</v>
      </c>
      <c r="F1334" t="s">
        <v>1612</v>
      </c>
      <c r="N1334" t="s">
        <v>228</v>
      </c>
      <c r="O1334" t="s">
        <v>4625</v>
      </c>
      <c r="P1334" t="s">
        <v>4626</v>
      </c>
      <c r="Q1334" t="str">
        <f>IF($C1334="","",IFERROR(VLOOKUP($C1334,sources!$A$2:$N$200,2,FALSE()),"?"))</f>
        <v>Web compilation</v>
      </c>
      <c r="S1334" t="str">
        <f>IF($C1334="","",IFERROR(VLOOKUP($C1334,sources!$A$2:$N$200,9,FALSE()),"?"))</f>
        <v>Caribbean community</v>
      </c>
    </row>
    <row r="1335" spans="1:19" x14ac:dyDescent="0.2">
      <c r="A1335" t="s">
        <v>4783</v>
      </c>
      <c r="B1335" t="s">
        <v>566</v>
      </c>
      <c r="C1335" t="s">
        <v>1412</v>
      </c>
      <c r="D1335" t="s">
        <v>1599</v>
      </c>
      <c r="E1335" t="s">
        <v>567</v>
      </c>
      <c r="F1335" t="s">
        <v>1612</v>
      </c>
      <c r="N1335" t="s">
        <v>222</v>
      </c>
      <c r="O1335" t="s">
        <v>4784</v>
      </c>
      <c r="P1335" t="s">
        <v>4785</v>
      </c>
      <c r="Q1335" t="str">
        <f>IF($C1335="","",IFERROR(VLOOKUP($C1335,sources!$A$2:$N$200,2,FALSE()),"?"))</f>
        <v>Web compilation</v>
      </c>
      <c r="S1335" t="str">
        <f>IF($C1335="","",IFERROR(VLOOKUP($C1335,sources!$A$2:$N$200,9,FALSE()),"?"))</f>
        <v>Caribbean community</v>
      </c>
    </row>
    <row r="1336" spans="1:19" x14ac:dyDescent="0.2">
      <c r="A1336" t="s">
        <v>4786</v>
      </c>
      <c r="B1336" t="s">
        <v>288</v>
      </c>
      <c r="C1336" t="s">
        <v>1323</v>
      </c>
      <c r="D1336" t="s">
        <v>1666</v>
      </c>
      <c r="E1336" t="s">
        <v>289</v>
      </c>
      <c r="F1336" t="s">
        <v>1612</v>
      </c>
      <c r="I1336" t="s">
        <v>1077</v>
      </c>
      <c r="K1336">
        <v>1908</v>
      </c>
      <c r="L1336">
        <v>1908</v>
      </c>
      <c r="M1336" t="s">
        <v>228</v>
      </c>
      <c r="N1336" t="s">
        <v>222</v>
      </c>
      <c r="O1336" t="s">
        <v>4787</v>
      </c>
      <c r="P1336" t="s">
        <v>4788</v>
      </c>
      <c r="Q1336" t="str">
        <f>IF($C1336="","",IFERROR(VLOOKUP($C1336,sources!$A$2:$N$200,2,FALSE()),"?"))</f>
        <v>Map</v>
      </c>
      <c r="S1336" t="str">
        <f>IF($C1336="","",IFERROR(VLOOKUP($C1336,sources!$A$2:$N$200,9,FALSE()),"?"))</f>
        <v>US official</v>
      </c>
    </row>
    <row r="1337" spans="1:19" x14ac:dyDescent="0.2">
      <c r="A1337" t="s">
        <v>4789</v>
      </c>
      <c r="B1337" t="s">
        <v>299</v>
      </c>
      <c r="C1337" t="s">
        <v>1323</v>
      </c>
      <c r="D1337" t="s">
        <v>1666</v>
      </c>
      <c r="E1337" t="s">
        <v>300</v>
      </c>
      <c r="F1337" t="s">
        <v>1612</v>
      </c>
      <c r="I1337" t="s">
        <v>1077</v>
      </c>
      <c r="K1337">
        <v>1908</v>
      </c>
      <c r="L1337">
        <v>1908</v>
      </c>
      <c r="M1337" t="s">
        <v>228</v>
      </c>
      <c r="N1337" t="s">
        <v>209</v>
      </c>
      <c r="O1337" t="s">
        <v>4787</v>
      </c>
      <c r="P1337" t="s">
        <v>4790</v>
      </c>
      <c r="Q1337" t="str">
        <f>IF($C1337="","",IFERROR(VLOOKUP($C1337,sources!$A$2:$N$200,2,FALSE()),"?"))</f>
        <v>Map</v>
      </c>
      <c r="S1337" t="str">
        <f>IF($C1337="","",IFERROR(VLOOKUP($C1337,sources!$A$2:$N$200,9,FALSE()),"?"))</f>
        <v>US official</v>
      </c>
    </row>
    <row r="1338" spans="1:19" x14ac:dyDescent="0.2">
      <c r="A1338" t="s">
        <v>4791</v>
      </c>
      <c r="B1338" t="s">
        <v>306</v>
      </c>
      <c r="C1338" t="s">
        <v>1323</v>
      </c>
      <c r="D1338" t="s">
        <v>1666</v>
      </c>
      <c r="E1338" t="s">
        <v>307</v>
      </c>
      <c r="F1338" t="s">
        <v>1612</v>
      </c>
      <c r="I1338" t="s">
        <v>1077</v>
      </c>
      <c r="K1338">
        <v>1908</v>
      </c>
      <c r="L1338">
        <v>1908</v>
      </c>
      <c r="M1338" t="s">
        <v>228</v>
      </c>
      <c r="N1338" t="s">
        <v>222</v>
      </c>
      <c r="O1338" t="s">
        <v>4787</v>
      </c>
      <c r="P1338" t="s">
        <v>4792</v>
      </c>
      <c r="Q1338" t="str">
        <f>IF($C1338="","",IFERROR(VLOOKUP($C1338,sources!$A$2:$N$200,2,FALSE()),"?"))</f>
        <v>Map</v>
      </c>
      <c r="S1338" t="str">
        <f>IF($C1338="","",IFERROR(VLOOKUP($C1338,sources!$A$2:$N$200,9,FALSE()),"?"))</f>
        <v>US official</v>
      </c>
    </row>
    <row r="1339" spans="1:19" x14ac:dyDescent="0.2">
      <c r="A1339" t="s">
        <v>4793</v>
      </c>
      <c r="B1339" t="s">
        <v>313</v>
      </c>
      <c r="C1339" t="s">
        <v>1323</v>
      </c>
      <c r="D1339" t="s">
        <v>1666</v>
      </c>
      <c r="E1339" t="s">
        <v>314</v>
      </c>
      <c r="F1339" t="s">
        <v>1612</v>
      </c>
      <c r="I1339" t="s">
        <v>1077</v>
      </c>
      <c r="K1339">
        <v>1908</v>
      </c>
      <c r="L1339">
        <v>1908</v>
      </c>
      <c r="M1339" t="s">
        <v>228</v>
      </c>
      <c r="N1339" t="s">
        <v>222</v>
      </c>
      <c r="O1339" t="s">
        <v>4787</v>
      </c>
      <c r="P1339" t="s">
        <v>4794</v>
      </c>
      <c r="Q1339" t="str">
        <f>IF($C1339="","",IFERROR(VLOOKUP($C1339,sources!$A$2:$N$200,2,FALSE()),"?"))</f>
        <v>Map</v>
      </c>
      <c r="S1339" t="str">
        <f>IF($C1339="","",IFERROR(VLOOKUP($C1339,sources!$A$2:$N$200,9,FALSE()),"?"))</f>
        <v>US official</v>
      </c>
    </row>
    <row r="1340" spans="1:19" x14ac:dyDescent="0.2">
      <c r="A1340" t="s">
        <v>4795</v>
      </c>
      <c r="B1340" t="s">
        <v>341</v>
      </c>
      <c r="C1340" t="s">
        <v>1323</v>
      </c>
      <c r="D1340" t="s">
        <v>1666</v>
      </c>
      <c r="E1340" t="s">
        <v>342</v>
      </c>
      <c r="F1340" t="s">
        <v>1612</v>
      </c>
      <c r="I1340" t="s">
        <v>1077</v>
      </c>
      <c r="K1340">
        <v>1908</v>
      </c>
      <c r="L1340">
        <v>1908</v>
      </c>
      <c r="M1340" t="s">
        <v>228</v>
      </c>
      <c r="N1340" t="s">
        <v>222</v>
      </c>
      <c r="O1340" t="s">
        <v>4787</v>
      </c>
      <c r="P1340" t="s">
        <v>4796</v>
      </c>
      <c r="Q1340" t="str">
        <f>IF($C1340="","",IFERROR(VLOOKUP($C1340,sources!$A$2:$N$200,2,FALSE()),"?"))</f>
        <v>Map</v>
      </c>
      <c r="S1340" t="str">
        <f>IF($C1340="","",IFERROR(VLOOKUP($C1340,sources!$A$2:$N$200,9,FALSE()),"?"))</f>
        <v>US official</v>
      </c>
    </row>
    <row r="1341" spans="1:19" x14ac:dyDescent="0.2">
      <c r="A1341" t="s">
        <v>4797</v>
      </c>
      <c r="B1341" t="s">
        <v>692</v>
      </c>
      <c r="C1341" t="s">
        <v>1323</v>
      </c>
      <c r="D1341" t="s">
        <v>1594</v>
      </c>
      <c r="E1341" t="s">
        <v>4798</v>
      </c>
      <c r="F1341" t="s">
        <v>1612</v>
      </c>
      <c r="G1341">
        <v>9.0669500000000003</v>
      </c>
      <c r="H1341">
        <v>-79.670590000000004</v>
      </c>
      <c r="I1341" t="s">
        <v>1595</v>
      </c>
      <c r="J1341">
        <v>400</v>
      </c>
      <c r="K1341">
        <v>1908</v>
      </c>
      <c r="L1341">
        <v>1908</v>
      </c>
      <c r="M1341" t="s">
        <v>222</v>
      </c>
      <c r="N1341" t="s">
        <v>222</v>
      </c>
      <c r="O1341" t="s">
        <v>4787</v>
      </c>
      <c r="P1341" t="s">
        <v>4799</v>
      </c>
      <c r="Q1341" t="str">
        <f>IF($C1341="","",IFERROR(VLOOKUP($C1341,sources!$A$2:$N$200,2,FALSE()),"?"))</f>
        <v>Map</v>
      </c>
      <c r="S1341" t="str">
        <f>IF($C1341="","",IFERROR(VLOOKUP($C1341,sources!$A$2:$N$200,9,FALSE()),"?"))</f>
        <v>US official</v>
      </c>
    </row>
    <row r="1342" spans="1:19" x14ac:dyDescent="0.2">
      <c r="A1342" t="s">
        <v>4800</v>
      </c>
      <c r="B1342" t="s">
        <v>692</v>
      </c>
      <c r="C1342" t="s">
        <v>1323</v>
      </c>
      <c r="D1342" t="s">
        <v>1594</v>
      </c>
      <c r="E1342" t="s">
        <v>4801</v>
      </c>
      <c r="F1342" t="s">
        <v>1612</v>
      </c>
      <c r="G1342">
        <v>9.0667200000000001</v>
      </c>
      <c r="H1342">
        <v>-79.670490000000001</v>
      </c>
      <c r="I1342" t="s">
        <v>1595</v>
      </c>
      <c r="J1342">
        <v>400</v>
      </c>
      <c r="K1342">
        <v>1908</v>
      </c>
      <c r="L1342">
        <v>1908</v>
      </c>
      <c r="M1342" t="s">
        <v>222</v>
      </c>
      <c r="N1342" t="s">
        <v>222</v>
      </c>
      <c r="O1342" t="s">
        <v>4787</v>
      </c>
      <c r="P1342" t="s">
        <v>4802</v>
      </c>
      <c r="Q1342" t="str">
        <f>IF($C1342="","",IFERROR(VLOOKUP($C1342,sources!$A$2:$N$200,2,FALSE()),"?"))</f>
        <v>Map</v>
      </c>
      <c r="S1342" t="str">
        <f>IF($C1342="","",IFERROR(VLOOKUP($C1342,sources!$A$2:$N$200,9,FALSE()),"?"))</f>
        <v>US official</v>
      </c>
    </row>
    <row r="1343" spans="1:19" x14ac:dyDescent="0.2">
      <c r="A1343" t="s">
        <v>4803</v>
      </c>
      <c r="B1343" t="s">
        <v>692</v>
      </c>
      <c r="C1343" t="s">
        <v>1323</v>
      </c>
      <c r="D1343" t="s">
        <v>1594</v>
      </c>
      <c r="E1343" t="s">
        <v>4804</v>
      </c>
      <c r="F1343" t="s">
        <v>1612</v>
      </c>
      <c r="G1343">
        <v>9.0670099999999998</v>
      </c>
      <c r="H1343">
        <v>-79.670450000000002</v>
      </c>
      <c r="I1343" t="s">
        <v>1595</v>
      </c>
      <c r="J1343">
        <v>400</v>
      </c>
      <c r="K1343">
        <v>1908</v>
      </c>
      <c r="L1343">
        <v>1908</v>
      </c>
      <c r="M1343" t="s">
        <v>222</v>
      </c>
      <c r="N1343" t="s">
        <v>222</v>
      </c>
      <c r="O1343" t="s">
        <v>4787</v>
      </c>
      <c r="P1343" t="s">
        <v>4805</v>
      </c>
      <c r="Q1343" t="str">
        <f>IF($C1343="","",IFERROR(VLOOKUP($C1343,sources!$A$2:$N$200,2,FALSE()),"?"))</f>
        <v>Map</v>
      </c>
      <c r="S1343" t="str">
        <f>IF($C1343="","",IFERROR(VLOOKUP($C1343,sources!$A$2:$N$200,9,FALSE()),"?"))</f>
        <v>US official</v>
      </c>
    </row>
    <row r="1344" spans="1:19" x14ac:dyDescent="0.2">
      <c r="A1344" t="s">
        <v>4806</v>
      </c>
      <c r="B1344" t="s">
        <v>692</v>
      </c>
      <c r="C1344" t="s">
        <v>1323</v>
      </c>
      <c r="D1344" t="s">
        <v>1594</v>
      </c>
      <c r="E1344" t="s">
        <v>4807</v>
      </c>
      <c r="F1344" t="s">
        <v>1612</v>
      </c>
      <c r="G1344">
        <v>9.0666200000000003</v>
      </c>
      <c r="H1344">
        <v>-79.67116</v>
      </c>
      <c r="I1344" t="s">
        <v>1595</v>
      </c>
      <c r="J1344">
        <v>400</v>
      </c>
      <c r="K1344">
        <v>1908</v>
      </c>
      <c r="L1344">
        <v>1908</v>
      </c>
      <c r="M1344" t="s">
        <v>222</v>
      </c>
      <c r="N1344" t="s">
        <v>228</v>
      </c>
      <c r="O1344" t="s">
        <v>4787</v>
      </c>
      <c r="P1344" t="s">
        <v>4808</v>
      </c>
      <c r="Q1344" t="str">
        <f>IF($C1344="","",IFERROR(VLOOKUP($C1344,sources!$A$2:$N$200,2,FALSE()),"?"))</f>
        <v>Map</v>
      </c>
      <c r="S1344" t="str">
        <f>IF($C1344="","",IFERROR(VLOOKUP($C1344,sources!$A$2:$N$200,9,FALSE()),"?"))</f>
        <v>US official</v>
      </c>
    </row>
    <row r="1345" spans="1:19" x14ac:dyDescent="0.2">
      <c r="A1345" t="s">
        <v>4809</v>
      </c>
      <c r="B1345" t="s">
        <v>252</v>
      </c>
      <c r="C1345" t="s">
        <v>1323</v>
      </c>
      <c r="D1345" t="s">
        <v>1594</v>
      </c>
      <c r="E1345" t="s">
        <v>4810</v>
      </c>
      <c r="F1345" t="s">
        <v>1612</v>
      </c>
      <c r="G1345">
        <v>9.0663800000000005</v>
      </c>
      <c r="H1345">
        <v>-79.668520000000001</v>
      </c>
      <c r="I1345" t="s">
        <v>1595</v>
      </c>
      <c r="J1345">
        <v>400</v>
      </c>
      <c r="K1345">
        <v>1908</v>
      </c>
      <c r="L1345">
        <v>1908</v>
      </c>
      <c r="M1345" t="s">
        <v>222</v>
      </c>
      <c r="N1345" t="s">
        <v>222</v>
      </c>
      <c r="O1345" t="s">
        <v>4787</v>
      </c>
      <c r="P1345" t="s">
        <v>4811</v>
      </c>
      <c r="Q1345" t="str">
        <f>IF($C1345="","",IFERROR(VLOOKUP($C1345,sources!$A$2:$N$200,2,FALSE()),"?"))</f>
        <v>Map</v>
      </c>
      <c r="S1345" t="str">
        <f>IF($C1345="","",IFERROR(VLOOKUP($C1345,sources!$A$2:$N$200,9,FALSE()),"?"))</f>
        <v>US official</v>
      </c>
    </row>
    <row r="1346" spans="1:19" x14ac:dyDescent="0.2">
      <c r="A1346" t="s">
        <v>4812</v>
      </c>
      <c r="B1346" t="s">
        <v>820</v>
      </c>
      <c r="C1346" t="s">
        <v>1354</v>
      </c>
      <c r="D1346" t="s">
        <v>1594</v>
      </c>
      <c r="E1346" t="s">
        <v>821</v>
      </c>
      <c r="F1346" t="s">
        <v>1612</v>
      </c>
      <c r="G1346">
        <v>8.9613359999999993</v>
      </c>
      <c r="H1346">
        <v>-79.549452000000002</v>
      </c>
      <c r="I1346" t="s">
        <v>4813</v>
      </c>
      <c r="J1346">
        <v>150</v>
      </c>
      <c r="K1346">
        <v>1905</v>
      </c>
      <c r="L1346">
        <v>1906</v>
      </c>
      <c r="M1346" t="s">
        <v>222</v>
      </c>
      <c r="N1346" t="s">
        <v>222</v>
      </c>
      <c r="O1346" t="s">
        <v>4814</v>
      </c>
      <c r="P1346" t="s">
        <v>4815</v>
      </c>
      <c r="Q1346" t="str">
        <f>IF($C1346="","",IFERROR(VLOOKUP($C1346,sources!$A$2:$N$200,2,FALSE()),"?"))</f>
        <v>Map</v>
      </c>
      <c r="S1346" t="str">
        <f>IF($C1346="","",IFERROR(VLOOKUP($C1346,sources!$A$2:$N$200,9,FALSE()),"?"))</f>
        <v>US official</v>
      </c>
    </row>
    <row r="1347" spans="1:19" x14ac:dyDescent="0.2">
      <c r="A1347" t="s">
        <v>4816</v>
      </c>
      <c r="B1347" t="s">
        <v>824</v>
      </c>
      <c r="C1347" t="s">
        <v>1354</v>
      </c>
      <c r="D1347" t="s">
        <v>1594</v>
      </c>
      <c r="E1347" t="s">
        <v>4358</v>
      </c>
      <c r="F1347" t="s">
        <v>1612</v>
      </c>
      <c r="G1347">
        <v>8.9587599999999998</v>
      </c>
      <c r="H1347">
        <v>-79.553927999999999</v>
      </c>
      <c r="I1347" t="s">
        <v>4813</v>
      </c>
      <c r="J1347">
        <v>200</v>
      </c>
      <c r="K1347">
        <v>1905</v>
      </c>
      <c r="L1347">
        <v>1906</v>
      </c>
      <c r="M1347" t="s">
        <v>222</v>
      </c>
      <c r="N1347" t="s">
        <v>228</v>
      </c>
      <c r="O1347" t="s">
        <v>4814</v>
      </c>
      <c r="P1347" t="s">
        <v>4817</v>
      </c>
      <c r="Q1347" t="str">
        <f>IF($C1347="","",IFERROR(VLOOKUP($C1347,sources!$A$2:$N$200,2,FALSE()),"?"))</f>
        <v>Map</v>
      </c>
      <c r="S1347" t="str">
        <f>IF($C1347="","",IFERROR(VLOOKUP($C1347,sources!$A$2:$N$200,9,FALSE()),"?"))</f>
        <v>US official</v>
      </c>
    </row>
    <row r="1348" spans="1:19" x14ac:dyDescent="0.2">
      <c r="A1348" t="s">
        <v>4818</v>
      </c>
      <c r="B1348" t="s">
        <v>827</v>
      </c>
      <c r="C1348" t="s">
        <v>1354</v>
      </c>
      <c r="D1348" t="s">
        <v>1594</v>
      </c>
      <c r="E1348" t="s">
        <v>4361</v>
      </c>
      <c r="F1348" t="s">
        <v>1612</v>
      </c>
      <c r="G1348">
        <v>8.9539039999999996</v>
      </c>
      <c r="H1348">
        <v>-79.548524999999998</v>
      </c>
      <c r="I1348" t="s">
        <v>4813</v>
      </c>
      <c r="J1348">
        <v>150</v>
      </c>
      <c r="K1348">
        <v>1905</v>
      </c>
      <c r="L1348">
        <v>1906</v>
      </c>
      <c r="M1348" t="s">
        <v>222</v>
      </c>
      <c r="N1348" t="s">
        <v>222</v>
      </c>
      <c r="O1348" t="s">
        <v>4814</v>
      </c>
      <c r="P1348" t="s">
        <v>4819</v>
      </c>
      <c r="Q1348" t="str">
        <f>IF($C1348="","",IFERROR(VLOOKUP($C1348,sources!$A$2:$N$200,2,FALSE()),"?"))</f>
        <v>Map</v>
      </c>
      <c r="S1348" t="str">
        <f>IF($C1348="","",IFERROR(VLOOKUP($C1348,sources!$A$2:$N$200,9,FALSE()),"?"))</f>
        <v>US official</v>
      </c>
    </row>
    <row r="1349" spans="1:19" x14ac:dyDescent="0.2">
      <c r="A1349" t="s">
        <v>4820</v>
      </c>
      <c r="B1349" t="s">
        <v>367</v>
      </c>
      <c r="C1349" t="s">
        <v>1354</v>
      </c>
      <c r="D1349" t="s">
        <v>1599</v>
      </c>
      <c r="E1349" t="s">
        <v>4821</v>
      </c>
      <c r="F1349" t="s">
        <v>1612</v>
      </c>
      <c r="G1349">
        <v>8.9472520000000006</v>
      </c>
      <c r="H1349">
        <v>-79.569858999999994</v>
      </c>
      <c r="I1349" t="s">
        <v>4813</v>
      </c>
      <c r="J1349">
        <v>300</v>
      </c>
      <c r="K1349">
        <v>1905</v>
      </c>
      <c r="L1349">
        <v>1906</v>
      </c>
      <c r="M1349" t="s">
        <v>222</v>
      </c>
      <c r="N1349" t="s">
        <v>222</v>
      </c>
      <c r="O1349" t="s">
        <v>4814</v>
      </c>
      <c r="P1349" t="s">
        <v>4822</v>
      </c>
      <c r="Q1349" t="str">
        <f>IF($C1349="","",IFERROR(VLOOKUP($C1349,sources!$A$2:$N$200,2,FALSE()),"?"))</f>
        <v>Map</v>
      </c>
      <c r="S1349" t="str">
        <f>IF($C1349="","",IFERROR(VLOOKUP($C1349,sources!$A$2:$N$200,9,FALSE()),"?"))</f>
        <v>US official</v>
      </c>
    </row>
    <row r="1350" spans="1:19" x14ac:dyDescent="0.2">
      <c r="A1350" t="s">
        <v>4823</v>
      </c>
      <c r="B1350" t="s">
        <v>430</v>
      </c>
      <c r="C1350" t="s">
        <v>1354</v>
      </c>
      <c r="D1350" t="s">
        <v>1585</v>
      </c>
      <c r="E1350" t="s">
        <v>3498</v>
      </c>
      <c r="F1350" t="s">
        <v>1612</v>
      </c>
      <c r="G1350">
        <v>8.9564260000000004</v>
      </c>
      <c r="H1350">
        <v>-79.570643000000004</v>
      </c>
      <c r="I1350" t="s">
        <v>4813</v>
      </c>
      <c r="J1350">
        <v>400</v>
      </c>
      <c r="M1350" t="s">
        <v>209</v>
      </c>
      <c r="N1350" t="s">
        <v>228</v>
      </c>
      <c r="O1350" t="s">
        <v>4814</v>
      </c>
      <c r="P1350" t="s">
        <v>4824</v>
      </c>
      <c r="Q1350" t="str">
        <f>IF($C1350="","",IFERROR(VLOOKUP($C1350,sources!$A$2:$N$200,2,FALSE()),"?"))</f>
        <v>Map</v>
      </c>
      <c r="S1350" t="str">
        <f>IF($C1350="","",IFERROR(VLOOKUP($C1350,sources!$A$2:$N$200,9,FALSE()),"?"))</f>
        <v>US official</v>
      </c>
    </row>
    <row r="1351" spans="1:19" x14ac:dyDescent="0.2">
      <c r="A1351" t="s">
        <v>4825</v>
      </c>
      <c r="B1351" t="s">
        <v>871</v>
      </c>
      <c r="C1351" t="s">
        <v>1412</v>
      </c>
      <c r="D1351" t="s">
        <v>1599</v>
      </c>
      <c r="E1351" t="s">
        <v>873</v>
      </c>
      <c r="F1351" t="s">
        <v>1612</v>
      </c>
      <c r="N1351" t="s">
        <v>222</v>
      </c>
      <c r="O1351" t="s">
        <v>4826</v>
      </c>
      <c r="P1351" t="s">
        <v>4827</v>
      </c>
      <c r="Q1351" t="str">
        <f>IF($C1351="","",IFERROR(VLOOKUP($C1351,sources!$A$2:$N$200,2,FALSE()),"?"))</f>
        <v>Web compilation</v>
      </c>
      <c r="S1351" t="str">
        <f>IF($C1351="","",IFERROR(VLOOKUP($C1351,sources!$A$2:$N$200,9,FALSE()),"?"))</f>
        <v>Caribbean community</v>
      </c>
    </row>
    <row r="1352" spans="1:19" x14ac:dyDescent="0.2">
      <c r="A1352" t="s">
        <v>4828</v>
      </c>
      <c r="B1352" t="s">
        <v>875</v>
      </c>
      <c r="C1352" t="s">
        <v>1412</v>
      </c>
      <c r="D1352" t="s">
        <v>1599</v>
      </c>
      <c r="E1352" t="s">
        <v>4829</v>
      </c>
      <c r="F1352" t="s">
        <v>1612</v>
      </c>
      <c r="N1352" t="s">
        <v>222</v>
      </c>
      <c r="O1352" t="s">
        <v>4826</v>
      </c>
      <c r="P1352" t="s">
        <v>4830</v>
      </c>
      <c r="Q1352" t="str">
        <f>IF($C1352="","",IFERROR(VLOOKUP($C1352,sources!$A$2:$N$200,2,FALSE()),"?"))</f>
        <v>Web compilation</v>
      </c>
      <c r="S1352" t="str">
        <f>IF($C1352="","",IFERROR(VLOOKUP($C1352,sources!$A$2:$N$200,9,FALSE()),"?"))</f>
        <v>Caribbean community</v>
      </c>
    </row>
    <row r="1353" spans="1:19" x14ac:dyDescent="0.2">
      <c r="A1353" t="s">
        <v>4831</v>
      </c>
      <c r="B1353" t="s">
        <v>879</v>
      </c>
      <c r="C1353" t="s">
        <v>1412</v>
      </c>
      <c r="D1353" t="s">
        <v>1599</v>
      </c>
      <c r="E1353" t="s">
        <v>4832</v>
      </c>
      <c r="F1353" t="s">
        <v>1612</v>
      </c>
      <c r="N1353" t="s">
        <v>222</v>
      </c>
      <c r="O1353" t="s">
        <v>4826</v>
      </c>
      <c r="P1353" t="s">
        <v>4833</v>
      </c>
      <c r="Q1353" t="str">
        <f>IF($C1353="","",IFERROR(VLOOKUP($C1353,sources!$A$2:$N$200,2,FALSE()),"?"))</f>
        <v>Web compilation</v>
      </c>
      <c r="S1353" t="str">
        <f>IF($C1353="","",IFERROR(VLOOKUP($C1353,sources!$A$2:$N$200,9,FALSE()),"?"))</f>
        <v>Caribbean community</v>
      </c>
    </row>
    <row r="1354" spans="1:19" x14ac:dyDescent="0.2">
      <c r="A1354" t="s">
        <v>4834</v>
      </c>
      <c r="B1354" t="s">
        <v>884</v>
      </c>
      <c r="C1354" t="s">
        <v>1412</v>
      </c>
      <c r="D1354" t="s">
        <v>1599</v>
      </c>
      <c r="E1354" t="s">
        <v>4835</v>
      </c>
      <c r="F1354" t="s">
        <v>1612</v>
      </c>
      <c r="N1354" t="s">
        <v>222</v>
      </c>
      <c r="O1354" t="s">
        <v>4826</v>
      </c>
      <c r="P1354" t="s">
        <v>4836</v>
      </c>
      <c r="Q1354" t="str">
        <f>IF($C1354="","",IFERROR(VLOOKUP($C1354,sources!$A$2:$N$200,2,FALSE()),"?"))</f>
        <v>Web compilation</v>
      </c>
      <c r="S1354" t="str">
        <f>IF($C1354="","",IFERROR(VLOOKUP($C1354,sources!$A$2:$N$200,9,FALSE()),"?"))</f>
        <v>Caribbean community</v>
      </c>
    </row>
    <row r="1355" spans="1:19" x14ac:dyDescent="0.2">
      <c r="A1355" t="s">
        <v>4837</v>
      </c>
      <c r="B1355" t="s">
        <v>888</v>
      </c>
      <c r="C1355" t="s">
        <v>1412</v>
      </c>
      <c r="D1355" t="s">
        <v>1599</v>
      </c>
      <c r="E1355" t="s">
        <v>4838</v>
      </c>
      <c r="F1355" t="s">
        <v>1612</v>
      </c>
      <c r="N1355" t="s">
        <v>222</v>
      </c>
      <c r="O1355" t="s">
        <v>4826</v>
      </c>
      <c r="P1355" t="s">
        <v>4839</v>
      </c>
      <c r="Q1355" t="str">
        <f>IF($C1355="","",IFERROR(VLOOKUP($C1355,sources!$A$2:$N$200,2,FALSE()),"?"))</f>
        <v>Web compilation</v>
      </c>
      <c r="S1355" t="str">
        <f>IF($C1355="","",IFERROR(VLOOKUP($C1355,sources!$A$2:$N$200,9,FALSE()),"?"))</f>
        <v>Caribbean community</v>
      </c>
    </row>
    <row r="1356" spans="1:19" x14ac:dyDescent="0.2">
      <c r="A1356" t="s">
        <v>4840</v>
      </c>
      <c r="B1356" t="s">
        <v>892</v>
      </c>
      <c r="C1356" t="s">
        <v>1330</v>
      </c>
      <c r="D1356" t="s">
        <v>1594</v>
      </c>
      <c r="E1356" t="s">
        <v>4841</v>
      </c>
      <c r="F1356" t="s">
        <v>1612</v>
      </c>
      <c r="G1356">
        <v>9.0370000000000008</v>
      </c>
      <c r="H1356">
        <v>-79.646299999999997</v>
      </c>
      <c r="I1356" t="s">
        <v>1595</v>
      </c>
      <c r="J1356">
        <v>150</v>
      </c>
      <c r="K1356">
        <v>1910</v>
      </c>
      <c r="L1356">
        <v>1910</v>
      </c>
      <c r="M1356" t="s">
        <v>222</v>
      </c>
      <c r="N1356" t="s">
        <v>228</v>
      </c>
      <c r="O1356" t="s">
        <v>114</v>
      </c>
      <c r="P1356" t="s">
        <v>4842</v>
      </c>
      <c r="Q1356" t="str">
        <f>IF($C1356="","",IFERROR(VLOOKUP($C1356,sources!$A$2:$N$200,2,FALSE()),"?"))</f>
        <v>Map</v>
      </c>
      <c r="S1356" t="str">
        <f>IF($C1356="","",IFERROR(VLOOKUP($C1356,sources!$A$2:$N$200,9,FALSE()),"?"))</f>
        <v>US official</v>
      </c>
    </row>
    <row r="1357" spans="1:19" x14ac:dyDescent="0.2">
      <c r="A1357" t="s">
        <v>4843</v>
      </c>
      <c r="B1357" t="s">
        <v>895</v>
      </c>
      <c r="C1357" t="s">
        <v>1330</v>
      </c>
      <c r="D1357" t="s">
        <v>1594</v>
      </c>
      <c r="E1357" t="s">
        <v>4844</v>
      </c>
      <c r="F1357" t="s">
        <v>1612</v>
      </c>
      <c r="G1357">
        <v>9.0366999999999997</v>
      </c>
      <c r="H1357">
        <v>-79.646600000000007</v>
      </c>
      <c r="I1357" t="s">
        <v>1595</v>
      </c>
      <c r="J1357">
        <v>150</v>
      </c>
      <c r="K1357">
        <v>1910</v>
      </c>
      <c r="L1357">
        <v>1910</v>
      </c>
      <c r="M1357" t="s">
        <v>222</v>
      </c>
      <c r="N1357" t="s">
        <v>228</v>
      </c>
      <c r="O1357" t="s">
        <v>114</v>
      </c>
      <c r="P1357" t="s">
        <v>4842</v>
      </c>
      <c r="Q1357" t="str">
        <f>IF($C1357="","",IFERROR(VLOOKUP($C1357,sources!$A$2:$N$200,2,FALSE()),"?"))</f>
        <v>Map</v>
      </c>
      <c r="S1357" t="str">
        <f>IF($C1357="","",IFERROR(VLOOKUP($C1357,sources!$A$2:$N$200,9,FALSE()),"?"))</f>
        <v>US official</v>
      </c>
    </row>
    <row r="1358" spans="1:19" x14ac:dyDescent="0.2">
      <c r="A1358" t="s">
        <v>4845</v>
      </c>
      <c r="B1358" t="s">
        <v>898</v>
      </c>
      <c r="C1358" t="s">
        <v>1330</v>
      </c>
      <c r="D1358" t="s">
        <v>1594</v>
      </c>
      <c r="E1358" t="s">
        <v>4846</v>
      </c>
      <c r="F1358" t="s">
        <v>1612</v>
      </c>
      <c r="G1358">
        <v>9.0360999999999994</v>
      </c>
      <c r="H1358">
        <v>-79.647099999999995</v>
      </c>
      <c r="I1358" t="s">
        <v>1595</v>
      </c>
      <c r="J1358">
        <v>150</v>
      </c>
      <c r="K1358">
        <v>1910</v>
      </c>
      <c r="L1358">
        <v>1910</v>
      </c>
      <c r="M1358" t="s">
        <v>222</v>
      </c>
      <c r="N1358" t="s">
        <v>228</v>
      </c>
      <c r="O1358" t="s">
        <v>114</v>
      </c>
      <c r="P1358" t="s">
        <v>4847</v>
      </c>
      <c r="Q1358" t="str">
        <f>IF($C1358="","",IFERROR(VLOOKUP($C1358,sources!$A$2:$N$200,2,FALSE()),"?"))</f>
        <v>Map</v>
      </c>
      <c r="S1358" t="str">
        <f>IF($C1358="","",IFERROR(VLOOKUP($C1358,sources!$A$2:$N$200,9,FALSE()),"?"))</f>
        <v>US official</v>
      </c>
    </row>
    <row r="1359" spans="1:19" x14ac:dyDescent="0.2">
      <c r="A1359" t="s">
        <v>4848</v>
      </c>
      <c r="B1359" t="s">
        <v>854</v>
      </c>
      <c r="C1359" t="s">
        <v>1412</v>
      </c>
      <c r="D1359" t="s">
        <v>1599</v>
      </c>
      <c r="E1359" t="s">
        <v>856</v>
      </c>
      <c r="F1359" t="s">
        <v>1612</v>
      </c>
      <c r="N1359" t="s">
        <v>222</v>
      </c>
      <c r="O1359" t="s">
        <v>4849</v>
      </c>
      <c r="P1359" t="s">
        <v>4850</v>
      </c>
      <c r="Q1359" t="str">
        <f>IF($C1359="","",IFERROR(VLOOKUP($C1359,sources!$A$2:$N$200,2,FALSE()),"?"))</f>
        <v>Web compilation</v>
      </c>
      <c r="S1359" t="str">
        <f>IF($C1359="","",IFERROR(VLOOKUP($C1359,sources!$A$2:$N$200,9,FALSE()),"?"))</f>
        <v>Caribbean community</v>
      </c>
    </row>
    <row r="1360" spans="1:19" x14ac:dyDescent="0.2">
      <c r="A1360" t="s">
        <v>4851</v>
      </c>
      <c r="B1360" t="s">
        <v>824</v>
      </c>
      <c r="C1360" t="s">
        <v>1412</v>
      </c>
      <c r="D1360" t="s">
        <v>1594</v>
      </c>
      <c r="E1360" t="s">
        <v>4852</v>
      </c>
      <c r="F1360" t="s">
        <v>1612</v>
      </c>
      <c r="G1360">
        <v>8.9596800000000005</v>
      </c>
      <c r="H1360">
        <v>-79.554832599999997</v>
      </c>
      <c r="I1360" t="s">
        <v>4853</v>
      </c>
      <c r="J1360">
        <v>150</v>
      </c>
      <c r="N1360" t="s">
        <v>228</v>
      </c>
      <c r="O1360" t="s">
        <v>4854</v>
      </c>
      <c r="P1360" t="s">
        <v>4855</v>
      </c>
      <c r="Q1360" t="str">
        <f>IF($C1360="","",IFERROR(VLOOKUP($C1360,sources!$A$2:$N$200,2,FALSE()),"?"))</f>
        <v>Web compilation</v>
      </c>
      <c r="S1360" t="str">
        <f>IF($C1360="","",IFERROR(VLOOKUP($C1360,sources!$A$2:$N$200,9,FALSE()),"?"))</f>
        <v>Caribbean community</v>
      </c>
    </row>
    <row r="1361" spans="1:19" x14ac:dyDescent="0.2">
      <c r="A1361" t="s">
        <v>4856</v>
      </c>
      <c r="B1361" t="s">
        <v>871</v>
      </c>
      <c r="C1361" t="s">
        <v>1342</v>
      </c>
      <c r="D1361" t="s">
        <v>1594</v>
      </c>
      <c r="E1361" t="s">
        <v>4857</v>
      </c>
      <c r="F1361" t="s">
        <v>1612</v>
      </c>
      <c r="G1361">
        <v>9.113073</v>
      </c>
      <c r="H1361">
        <v>-79.725834000000006</v>
      </c>
      <c r="I1361" t="s">
        <v>4858</v>
      </c>
      <c r="J1361">
        <v>200</v>
      </c>
      <c r="K1361">
        <v>1908</v>
      </c>
      <c r="L1361">
        <v>1908</v>
      </c>
      <c r="M1361" t="s">
        <v>222</v>
      </c>
      <c r="N1361" t="s">
        <v>209</v>
      </c>
      <c r="O1361" t="s">
        <v>4859</v>
      </c>
      <c r="P1361" t="s">
        <v>4860</v>
      </c>
      <c r="Q1361" t="str">
        <f>IF($C1361="","",IFERROR(VLOOKUP($C1361,sources!$A$2:$N$200,2,FALSE()),"?"))</f>
        <v>Map</v>
      </c>
      <c r="S1361" t="str">
        <f>IF($C1361="","",IFERROR(VLOOKUP($C1361,sources!$A$2:$N$200,9,FALSE()),"?"))</f>
        <v>US official</v>
      </c>
    </row>
    <row r="1362" spans="1:19" x14ac:dyDescent="0.2">
      <c r="A1362" t="s">
        <v>4861</v>
      </c>
      <c r="B1362" t="s">
        <v>458</v>
      </c>
      <c r="C1362" t="s">
        <v>1420</v>
      </c>
      <c r="D1362" t="s">
        <v>1594</v>
      </c>
      <c r="E1362" t="s">
        <v>4862</v>
      </c>
      <c r="F1362" t="s">
        <v>1612</v>
      </c>
      <c r="G1362">
        <v>8.9610859999999999</v>
      </c>
      <c r="H1362">
        <v>-79.557709000000003</v>
      </c>
      <c r="I1362" t="s">
        <v>4813</v>
      </c>
      <c r="J1362">
        <v>150</v>
      </c>
      <c r="K1362">
        <v>1947</v>
      </c>
      <c r="L1362">
        <v>1947</v>
      </c>
      <c r="M1362" t="s">
        <v>222</v>
      </c>
      <c r="N1362" t="s">
        <v>222</v>
      </c>
      <c r="O1362" t="s">
        <v>4863</v>
      </c>
      <c r="P1362" t="s">
        <v>4864</v>
      </c>
      <c r="Q1362" t="str">
        <f>IF($C1362="","",IFERROR(VLOOKUP($C1362,sources!$A$2:$N$200,2,FALSE()),"?"))</f>
        <v>Map</v>
      </c>
      <c r="S1362" t="str">
        <f>IF($C1362="","",IFERROR(VLOOKUP($C1362,sources!$A$2:$N$200,9,FALSE()),"?"))</f>
        <v>US military</v>
      </c>
    </row>
    <row r="1363" spans="1:19" x14ac:dyDescent="0.2">
      <c r="A1363" t="s">
        <v>4865</v>
      </c>
      <c r="B1363" t="s">
        <v>566</v>
      </c>
      <c r="C1363" t="s">
        <v>1420</v>
      </c>
      <c r="D1363" t="s">
        <v>1594</v>
      </c>
      <c r="E1363" t="s">
        <v>4866</v>
      </c>
      <c r="F1363" t="s">
        <v>1612</v>
      </c>
      <c r="G1363">
        <v>8.9567700000000006</v>
      </c>
      <c r="H1363">
        <v>-79.552678</v>
      </c>
      <c r="I1363" t="s">
        <v>4813</v>
      </c>
      <c r="J1363">
        <v>250</v>
      </c>
      <c r="K1363">
        <v>1947</v>
      </c>
      <c r="L1363">
        <v>1947</v>
      </c>
      <c r="M1363" t="s">
        <v>222</v>
      </c>
      <c r="N1363" t="s">
        <v>222</v>
      </c>
      <c r="O1363" t="s">
        <v>4863</v>
      </c>
      <c r="P1363" t="s">
        <v>4867</v>
      </c>
      <c r="Q1363" t="str">
        <f>IF($C1363="","",IFERROR(VLOOKUP($C1363,sources!$A$2:$N$200,2,FALSE()),"?"))</f>
        <v>Map</v>
      </c>
      <c r="S1363" t="str">
        <f>IF($C1363="","",IFERROR(VLOOKUP($C1363,sources!$A$2:$N$200,9,FALSE()),"?"))</f>
        <v>US military</v>
      </c>
    </row>
    <row r="1364" spans="1:19" x14ac:dyDescent="0.2">
      <c r="A1364" t="s">
        <v>4868</v>
      </c>
      <c r="B1364" t="s">
        <v>354</v>
      </c>
      <c r="C1364" t="s">
        <v>1420</v>
      </c>
      <c r="D1364" t="s">
        <v>1594</v>
      </c>
      <c r="E1364" t="s">
        <v>3484</v>
      </c>
      <c r="F1364" t="s">
        <v>1612</v>
      </c>
      <c r="G1364">
        <v>8.9630299999999998</v>
      </c>
      <c r="H1364">
        <v>-79.549002999999999</v>
      </c>
      <c r="I1364" t="s">
        <v>4813</v>
      </c>
      <c r="J1364">
        <v>300</v>
      </c>
      <c r="K1364">
        <v>1947</v>
      </c>
      <c r="L1364">
        <v>1947</v>
      </c>
      <c r="M1364" t="s">
        <v>222</v>
      </c>
      <c r="N1364" t="s">
        <v>228</v>
      </c>
      <c r="O1364" t="s">
        <v>4863</v>
      </c>
      <c r="P1364" t="s">
        <v>4869</v>
      </c>
      <c r="Q1364" t="str">
        <f>IF($C1364="","",IFERROR(VLOOKUP($C1364,sources!$A$2:$N$200,2,FALSE()),"?"))</f>
        <v>Map</v>
      </c>
      <c r="S1364" t="str">
        <f>IF($C1364="","",IFERROR(VLOOKUP($C1364,sources!$A$2:$N$200,9,FALSE()),"?"))</f>
        <v>US military</v>
      </c>
    </row>
    <row r="1365" spans="1:19" x14ac:dyDescent="0.2">
      <c r="A1365" t="s">
        <v>4870</v>
      </c>
      <c r="B1365" t="s">
        <v>820</v>
      </c>
      <c r="C1365" t="s">
        <v>1420</v>
      </c>
      <c r="D1365" t="s">
        <v>1594</v>
      </c>
      <c r="E1365" t="s">
        <v>4871</v>
      </c>
      <c r="F1365" t="s">
        <v>1612</v>
      </c>
      <c r="G1365">
        <v>8.9613359999999993</v>
      </c>
      <c r="H1365">
        <v>-79.549452000000002</v>
      </c>
      <c r="I1365" t="s">
        <v>4813</v>
      </c>
      <c r="J1365">
        <v>150</v>
      </c>
      <c r="K1365">
        <v>1947</v>
      </c>
      <c r="L1365">
        <v>1947</v>
      </c>
      <c r="M1365" t="s">
        <v>222</v>
      </c>
      <c r="N1365" t="s">
        <v>222</v>
      </c>
      <c r="O1365" t="s">
        <v>4863</v>
      </c>
      <c r="P1365" t="s">
        <v>4872</v>
      </c>
      <c r="Q1365" t="str">
        <f>IF($C1365="","",IFERROR(VLOOKUP($C1365,sources!$A$2:$N$200,2,FALSE()),"?"))</f>
        <v>Map</v>
      </c>
      <c r="S1365" t="str">
        <f>IF($C1365="","",IFERROR(VLOOKUP($C1365,sources!$A$2:$N$200,9,FALSE()),"?"))</f>
        <v>US military</v>
      </c>
    </row>
    <row r="1366" spans="1:19" x14ac:dyDescent="0.2">
      <c r="A1366" t="s">
        <v>4873</v>
      </c>
      <c r="B1366" t="s">
        <v>820</v>
      </c>
      <c r="C1366" t="s">
        <v>1420</v>
      </c>
      <c r="D1366" t="s">
        <v>1585</v>
      </c>
      <c r="E1366" t="s">
        <v>4871</v>
      </c>
      <c r="F1366" t="s">
        <v>1612</v>
      </c>
      <c r="I1366" t="s">
        <v>1077</v>
      </c>
      <c r="K1366">
        <v>1947</v>
      </c>
      <c r="L1366">
        <v>1947</v>
      </c>
      <c r="M1366" t="s">
        <v>222</v>
      </c>
      <c r="N1366" t="s">
        <v>222</v>
      </c>
      <c r="O1366" t="s">
        <v>4863</v>
      </c>
      <c r="P1366" t="s">
        <v>4874</v>
      </c>
      <c r="Q1366" t="str">
        <f>IF($C1366="","",IFERROR(VLOOKUP($C1366,sources!$A$2:$N$200,2,FALSE()),"?"))</f>
        <v>Map</v>
      </c>
      <c r="S1366" t="str">
        <f>IF($C1366="","",IFERROR(VLOOKUP($C1366,sources!$A$2:$N$200,9,FALSE()),"?"))</f>
        <v>US military</v>
      </c>
    </row>
    <row r="1367" spans="1:19" x14ac:dyDescent="0.2">
      <c r="A1367" t="s">
        <v>4875</v>
      </c>
      <c r="B1367" t="s">
        <v>367</v>
      </c>
      <c r="C1367" t="s">
        <v>1420</v>
      </c>
      <c r="D1367" t="s">
        <v>1594</v>
      </c>
      <c r="E1367" t="s">
        <v>4876</v>
      </c>
      <c r="F1367" t="s">
        <v>1612</v>
      </c>
      <c r="G1367">
        <v>8.9489129999999992</v>
      </c>
      <c r="H1367">
        <v>-79.564927999999995</v>
      </c>
      <c r="I1367" t="s">
        <v>4813</v>
      </c>
      <c r="J1367">
        <v>200</v>
      </c>
      <c r="K1367">
        <v>1947</v>
      </c>
      <c r="L1367">
        <v>1947</v>
      </c>
      <c r="M1367" t="s">
        <v>222</v>
      </c>
      <c r="N1367" t="s">
        <v>222</v>
      </c>
      <c r="O1367" t="s">
        <v>4863</v>
      </c>
      <c r="P1367" t="s">
        <v>4877</v>
      </c>
      <c r="Q1367" t="str">
        <f>IF($C1367="","",IFERROR(VLOOKUP($C1367,sources!$A$2:$N$200,2,FALSE()),"?"))</f>
        <v>Map</v>
      </c>
      <c r="S1367" t="str">
        <f>IF($C1367="","",IFERROR(VLOOKUP($C1367,sources!$A$2:$N$200,9,FALSE()),"?"))</f>
        <v>US military</v>
      </c>
    </row>
    <row r="1368" spans="1:19" x14ac:dyDescent="0.2">
      <c r="A1368" t="s">
        <v>4878</v>
      </c>
      <c r="B1368" t="s">
        <v>430</v>
      </c>
      <c r="C1368" t="s">
        <v>1420</v>
      </c>
      <c r="D1368" t="s">
        <v>1594</v>
      </c>
      <c r="E1368" t="s">
        <v>3498</v>
      </c>
      <c r="F1368" t="s">
        <v>1612</v>
      </c>
      <c r="G1368">
        <v>8.9556170000000002</v>
      </c>
      <c r="H1368">
        <v>-79.557953999999995</v>
      </c>
      <c r="I1368" t="s">
        <v>4813</v>
      </c>
      <c r="J1368">
        <v>300</v>
      </c>
      <c r="K1368">
        <v>1947</v>
      </c>
      <c r="L1368">
        <v>1947</v>
      </c>
      <c r="M1368" t="s">
        <v>222</v>
      </c>
      <c r="N1368" t="s">
        <v>222</v>
      </c>
      <c r="O1368" t="s">
        <v>4863</v>
      </c>
      <c r="P1368" t="s">
        <v>4879</v>
      </c>
      <c r="Q1368" t="str">
        <f>IF($C1368="","",IFERROR(VLOOKUP($C1368,sources!$A$2:$N$200,2,FALSE()),"?"))</f>
        <v>Map</v>
      </c>
      <c r="S1368" t="str">
        <f>IF($C1368="","",IFERROR(VLOOKUP($C1368,sources!$A$2:$N$200,9,FALSE()),"?"))</f>
        <v>US military</v>
      </c>
    </row>
    <row r="1369" spans="1:19" x14ac:dyDescent="0.2">
      <c r="A1369" t="s">
        <v>4880</v>
      </c>
      <c r="B1369" t="s">
        <v>370</v>
      </c>
      <c r="C1369" t="s">
        <v>1420</v>
      </c>
      <c r="D1369" t="s">
        <v>1594</v>
      </c>
      <c r="E1369" t="s">
        <v>3489</v>
      </c>
      <c r="F1369" t="s">
        <v>1612</v>
      </c>
      <c r="G1369">
        <v>8.9818820000000006</v>
      </c>
      <c r="H1369">
        <v>-79.572896999999998</v>
      </c>
      <c r="I1369" t="s">
        <v>4813</v>
      </c>
      <c r="J1369">
        <v>300</v>
      </c>
      <c r="K1369">
        <v>1947</v>
      </c>
      <c r="L1369">
        <v>1947</v>
      </c>
      <c r="M1369" t="s">
        <v>222</v>
      </c>
      <c r="N1369" t="s">
        <v>228</v>
      </c>
      <c r="O1369" t="s">
        <v>4863</v>
      </c>
      <c r="P1369" t="s">
        <v>4881</v>
      </c>
      <c r="Q1369" t="str">
        <f>IF($C1369="","",IFERROR(VLOOKUP($C1369,sources!$A$2:$N$200,2,FALSE()),"?"))</f>
        <v>Map</v>
      </c>
      <c r="S1369" t="str">
        <f>IF($C1369="","",IFERROR(VLOOKUP($C1369,sources!$A$2:$N$200,9,FALSE()),"?"))</f>
        <v>US military</v>
      </c>
    </row>
    <row r="1370" spans="1:19" x14ac:dyDescent="0.2">
      <c r="A1370" t="s">
        <v>4882</v>
      </c>
      <c r="B1370" t="s">
        <v>561</v>
      </c>
      <c r="C1370" t="s">
        <v>1420</v>
      </c>
      <c r="D1370" t="s">
        <v>1594</v>
      </c>
      <c r="E1370" t="s">
        <v>4883</v>
      </c>
      <c r="F1370" t="s">
        <v>1612</v>
      </c>
      <c r="G1370">
        <v>8.9742230000000003</v>
      </c>
      <c r="H1370">
        <v>-79.564537999999999</v>
      </c>
      <c r="I1370" t="s">
        <v>4813</v>
      </c>
      <c r="J1370">
        <v>300</v>
      </c>
      <c r="K1370">
        <v>1947</v>
      </c>
      <c r="L1370">
        <v>1947</v>
      </c>
      <c r="M1370" t="s">
        <v>222</v>
      </c>
      <c r="N1370" t="s">
        <v>222</v>
      </c>
      <c r="O1370" t="s">
        <v>4863</v>
      </c>
      <c r="P1370" t="s">
        <v>4884</v>
      </c>
      <c r="Q1370" t="str">
        <f>IF($C1370="","",IFERROR(VLOOKUP($C1370,sources!$A$2:$N$200,2,FALSE()),"?"))</f>
        <v>Map</v>
      </c>
      <c r="S1370" t="str">
        <f>IF($C1370="","",IFERROR(VLOOKUP($C1370,sources!$A$2:$N$200,9,FALSE()),"?"))</f>
        <v>US military</v>
      </c>
    </row>
    <row r="1371" spans="1:19" x14ac:dyDescent="0.2">
      <c r="A1371" t="s">
        <v>4885</v>
      </c>
      <c r="B1371" t="s">
        <v>824</v>
      </c>
      <c r="C1371" t="s">
        <v>1420</v>
      </c>
      <c r="D1371" t="s">
        <v>1666</v>
      </c>
      <c r="E1371" t="s">
        <v>825</v>
      </c>
      <c r="F1371" t="s">
        <v>1612</v>
      </c>
      <c r="I1371" t="s">
        <v>1077</v>
      </c>
      <c r="K1371">
        <v>1947</v>
      </c>
      <c r="L1371">
        <v>1947</v>
      </c>
      <c r="M1371" t="s">
        <v>222</v>
      </c>
      <c r="N1371" t="s">
        <v>228</v>
      </c>
      <c r="O1371" t="s">
        <v>4863</v>
      </c>
      <c r="P1371" t="s">
        <v>4886</v>
      </c>
      <c r="Q1371" t="str">
        <f>IF($C1371="","",IFERROR(VLOOKUP($C1371,sources!$A$2:$N$200,2,FALSE()),"?"))</f>
        <v>Map</v>
      </c>
      <c r="S1371" t="str">
        <f>IF($C1371="","",IFERROR(VLOOKUP($C1371,sources!$A$2:$N$200,9,FALSE()),"?"))</f>
        <v>US military</v>
      </c>
    </row>
    <row r="1372" spans="1:19" x14ac:dyDescent="0.2">
      <c r="A1372" t="s">
        <v>4887</v>
      </c>
      <c r="B1372" t="s">
        <v>827</v>
      </c>
      <c r="C1372" t="s">
        <v>1420</v>
      </c>
      <c r="D1372" t="s">
        <v>1666</v>
      </c>
      <c r="E1372" t="s">
        <v>4888</v>
      </c>
      <c r="F1372" t="s">
        <v>1612</v>
      </c>
      <c r="I1372" t="s">
        <v>1077</v>
      </c>
      <c r="K1372">
        <v>1947</v>
      </c>
      <c r="L1372">
        <v>1947</v>
      </c>
      <c r="M1372" t="s">
        <v>222</v>
      </c>
      <c r="N1372" t="s">
        <v>228</v>
      </c>
      <c r="O1372" t="s">
        <v>4863</v>
      </c>
      <c r="P1372" t="s">
        <v>4889</v>
      </c>
      <c r="Q1372" t="str">
        <f>IF($C1372="","",IFERROR(VLOOKUP($C1372,sources!$A$2:$N$200,2,FALSE()),"?"))</f>
        <v>Map</v>
      </c>
      <c r="S1372" t="str">
        <f>IF($C1372="","",IFERROR(VLOOKUP($C1372,sources!$A$2:$N$200,9,FALSE()),"?"))</f>
        <v>US military</v>
      </c>
    </row>
    <row r="1373" spans="1:19" x14ac:dyDescent="0.2">
      <c r="A1373" t="s">
        <v>4890</v>
      </c>
      <c r="B1373" t="s">
        <v>198</v>
      </c>
      <c r="C1373" t="s">
        <v>1167</v>
      </c>
      <c r="D1373" t="s">
        <v>1585</v>
      </c>
      <c r="E1373" t="s">
        <v>4891</v>
      </c>
      <c r="F1373" t="s">
        <v>3285</v>
      </c>
      <c r="I1373" t="s">
        <v>1077</v>
      </c>
      <c r="K1373">
        <v>1905</v>
      </c>
      <c r="L1373">
        <v>1908</v>
      </c>
      <c r="M1373" t="s">
        <v>222</v>
      </c>
      <c r="N1373" t="s">
        <v>222</v>
      </c>
      <c r="O1373" t="s">
        <v>4892</v>
      </c>
      <c r="P1373" t="s">
        <v>4893</v>
      </c>
      <c r="Q1373" t="str">
        <f>IF($C1373="","",IFERROR(VLOOKUP($C1373,sources!$A$2:$N$200,2,FALSE()),"?"))</f>
        <v>Report</v>
      </c>
      <c r="S1373" t="str">
        <f>IF($C1373="","",IFERROR(VLOOKUP($C1373,sources!$A$2:$N$200,9,FALSE()),"?"))</f>
        <v>US official</v>
      </c>
    </row>
    <row r="1374" spans="1:19" x14ac:dyDescent="0.2">
      <c r="A1374" t="s">
        <v>4894</v>
      </c>
      <c r="B1374" t="s">
        <v>434</v>
      </c>
      <c r="C1374" t="s">
        <v>1167</v>
      </c>
      <c r="D1374" t="s">
        <v>1585</v>
      </c>
      <c r="E1374" t="s">
        <v>2653</v>
      </c>
      <c r="F1374" t="s">
        <v>1612</v>
      </c>
      <c r="I1374" t="s">
        <v>1077</v>
      </c>
      <c r="K1374">
        <v>1883</v>
      </c>
      <c r="L1374">
        <v>1910</v>
      </c>
      <c r="M1374" t="s">
        <v>228</v>
      </c>
      <c r="N1374" t="s">
        <v>222</v>
      </c>
      <c r="O1374" t="s">
        <v>4895</v>
      </c>
      <c r="P1374" t="s">
        <v>4896</v>
      </c>
      <c r="Q1374" t="str">
        <f>IF($C1374="","",IFERROR(VLOOKUP($C1374,sources!$A$2:$N$200,2,FALSE()),"?"))</f>
        <v>Report</v>
      </c>
      <c r="S1374" t="str">
        <f>IF($C1374="","",IFERROR(VLOOKUP($C1374,sources!$A$2:$N$200,9,FALSE()),"?"))</f>
        <v>US official</v>
      </c>
    </row>
    <row r="1375" spans="1:19" x14ac:dyDescent="0.2">
      <c r="A1375" t="s">
        <v>4897</v>
      </c>
      <c r="B1375" t="s">
        <v>854</v>
      </c>
      <c r="C1375" t="s">
        <v>1167</v>
      </c>
      <c r="D1375" t="s">
        <v>1585</v>
      </c>
      <c r="E1375" t="s">
        <v>523</v>
      </c>
      <c r="F1375" t="s">
        <v>1587</v>
      </c>
      <c r="I1375" t="s">
        <v>1077</v>
      </c>
      <c r="K1375">
        <v>1910</v>
      </c>
      <c r="L1375">
        <v>1911</v>
      </c>
      <c r="M1375" t="s">
        <v>222</v>
      </c>
      <c r="N1375" t="s">
        <v>222</v>
      </c>
      <c r="O1375" t="s">
        <v>4898</v>
      </c>
      <c r="P1375" t="s">
        <v>4899</v>
      </c>
      <c r="Q1375" t="str">
        <f>IF($C1375="","",IFERROR(VLOOKUP($C1375,sources!$A$2:$N$200,2,FALSE()),"?"))</f>
        <v>Report</v>
      </c>
      <c r="S1375" t="str">
        <f>IF($C1375="","",IFERROR(VLOOKUP($C1375,sources!$A$2:$N$200,9,FALSE()),"?"))</f>
        <v>US official</v>
      </c>
    </row>
    <row r="1376" spans="1:19" x14ac:dyDescent="0.2">
      <c r="A1376" t="s">
        <v>4900</v>
      </c>
      <c r="B1376" t="s">
        <v>522</v>
      </c>
      <c r="C1376" t="s">
        <v>1167</v>
      </c>
      <c r="D1376" t="s">
        <v>1599</v>
      </c>
      <c r="E1376" t="s">
        <v>523</v>
      </c>
      <c r="F1376" t="s">
        <v>1587</v>
      </c>
      <c r="I1376" t="s">
        <v>1077</v>
      </c>
      <c r="K1376">
        <v>1907</v>
      </c>
      <c r="L1376">
        <v>1914</v>
      </c>
      <c r="M1376" t="s">
        <v>222</v>
      </c>
      <c r="N1376" t="s">
        <v>228</v>
      </c>
      <c r="O1376" t="s">
        <v>4901</v>
      </c>
      <c r="P1376" t="s">
        <v>4902</v>
      </c>
      <c r="Q1376" t="str">
        <f>IF($C1376="","",IFERROR(VLOOKUP($C1376,sources!$A$2:$N$200,2,FALSE()),"?"))</f>
        <v>Report</v>
      </c>
      <c r="S1376" t="str">
        <f>IF($C1376="","",IFERROR(VLOOKUP($C1376,sources!$A$2:$N$200,9,FALSE()),"?"))</f>
        <v>US official</v>
      </c>
    </row>
    <row r="1377" spans="1:19" x14ac:dyDescent="0.2">
      <c r="A1377" t="s">
        <v>4903</v>
      </c>
      <c r="B1377" t="s">
        <v>522</v>
      </c>
      <c r="C1377" t="s">
        <v>1167</v>
      </c>
      <c r="D1377" t="s">
        <v>1603</v>
      </c>
      <c r="E1377" t="s">
        <v>523</v>
      </c>
      <c r="F1377" t="s">
        <v>1587</v>
      </c>
      <c r="I1377" t="s">
        <v>1077</v>
      </c>
      <c r="K1377">
        <v>1913</v>
      </c>
      <c r="L1377">
        <v>1914</v>
      </c>
      <c r="M1377" t="s">
        <v>222</v>
      </c>
      <c r="N1377" t="s">
        <v>222</v>
      </c>
      <c r="O1377" t="s">
        <v>4904</v>
      </c>
      <c r="P1377" t="s">
        <v>4905</v>
      </c>
      <c r="Q1377" t="str">
        <f>IF($C1377="","",IFERROR(VLOOKUP($C1377,sources!$A$2:$N$200,2,FALSE()),"?"))</f>
        <v>Report</v>
      </c>
      <c r="S1377" t="str">
        <f>IF($C1377="","",IFERROR(VLOOKUP($C1377,sources!$A$2:$N$200,9,FALSE()),"?"))</f>
        <v>US official</v>
      </c>
    </row>
    <row r="1378" spans="1:19" x14ac:dyDescent="0.2">
      <c r="A1378" t="s">
        <v>4906</v>
      </c>
      <c r="B1378" t="s">
        <v>638</v>
      </c>
      <c r="C1378" t="s">
        <v>1167</v>
      </c>
      <c r="D1378" t="s">
        <v>1603</v>
      </c>
      <c r="E1378" t="s">
        <v>4907</v>
      </c>
      <c r="F1378" t="s">
        <v>1612</v>
      </c>
      <c r="I1378" t="s">
        <v>1077</v>
      </c>
      <c r="K1378">
        <v>1913</v>
      </c>
      <c r="L1378">
        <v>1914</v>
      </c>
      <c r="M1378" t="s">
        <v>222</v>
      </c>
      <c r="N1378" t="s">
        <v>222</v>
      </c>
      <c r="O1378" t="s">
        <v>4904</v>
      </c>
      <c r="P1378" t="s">
        <v>4908</v>
      </c>
      <c r="Q1378" t="str">
        <f>IF($C1378="","",IFERROR(VLOOKUP($C1378,sources!$A$2:$N$200,2,FALSE()),"?"))</f>
        <v>Report</v>
      </c>
      <c r="S1378" t="str">
        <f>IF($C1378="","",IFERROR(VLOOKUP($C1378,sources!$A$2:$N$200,9,FALSE()),"?"))</f>
        <v>US official</v>
      </c>
    </row>
    <row r="1379" spans="1:19" x14ac:dyDescent="0.2">
      <c r="A1379" t="s">
        <v>4909</v>
      </c>
      <c r="B1379" t="s">
        <v>638</v>
      </c>
      <c r="C1379" t="s">
        <v>1167</v>
      </c>
      <c r="D1379" t="s">
        <v>1599</v>
      </c>
      <c r="E1379" t="s">
        <v>639</v>
      </c>
      <c r="F1379" t="s">
        <v>1612</v>
      </c>
      <c r="I1379" t="s">
        <v>1077</v>
      </c>
      <c r="K1379">
        <v>1915</v>
      </c>
      <c r="L1379">
        <v>1916</v>
      </c>
      <c r="M1379" t="s">
        <v>222</v>
      </c>
      <c r="N1379" t="s">
        <v>228</v>
      </c>
      <c r="O1379" t="s">
        <v>4910</v>
      </c>
      <c r="P1379" t="s">
        <v>4911</v>
      </c>
      <c r="Q1379" t="str">
        <f>IF($C1379="","",IFERROR(VLOOKUP($C1379,sources!$A$2:$N$200,2,FALSE()),"?"))</f>
        <v>Report</v>
      </c>
      <c r="S1379" t="str">
        <f>IF($C1379="","",IFERROR(VLOOKUP($C1379,sources!$A$2:$N$200,9,FALSE()),"?"))</f>
        <v>US official</v>
      </c>
    </row>
    <row r="1380" spans="1:19" x14ac:dyDescent="0.2">
      <c r="A1380" t="s">
        <v>4912</v>
      </c>
      <c r="B1380" t="s">
        <v>644</v>
      </c>
      <c r="C1380" t="s">
        <v>1167</v>
      </c>
      <c r="D1380" t="s">
        <v>1599</v>
      </c>
      <c r="E1380" t="s">
        <v>645</v>
      </c>
      <c r="F1380" t="s">
        <v>1612</v>
      </c>
      <c r="I1380" t="s">
        <v>1077</v>
      </c>
      <c r="K1380">
        <v>1912</v>
      </c>
      <c r="L1380">
        <v>1916</v>
      </c>
      <c r="M1380" t="s">
        <v>222</v>
      </c>
      <c r="N1380" t="s">
        <v>222</v>
      </c>
      <c r="O1380" t="s">
        <v>4913</v>
      </c>
      <c r="P1380" t="s">
        <v>4914</v>
      </c>
      <c r="Q1380" t="str">
        <f>IF($C1380="","",IFERROR(VLOOKUP($C1380,sources!$A$2:$N$200,2,FALSE()),"?"))</f>
        <v>Report</v>
      </c>
      <c r="S1380" t="str">
        <f>IF($C1380="","",IFERROR(VLOOKUP($C1380,sources!$A$2:$N$200,9,FALSE()),"?"))</f>
        <v>US official</v>
      </c>
    </row>
    <row r="1381" spans="1:19" x14ac:dyDescent="0.2">
      <c r="A1381" t="s">
        <v>4915</v>
      </c>
      <c r="B1381" t="s">
        <v>603</v>
      </c>
      <c r="C1381" t="s">
        <v>1167</v>
      </c>
      <c r="D1381" t="s">
        <v>1599</v>
      </c>
      <c r="E1381" t="s">
        <v>4916</v>
      </c>
      <c r="F1381" t="s">
        <v>1612</v>
      </c>
      <c r="I1381" t="s">
        <v>1077</v>
      </c>
      <c r="K1381">
        <v>1913</v>
      </c>
      <c r="L1381">
        <v>1916</v>
      </c>
      <c r="M1381" t="s">
        <v>222</v>
      </c>
      <c r="N1381" t="s">
        <v>222</v>
      </c>
      <c r="O1381" t="s">
        <v>4917</v>
      </c>
      <c r="P1381" t="s">
        <v>4918</v>
      </c>
      <c r="Q1381" t="str">
        <f>IF($C1381="","",IFERROR(VLOOKUP($C1381,sources!$A$2:$N$200,2,FALSE()),"?"))</f>
        <v>Report</v>
      </c>
      <c r="S1381" t="str">
        <f>IF($C1381="","",IFERROR(VLOOKUP($C1381,sources!$A$2:$N$200,9,FALSE()),"?"))</f>
        <v>US official</v>
      </c>
    </row>
    <row r="1382" spans="1:19" x14ac:dyDescent="0.2">
      <c r="A1382" t="s">
        <v>4919</v>
      </c>
      <c r="B1382" t="s">
        <v>607</v>
      </c>
      <c r="C1382" t="s">
        <v>1167</v>
      </c>
      <c r="D1382" t="s">
        <v>1599</v>
      </c>
      <c r="E1382" t="s">
        <v>4920</v>
      </c>
      <c r="F1382" t="s">
        <v>1612</v>
      </c>
      <c r="I1382" t="s">
        <v>1077</v>
      </c>
      <c r="K1382">
        <v>1913</v>
      </c>
      <c r="L1382">
        <v>1916</v>
      </c>
      <c r="M1382" t="s">
        <v>222</v>
      </c>
      <c r="N1382" t="s">
        <v>222</v>
      </c>
      <c r="O1382" t="s">
        <v>4917</v>
      </c>
      <c r="P1382" t="s">
        <v>4921</v>
      </c>
      <c r="Q1382" t="str">
        <f>IF($C1382="","",IFERROR(VLOOKUP($C1382,sources!$A$2:$N$200,2,FALSE()),"?"))</f>
        <v>Report</v>
      </c>
      <c r="S1382" t="str">
        <f>IF($C1382="","",IFERROR(VLOOKUP($C1382,sources!$A$2:$N$200,9,FALSE()),"?"))</f>
        <v>US official</v>
      </c>
    </row>
    <row r="1383" spans="1:19" x14ac:dyDescent="0.2">
      <c r="A1383" t="s">
        <v>4922</v>
      </c>
      <c r="B1383" t="s">
        <v>875</v>
      </c>
      <c r="C1383" t="s">
        <v>1167</v>
      </c>
      <c r="D1383" t="s">
        <v>1599</v>
      </c>
      <c r="E1383" t="s">
        <v>485</v>
      </c>
      <c r="F1383" t="s">
        <v>1587</v>
      </c>
      <c r="I1383" t="s">
        <v>1077</v>
      </c>
      <c r="K1383">
        <v>1913</v>
      </c>
      <c r="L1383">
        <v>1915</v>
      </c>
      <c r="M1383" t="s">
        <v>222</v>
      </c>
      <c r="N1383" t="s">
        <v>222</v>
      </c>
      <c r="O1383" t="s">
        <v>4923</v>
      </c>
      <c r="P1383" t="s">
        <v>4924</v>
      </c>
      <c r="Q1383" t="str">
        <f>IF($C1383="","",IFERROR(VLOOKUP($C1383,sources!$A$2:$N$200,2,FALSE()),"?"))</f>
        <v>Report</v>
      </c>
      <c r="S1383" t="str">
        <f>IF($C1383="","",IFERROR(VLOOKUP($C1383,sources!$A$2:$N$200,9,FALSE()),"?"))</f>
        <v>US official</v>
      </c>
    </row>
    <row r="1384" spans="1:19" x14ac:dyDescent="0.2">
      <c r="A1384" t="s">
        <v>4925</v>
      </c>
      <c r="B1384" t="s">
        <v>902</v>
      </c>
      <c r="C1384" t="s">
        <v>1167</v>
      </c>
      <c r="D1384" t="s">
        <v>1585</v>
      </c>
      <c r="E1384" t="s">
        <v>903</v>
      </c>
      <c r="F1384" t="s">
        <v>1612</v>
      </c>
      <c r="I1384" t="s">
        <v>1077</v>
      </c>
      <c r="K1384">
        <v>1939</v>
      </c>
      <c r="L1384">
        <v>1940</v>
      </c>
      <c r="M1384" t="s">
        <v>222</v>
      </c>
      <c r="N1384" t="s">
        <v>222</v>
      </c>
      <c r="O1384" t="s">
        <v>4926</v>
      </c>
      <c r="P1384" t="s">
        <v>4927</v>
      </c>
      <c r="Q1384" t="str">
        <f>IF($C1384="","",IFERROR(VLOOKUP($C1384,sources!$A$2:$N$200,2,FALSE()),"?"))</f>
        <v>Report</v>
      </c>
      <c r="S1384" t="str">
        <f>IF($C1384="","",IFERROR(VLOOKUP($C1384,sources!$A$2:$N$200,9,FALSE()),"?"))</f>
        <v>US official</v>
      </c>
    </row>
    <row r="1385" spans="1:19" x14ac:dyDescent="0.2">
      <c r="A1385" t="s">
        <v>4928</v>
      </c>
      <c r="B1385" t="s">
        <v>805</v>
      </c>
      <c r="C1385" t="s">
        <v>1167</v>
      </c>
      <c r="D1385" t="s">
        <v>1599</v>
      </c>
      <c r="E1385" t="s">
        <v>806</v>
      </c>
      <c r="F1385" t="s">
        <v>1612</v>
      </c>
      <c r="I1385" t="s">
        <v>1077</v>
      </c>
      <c r="K1385">
        <v>1920</v>
      </c>
      <c r="L1385">
        <v>1931</v>
      </c>
      <c r="M1385" t="s">
        <v>222</v>
      </c>
      <c r="N1385" t="s">
        <v>222</v>
      </c>
      <c r="O1385" t="s">
        <v>4929</v>
      </c>
      <c r="P1385" t="s">
        <v>4930</v>
      </c>
      <c r="Q1385" t="str">
        <f>IF($C1385="","",IFERROR(VLOOKUP($C1385,sources!$A$2:$N$200,2,FALSE()),"?"))</f>
        <v>Report</v>
      </c>
      <c r="S1385" t="str">
        <f>IF($C1385="","",IFERROR(VLOOKUP($C1385,sources!$A$2:$N$200,9,FALSE()),"?"))</f>
        <v>US official</v>
      </c>
    </row>
    <row r="1386" spans="1:19" x14ac:dyDescent="0.2">
      <c r="A1386" t="s">
        <v>4931</v>
      </c>
      <c r="B1386" t="s">
        <v>218</v>
      </c>
      <c r="C1386" t="s">
        <v>1167</v>
      </c>
      <c r="D1386" t="s">
        <v>1666</v>
      </c>
      <c r="E1386" t="s">
        <v>1590</v>
      </c>
      <c r="F1386" t="s">
        <v>1587</v>
      </c>
      <c r="I1386" t="s">
        <v>1077</v>
      </c>
      <c r="M1386" t="s">
        <v>209</v>
      </c>
      <c r="N1386" t="s">
        <v>228</v>
      </c>
      <c r="O1386" t="s">
        <v>4932</v>
      </c>
      <c r="P1386" t="s">
        <v>4933</v>
      </c>
      <c r="Q1386" t="str">
        <f>IF($C1386="","",IFERROR(VLOOKUP($C1386,sources!$A$2:$N$200,2,FALSE()),"?"))</f>
        <v>Report</v>
      </c>
      <c r="S1386" t="str">
        <f>IF($C1386="","",IFERROR(VLOOKUP($C1386,sources!$A$2:$N$200,9,FALSE()),"?"))</f>
        <v>US official</v>
      </c>
    </row>
    <row r="1387" spans="1:19" x14ac:dyDescent="0.2">
      <c r="A1387" t="s">
        <v>4934</v>
      </c>
      <c r="B1387" t="s">
        <v>509</v>
      </c>
      <c r="C1387" t="s">
        <v>1167</v>
      </c>
      <c r="D1387" t="s">
        <v>1666</v>
      </c>
      <c r="E1387" t="s">
        <v>4935</v>
      </c>
      <c r="F1387" t="s">
        <v>1587</v>
      </c>
      <c r="I1387" t="s">
        <v>1077</v>
      </c>
      <c r="M1387" t="s">
        <v>209</v>
      </c>
      <c r="N1387" t="s">
        <v>228</v>
      </c>
      <c r="O1387" t="s">
        <v>4932</v>
      </c>
      <c r="P1387" t="s">
        <v>4936</v>
      </c>
      <c r="Q1387" t="str">
        <f>IF($C1387="","",IFERROR(VLOOKUP($C1387,sources!$A$2:$N$200,2,FALSE()),"?"))</f>
        <v>Report</v>
      </c>
      <c r="S1387" t="str">
        <f>IF($C1387="","",IFERROR(VLOOKUP($C1387,sources!$A$2:$N$200,9,FALSE()),"?"))</f>
        <v>US official</v>
      </c>
    </row>
    <row r="1388" spans="1:19" x14ac:dyDescent="0.2">
      <c r="A1388" t="s">
        <v>4937</v>
      </c>
      <c r="B1388" t="s">
        <v>509</v>
      </c>
      <c r="C1388" t="s">
        <v>1167</v>
      </c>
      <c r="D1388" t="s">
        <v>1666</v>
      </c>
      <c r="E1388" t="s">
        <v>631</v>
      </c>
      <c r="F1388" t="s">
        <v>1612</v>
      </c>
      <c r="I1388" t="s">
        <v>1077</v>
      </c>
      <c r="M1388" t="s">
        <v>209</v>
      </c>
      <c r="N1388" t="s">
        <v>228</v>
      </c>
      <c r="O1388" t="s">
        <v>4932</v>
      </c>
      <c r="P1388" t="s">
        <v>4938</v>
      </c>
      <c r="Q1388" t="str">
        <f>IF($C1388="","",IFERROR(VLOOKUP($C1388,sources!$A$2:$N$200,2,FALSE()),"?"))</f>
        <v>Report</v>
      </c>
      <c r="S1388" t="str">
        <f>IF($C1388="","",IFERROR(VLOOKUP($C1388,sources!$A$2:$N$200,9,FALSE()),"?"))</f>
        <v>US official</v>
      </c>
    </row>
    <row r="1389" spans="1:19" x14ac:dyDescent="0.2">
      <c r="A1389" t="s">
        <v>4939</v>
      </c>
      <c r="B1389" t="s">
        <v>522</v>
      </c>
      <c r="C1389" t="s">
        <v>1167</v>
      </c>
      <c r="D1389" t="s">
        <v>1666</v>
      </c>
      <c r="E1389" t="s">
        <v>524</v>
      </c>
      <c r="F1389" t="s">
        <v>1587</v>
      </c>
      <c r="I1389" t="s">
        <v>1077</v>
      </c>
      <c r="M1389" t="s">
        <v>209</v>
      </c>
      <c r="N1389" t="s">
        <v>228</v>
      </c>
      <c r="O1389" t="s">
        <v>4932</v>
      </c>
      <c r="P1389" t="s">
        <v>4940</v>
      </c>
      <c r="Q1389" t="str">
        <f>IF($C1389="","",IFERROR(VLOOKUP($C1389,sources!$A$2:$N$200,2,FALSE()),"?"))</f>
        <v>Report</v>
      </c>
      <c r="S1389" t="str">
        <f>IF($C1389="","",IFERROR(VLOOKUP($C1389,sources!$A$2:$N$200,9,FALSE()),"?"))</f>
        <v>US official</v>
      </c>
    </row>
    <row r="1390" spans="1:19" x14ac:dyDescent="0.2">
      <c r="A1390" t="s">
        <v>4941</v>
      </c>
      <c r="B1390" t="s">
        <v>238</v>
      </c>
      <c r="C1390" t="s">
        <v>1167</v>
      </c>
      <c r="D1390" t="s">
        <v>1666</v>
      </c>
      <c r="E1390" t="s">
        <v>4942</v>
      </c>
      <c r="F1390" t="s">
        <v>3285</v>
      </c>
      <c r="I1390" t="s">
        <v>1077</v>
      </c>
      <c r="M1390" t="s">
        <v>209</v>
      </c>
      <c r="N1390" t="s">
        <v>228</v>
      </c>
      <c r="O1390" t="s">
        <v>4932</v>
      </c>
      <c r="P1390" t="s">
        <v>4943</v>
      </c>
      <c r="Q1390" t="str">
        <f>IF($C1390="","",IFERROR(VLOOKUP($C1390,sources!$A$2:$N$200,2,FALSE()),"?"))</f>
        <v>Report</v>
      </c>
      <c r="S1390" t="str">
        <f>IF($C1390="","",IFERROR(VLOOKUP($C1390,sources!$A$2:$N$200,9,FALSE()),"?"))</f>
        <v>US official</v>
      </c>
    </row>
    <row r="1391" spans="1:19" x14ac:dyDescent="0.2">
      <c r="A1391" t="s">
        <v>4944</v>
      </c>
      <c r="B1391" t="s">
        <v>245</v>
      </c>
      <c r="C1391" t="s">
        <v>1167</v>
      </c>
      <c r="D1391" t="s">
        <v>1666</v>
      </c>
      <c r="E1391" t="s">
        <v>4945</v>
      </c>
      <c r="F1391" t="s">
        <v>1587</v>
      </c>
      <c r="I1391" t="s">
        <v>1077</v>
      </c>
      <c r="M1391" t="s">
        <v>209</v>
      </c>
      <c r="N1391" t="s">
        <v>228</v>
      </c>
      <c r="O1391" t="s">
        <v>4932</v>
      </c>
      <c r="P1391" t="s">
        <v>4946</v>
      </c>
      <c r="Q1391" t="str">
        <f>IF($C1391="","",IFERROR(VLOOKUP($C1391,sources!$A$2:$N$200,2,FALSE()),"?"))</f>
        <v>Report</v>
      </c>
      <c r="S1391" t="str">
        <f>IF($C1391="","",IFERROR(VLOOKUP($C1391,sources!$A$2:$N$200,9,FALSE()),"?"))</f>
        <v>US official</v>
      </c>
    </row>
    <row r="1392" spans="1:19" x14ac:dyDescent="0.2">
      <c r="A1392" t="s">
        <v>4947</v>
      </c>
      <c r="B1392" t="s">
        <v>443</v>
      </c>
      <c r="C1392" t="s">
        <v>1167</v>
      </c>
      <c r="D1392" t="s">
        <v>1666</v>
      </c>
      <c r="E1392" t="s">
        <v>4948</v>
      </c>
      <c r="F1392" t="s">
        <v>1587</v>
      </c>
      <c r="I1392" t="s">
        <v>1077</v>
      </c>
      <c r="M1392" t="s">
        <v>209</v>
      </c>
      <c r="N1392" t="s">
        <v>228</v>
      </c>
      <c r="O1392" t="s">
        <v>4932</v>
      </c>
      <c r="P1392" t="s">
        <v>4949</v>
      </c>
      <c r="Q1392" t="str">
        <f>IF($C1392="","",IFERROR(VLOOKUP($C1392,sources!$A$2:$N$200,2,FALSE()),"?"))</f>
        <v>Report</v>
      </c>
      <c r="S1392" t="str">
        <f>IF($C1392="","",IFERROR(VLOOKUP($C1392,sources!$A$2:$N$200,9,FALSE()),"?"))</f>
        <v>US official</v>
      </c>
    </row>
    <row r="1393" spans="1:19" x14ac:dyDescent="0.2">
      <c r="A1393" t="s">
        <v>4950</v>
      </c>
      <c r="B1393" t="s">
        <v>584</v>
      </c>
      <c r="C1393" t="s">
        <v>1167</v>
      </c>
      <c r="D1393" t="s">
        <v>1666</v>
      </c>
      <c r="E1393" t="s">
        <v>4951</v>
      </c>
      <c r="F1393" t="s">
        <v>1587</v>
      </c>
      <c r="I1393" t="s">
        <v>1077</v>
      </c>
      <c r="M1393" t="s">
        <v>209</v>
      </c>
      <c r="N1393" t="s">
        <v>228</v>
      </c>
      <c r="O1393" t="s">
        <v>4932</v>
      </c>
      <c r="P1393" t="s">
        <v>4952</v>
      </c>
      <c r="Q1393" t="str">
        <f>IF($C1393="","",IFERROR(VLOOKUP($C1393,sources!$A$2:$N$200,2,FALSE()),"?"))</f>
        <v>Report</v>
      </c>
      <c r="S1393" t="str">
        <f>IF($C1393="","",IFERROR(VLOOKUP($C1393,sources!$A$2:$N$200,9,FALSE()),"?"))</f>
        <v>US official</v>
      </c>
    </row>
    <row r="1394" spans="1:19" x14ac:dyDescent="0.2">
      <c r="A1394" t="s">
        <v>4953</v>
      </c>
      <c r="B1394" t="s">
        <v>594</v>
      </c>
      <c r="C1394" t="s">
        <v>1167</v>
      </c>
      <c r="D1394" t="s">
        <v>1666</v>
      </c>
      <c r="E1394" t="s">
        <v>596</v>
      </c>
      <c r="F1394" t="s">
        <v>1612</v>
      </c>
      <c r="I1394" t="s">
        <v>1077</v>
      </c>
      <c r="M1394" t="s">
        <v>209</v>
      </c>
      <c r="N1394" t="s">
        <v>228</v>
      </c>
      <c r="O1394" t="s">
        <v>4932</v>
      </c>
      <c r="P1394" t="s">
        <v>4954</v>
      </c>
      <c r="Q1394" t="str">
        <f>IF($C1394="","",IFERROR(VLOOKUP($C1394,sources!$A$2:$N$200,2,FALSE()),"?"))</f>
        <v>Report</v>
      </c>
      <c r="S1394" t="str">
        <f>IF($C1394="","",IFERROR(VLOOKUP($C1394,sources!$A$2:$N$200,9,FALSE()),"?"))</f>
        <v>US official</v>
      </c>
    </row>
    <row r="1395" spans="1:19" x14ac:dyDescent="0.2">
      <c r="A1395" t="s">
        <v>4955</v>
      </c>
      <c r="B1395" t="s">
        <v>599</v>
      </c>
      <c r="C1395" t="s">
        <v>1167</v>
      </c>
      <c r="D1395" t="s">
        <v>1666</v>
      </c>
      <c r="E1395" t="s">
        <v>601</v>
      </c>
      <c r="F1395" t="s">
        <v>1612</v>
      </c>
      <c r="I1395" t="s">
        <v>1077</v>
      </c>
      <c r="M1395" t="s">
        <v>209</v>
      </c>
      <c r="N1395" t="s">
        <v>228</v>
      </c>
      <c r="O1395" t="s">
        <v>4932</v>
      </c>
      <c r="P1395" t="s">
        <v>4956</v>
      </c>
      <c r="Q1395" t="str">
        <f>IF($C1395="","",IFERROR(VLOOKUP($C1395,sources!$A$2:$N$200,2,FALSE()),"?"))</f>
        <v>Report</v>
      </c>
      <c r="S1395" t="str">
        <f>IF($C1395="","",IFERROR(VLOOKUP($C1395,sources!$A$2:$N$200,9,FALSE()),"?"))</f>
        <v>US official</v>
      </c>
    </row>
    <row r="1396" spans="1:19" x14ac:dyDescent="0.2">
      <c r="A1396" t="s">
        <v>4957</v>
      </c>
      <c r="B1396" t="s">
        <v>649</v>
      </c>
      <c r="C1396" t="s">
        <v>1167</v>
      </c>
      <c r="D1396" t="s">
        <v>1666</v>
      </c>
      <c r="E1396" t="s">
        <v>651</v>
      </c>
      <c r="F1396" t="s">
        <v>1612</v>
      </c>
      <c r="I1396" t="s">
        <v>1077</v>
      </c>
      <c r="M1396" t="s">
        <v>209</v>
      </c>
      <c r="N1396" t="s">
        <v>228</v>
      </c>
      <c r="O1396" t="s">
        <v>4932</v>
      </c>
      <c r="P1396" t="s">
        <v>4958</v>
      </c>
      <c r="Q1396" t="str">
        <f>IF($C1396="","",IFERROR(VLOOKUP($C1396,sources!$A$2:$N$200,2,FALSE()),"?"))</f>
        <v>Report</v>
      </c>
      <c r="S1396" t="str">
        <f>IF($C1396="","",IFERROR(VLOOKUP($C1396,sources!$A$2:$N$200,9,FALSE()),"?"))</f>
        <v>US official</v>
      </c>
    </row>
    <row r="1397" spans="1:19" x14ac:dyDescent="0.2">
      <c r="A1397" t="s">
        <v>4959</v>
      </c>
      <c r="B1397" t="s">
        <v>805</v>
      </c>
      <c r="C1397" t="s">
        <v>1167</v>
      </c>
      <c r="D1397" t="s">
        <v>1666</v>
      </c>
      <c r="E1397" t="s">
        <v>4960</v>
      </c>
      <c r="F1397" t="s">
        <v>1612</v>
      </c>
      <c r="I1397" t="s">
        <v>1077</v>
      </c>
      <c r="M1397" t="s">
        <v>222</v>
      </c>
      <c r="N1397" t="s">
        <v>222</v>
      </c>
      <c r="O1397" t="s">
        <v>4932</v>
      </c>
      <c r="P1397" t="s">
        <v>4961</v>
      </c>
      <c r="Q1397" t="str">
        <f>IF($C1397="","",IFERROR(VLOOKUP($C1397,sources!$A$2:$N$200,2,FALSE()),"?"))</f>
        <v>Report</v>
      </c>
      <c r="S1397" t="str">
        <f>IF($C1397="","",IFERROR(VLOOKUP($C1397,sources!$A$2:$N$200,9,FALSE()),"?"))</f>
        <v>US official</v>
      </c>
    </row>
    <row r="1398" spans="1:19" x14ac:dyDescent="0.2">
      <c r="A1398" t="s">
        <v>4962</v>
      </c>
      <c r="B1398" t="s">
        <v>854</v>
      </c>
      <c r="C1398" t="s">
        <v>1167</v>
      </c>
      <c r="D1398" t="s">
        <v>1666</v>
      </c>
      <c r="E1398" t="s">
        <v>856</v>
      </c>
      <c r="F1398" t="s">
        <v>1587</v>
      </c>
      <c r="I1398" t="s">
        <v>1077</v>
      </c>
      <c r="M1398" t="s">
        <v>209</v>
      </c>
      <c r="N1398" t="s">
        <v>228</v>
      </c>
      <c r="O1398" t="s">
        <v>4932</v>
      </c>
      <c r="P1398" t="s">
        <v>4963</v>
      </c>
      <c r="Q1398" t="str">
        <f>IF($C1398="","",IFERROR(VLOOKUP($C1398,sources!$A$2:$N$200,2,FALSE()),"?"))</f>
        <v>Report</v>
      </c>
      <c r="S1398" t="str">
        <f>IF($C1398="","",IFERROR(VLOOKUP($C1398,sources!$A$2:$N$200,9,FALSE()),"?"))</f>
        <v>US official</v>
      </c>
    </row>
    <row r="1399" spans="1:19" x14ac:dyDescent="0.2">
      <c r="A1399" t="s">
        <v>4964</v>
      </c>
      <c r="B1399" t="s">
        <v>875</v>
      </c>
      <c r="C1399" t="s">
        <v>1167</v>
      </c>
      <c r="D1399" t="s">
        <v>1666</v>
      </c>
      <c r="E1399" t="s">
        <v>4965</v>
      </c>
      <c r="F1399" t="s">
        <v>1587</v>
      </c>
      <c r="I1399" t="s">
        <v>1077</v>
      </c>
      <c r="M1399" t="s">
        <v>209</v>
      </c>
      <c r="N1399" t="s">
        <v>228</v>
      </c>
      <c r="O1399" t="s">
        <v>4932</v>
      </c>
      <c r="P1399" t="s">
        <v>4966</v>
      </c>
      <c r="Q1399" t="str">
        <f>IF($C1399="","",IFERROR(VLOOKUP($C1399,sources!$A$2:$N$200,2,FALSE()),"?"))</f>
        <v>Report</v>
      </c>
      <c r="S1399" t="str">
        <f>IF($C1399="","",IFERROR(VLOOKUP($C1399,sources!$A$2:$N$200,9,FALSE()),"?"))</f>
        <v>US official</v>
      </c>
    </row>
    <row r="1400" spans="1:19" x14ac:dyDescent="0.2">
      <c r="A1400" t="s">
        <v>4967</v>
      </c>
      <c r="B1400" t="s">
        <v>888</v>
      </c>
      <c r="C1400" t="s">
        <v>1167</v>
      </c>
      <c r="D1400" t="s">
        <v>1666</v>
      </c>
      <c r="E1400" t="s">
        <v>4968</v>
      </c>
      <c r="F1400" t="s">
        <v>1612</v>
      </c>
      <c r="I1400" t="s">
        <v>1077</v>
      </c>
      <c r="M1400" t="s">
        <v>209</v>
      </c>
      <c r="N1400" t="s">
        <v>228</v>
      </c>
      <c r="O1400" t="s">
        <v>4932</v>
      </c>
      <c r="P1400" t="s">
        <v>4969</v>
      </c>
      <c r="Q1400" t="str">
        <f>IF($C1400="","",IFERROR(VLOOKUP($C1400,sources!$A$2:$N$200,2,FALSE()),"?"))</f>
        <v>Report</v>
      </c>
      <c r="S1400" t="str">
        <f>IF($C1400="","",IFERROR(VLOOKUP($C1400,sources!$A$2:$N$200,9,FALSE()),"?"))</f>
        <v>US official</v>
      </c>
    </row>
    <row r="1401" spans="1:19" x14ac:dyDescent="0.2">
      <c r="A1401" t="s">
        <v>4970</v>
      </c>
      <c r="B1401" t="s">
        <v>820</v>
      </c>
      <c r="C1401" t="s">
        <v>1427</v>
      </c>
      <c r="D1401" t="s">
        <v>1594</v>
      </c>
      <c r="E1401" t="s">
        <v>4971</v>
      </c>
      <c r="F1401" t="s">
        <v>1587</v>
      </c>
      <c r="G1401">
        <v>8.9615240000000007</v>
      </c>
      <c r="H1401">
        <v>-79.5501</v>
      </c>
      <c r="I1401" t="s">
        <v>4813</v>
      </c>
      <c r="J1401">
        <v>150</v>
      </c>
      <c r="K1401">
        <v>1904</v>
      </c>
      <c r="L1401">
        <v>1904</v>
      </c>
      <c r="M1401" t="s">
        <v>222</v>
      </c>
      <c r="N1401" t="s">
        <v>222</v>
      </c>
      <c r="O1401" t="s">
        <v>4972</v>
      </c>
      <c r="P1401" t="s">
        <v>4973</v>
      </c>
      <c r="Q1401" t="str">
        <f>IF($C1401="","",IFERROR(VLOOKUP($C1401,sources!$A$2:$N$200,2,FALSE()),"?"))</f>
        <v>Map</v>
      </c>
      <c r="S1401" t="str">
        <f>IF($C1401="","",IFERROR(VLOOKUP($C1401,sources!$A$2:$N$200,9,FALSE()),"?"))</f>
        <v>Panamanian</v>
      </c>
    </row>
    <row r="1402" spans="1:19" x14ac:dyDescent="0.2">
      <c r="A1402" t="s">
        <v>4974</v>
      </c>
      <c r="B1402" t="s">
        <v>827</v>
      </c>
      <c r="C1402" t="s">
        <v>1427</v>
      </c>
      <c r="D1402" t="s">
        <v>1594</v>
      </c>
      <c r="E1402" t="s">
        <v>4975</v>
      </c>
      <c r="F1402" t="s">
        <v>1587</v>
      </c>
      <c r="G1402">
        <v>8.9539170000000006</v>
      </c>
      <c r="H1402">
        <v>-79.548590000000004</v>
      </c>
      <c r="I1402" t="s">
        <v>4813</v>
      </c>
      <c r="J1402">
        <v>120</v>
      </c>
      <c r="K1402">
        <v>1904</v>
      </c>
      <c r="L1402">
        <v>1904</v>
      </c>
      <c r="M1402" t="s">
        <v>222</v>
      </c>
      <c r="N1402" t="s">
        <v>222</v>
      </c>
      <c r="O1402" t="s">
        <v>4972</v>
      </c>
      <c r="P1402" t="s">
        <v>4976</v>
      </c>
      <c r="Q1402" t="str">
        <f>IF($C1402="","",IFERROR(VLOOKUP($C1402,sources!$A$2:$N$200,2,FALSE()),"?"))</f>
        <v>Map</v>
      </c>
      <c r="S1402" t="str">
        <f>IF($C1402="","",IFERROR(VLOOKUP($C1402,sources!$A$2:$N$200,9,FALSE()),"?"))</f>
        <v>Panamanian</v>
      </c>
    </row>
    <row r="1403" spans="1:19" x14ac:dyDescent="0.2">
      <c r="A1403" t="s">
        <v>4977</v>
      </c>
      <c r="B1403" t="s">
        <v>354</v>
      </c>
      <c r="C1403" t="s">
        <v>1427</v>
      </c>
      <c r="D1403" t="s">
        <v>1585</v>
      </c>
      <c r="E1403" t="s">
        <v>4978</v>
      </c>
      <c r="F1403" t="s">
        <v>1587</v>
      </c>
      <c r="I1403" t="s">
        <v>1077</v>
      </c>
      <c r="K1403">
        <v>1904</v>
      </c>
      <c r="L1403">
        <v>1904</v>
      </c>
      <c r="M1403" t="s">
        <v>222</v>
      </c>
      <c r="N1403" t="s">
        <v>222</v>
      </c>
      <c r="O1403" t="s">
        <v>4972</v>
      </c>
      <c r="P1403" t="s">
        <v>4979</v>
      </c>
      <c r="Q1403" t="str">
        <f>IF($C1403="","",IFERROR(VLOOKUP($C1403,sources!$A$2:$N$200,2,FALSE()),"?"))</f>
        <v>Map</v>
      </c>
      <c r="S1403" t="str">
        <f>IF($C1403="","",IFERROR(VLOOKUP($C1403,sources!$A$2:$N$200,9,FALSE()),"?"))</f>
        <v>Panamanian</v>
      </c>
    </row>
    <row r="1404" spans="1:19" x14ac:dyDescent="0.2">
      <c r="A1404" t="s">
        <v>4980</v>
      </c>
      <c r="B1404" t="s">
        <v>367</v>
      </c>
      <c r="C1404" t="s">
        <v>1427</v>
      </c>
      <c r="D1404" t="s">
        <v>1585</v>
      </c>
      <c r="E1404" t="s">
        <v>4981</v>
      </c>
      <c r="F1404" t="s">
        <v>1587</v>
      </c>
      <c r="I1404" t="s">
        <v>1077</v>
      </c>
      <c r="K1404">
        <v>1904</v>
      </c>
      <c r="L1404">
        <v>1904</v>
      </c>
      <c r="M1404" t="s">
        <v>222</v>
      </c>
      <c r="N1404" t="s">
        <v>228</v>
      </c>
      <c r="O1404" t="s">
        <v>4972</v>
      </c>
      <c r="P1404" t="s">
        <v>4982</v>
      </c>
      <c r="Q1404" t="str">
        <f>IF($C1404="","",IFERROR(VLOOKUP($C1404,sources!$A$2:$N$200,2,FALSE()),"?"))</f>
        <v>Map</v>
      </c>
      <c r="S1404" t="str">
        <f>IF($C1404="","",IFERROR(VLOOKUP($C1404,sources!$A$2:$N$200,9,FALSE()),"?"))</f>
        <v>Panamanian</v>
      </c>
    </row>
    <row r="1405" spans="1:19" x14ac:dyDescent="0.2">
      <c r="A1405" t="s">
        <v>4983</v>
      </c>
      <c r="B1405" t="s">
        <v>198</v>
      </c>
      <c r="C1405" t="s">
        <v>1432</v>
      </c>
      <c r="D1405" t="s">
        <v>1599</v>
      </c>
      <c r="E1405" t="s">
        <v>199</v>
      </c>
      <c r="F1405" t="s">
        <v>3285</v>
      </c>
      <c r="K1405" t="s">
        <v>1435</v>
      </c>
      <c r="L1405" t="s">
        <v>1435</v>
      </c>
      <c r="M1405" t="s">
        <v>222</v>
      </c>
      <c r="N1405" t="s">
        <v>222</v>
      </c>
      <c r="O1405" t="s">
        <v>4984</v>
      </c>
      <c r="P1405" t="s">
        <v>4985</v>
      </c>
      <c r="Q1405" t="str">
        <f>IF($C1405="","",IFERROR(VLOOKUP($C1405,sources!$A$2:$N$200,2,FALSE()),"?"))</f>
        <v>Report</v>
      </c>
      <c r="S1405" t="str">
        <f>IF($C1405="","",IFERROR(VLOOKUP($C1405,sources!$A$2:$N$200,9,FALSE()),"?"))</f>
        <v>French company</v>
      </c>
    </row>
    <row r="1406" spans="1:19" x14ac:dyDescent="0.2">
      <c r="A1406" t="s">
        <v>4986</v>
      </c>
      <c r="B1406" t="s">
        <v>272</v>
      </c>
      <c r="C1406" t="s">
        <v>1432</v>
      </c>
      <c r="D1406" t="s">
        <v>1599</v>
      </c>
      <c r="E1406" t="s">
        <v>4987</v>
      </c>
      <c r="F1406" t="s">
        <v>3285</v>
      </c>
      <c r="K1406" t="s">
        <v>1435</v>
      </c>
      <c r="L1406" t="s">
        <v>1435</v>
      </c>
      <c r="M1406" t="s">
        <v>222</v>
      </c>
      <c r="N1406" t="s">
        <v>222</v>
      </c>
      <c r="O1406" t="s">
        <v>4984</v>
      </c>
      <c r="P1406" t="s">
        <v>4988</v>
      </c>
      <c r="Q1406" t="str">
        <f>IF($C1406="","",IFERROR(VLOOKUP($C1406,sources!$A$2:$N$200,2,FALSE()),"?"))</f>
        <v>Report</v>
      </c>
      <c r="S1406" t="str">
        <f>IF($C1406="","",IFERROR(VLOOKUP($C1406,sources!$A$2:$N$200,9,FALSE()),"?"))</f>
        <v>French company</v>
      </c>
    </row>
    <row r="1407" spans="1:19" x14ac:dyDescent="0.2">
      <c r="A1407" t="s">
        <v>4989</v>
      </c>
      <c r="B1407" t="s">
        <v>252</v>
      </c>
      <c r="C1407" t="s">
        <v>1432</v>
      </c>
      <c r="D1407" t="s">
        <v>1599</v>
      </c>
      <c r="E1407" t="s">
        <v>4990</v>
      </c>
      <c r="F1407" t="s">
        <v>3285</v>
      </c>
      <c r="K1407" t="s">
        <v>1435</v>
      </c>
      <c r="L1407" t="s">
        <v>1435</v>
      </c>
      <c r="M1407" t="s">
        <v>222</v>
      </c>
      <c r="N1407" t="s">
        <v>222</v>
      </c>
      <c r="O1407" t="s">
        <v>4984</v>
      </c>
      <c r="P1407" t="s">
        <v>4991</v>
      </c>
      <c r="Q1407" t="str">
        <f>IF($C1407="","",IFERROR(VLOOKUP($C1407,sources!$A$2:$N$200,2,FALSE()),"?"))</f>
        <v>Report</v>
      </c>
      <c r="S1407" t="str">
        <f>IF($C1407="","",IFERROR(VLOOKUP($C1407,sources!$A$2:$N$200,9,FALSE()),"?"))</f>
        <v>French company</v>
      </c>
    </row>
    <row r="1408" spans="1:19" x14ac:dyDescent="0.2">
      <c r="A1408" t="s">
        <v>4992</v>
      </c>
      <c r="B1408" t="s">
        <v>261</v>
      </c>
      <c r="C1408" t="s">
        <v>1432</v>
      </c>
      <c r="D1408" t="s">
        <v>1599</v>
      </c>
      <c r="E1408" t="s">
        <v>4993</v>
      </c>
      <c r="F1408" t="s">
        <v>3285</v>
      </c>
      <c r="K1408" t="s">
        <v>1435</v>
      </c>
      <c r="L1408" t="s">
        <v>1435</v>
      </c>
      <c r="M1408" t="s">
        <v>222</v>
      </c>
      <c r="N1408" t="s">
        <v>222</v>
      </c>
      <c r="O1408" t="s">
        <v>4984</v>
      </c>
      <c r="P1408" t="s">
        <v>4994</v>
      </c>
      <c r="Q1408" t="str">
        <f>IF($C1408="","",IFERROR(VLOOKUP($C1408,sources!$A$2:$N$200,2,FALSE()),"?"))</f>
        <v>Report</v>
      </c>
      <c r="S1408" t="str">
        <f>IF($C1408="","",IFERROR(VLOOKUP($C1408,sources!$A$2:$N$200,9,FALSE()),"?"))</f>
        <v>French company</v>
      </c>
    </row>
    <row r="1409" spans="1:19" x14ac:dyDescent="0.2">
      <c r="A1409" t="s">
        <v>4995</v>
      </c>
      <c r="B1409" t="s">
        <v>213</v>
      </c>
      <c r="C1409" t="s">
        <v>1432</v>
      </c>
      <c r="D1409" t="s">
        <v>1599</v>
      </c>
      <c r="E1409" t="s">
        <v>214</v>
      </c>
      <c r="F1409" t="s">
        <v>3285</v>
      </c>
      <c r="K1409" t="s">
        <v>1435</v>
      </c>
      <c r="L1409" t="s">
        <v>1435</v>
      </c>
      <c r="M1409" t="s">
        <v>222</v>
      </c>
      <c r="N1409" t="s">
        <v>222</v>
      </c>
      <c r="O1409" t="s">
        <v>4984</v>
      </c>
      <c r="P1409" t="s">
        <v>4996</v>
      </c>
      <c r="Q1409" t="str">
        <f>IF($C1409="","",IFERROR(VLOOKUP($C1409,sources!$A$2:$N$200,2,FALSE()),"?"))</f>
        <v>Report</v>
      </c>
      <c r="S1409" t="str">
        <f>IF($C1409="","",IFERROR(VLOOKUP($C1409,sources!$A$2:$N$200,9,FALSE()),"?"))</f>
        <v>French company</v>
      </c>
    </row>
    <row r="1410" spans="1:19" x14ac:dyDescent="0.2">
      <c r="A1410" t="s">
        <v>4997</v>
      </c>
      <c r="B1410" t="s">
        <v>382</v>
      </c>
      <c r="C1410" t="s">
        <v>1432</v>
      </c>
      <c r="D1410" t="s">
        <v>1599</v>
      </c>
      <c r="E1410" t="s">
        <v>383</v>
      </c>
      <c r="F1410" t="s">
        <v>3285</v>
      </c>
      <c r="K1410" t="s">
        <v>1435</v>
      </c>
      <c r="L1410" t="s">
        <v>1435</v>
      </c>
      <c r="M1410" t="s">
        <v>222</v>
      </c>
      <c r="N1410" t="s">
        <v>222</v>
      </c>
      <c r="O1410" t="s">
        <v>4984</v>
      </c>
      <c r="P1410" t="s">
        <v>4998</v>
      </c>
      <c r="Q1410" t="str">
        <f>IF($C1410="","",IFERROR(VLOOKUP($C1410,sources!$A$2:$N$200,2,FALSE()),"?"))</f>
        <v>Report</v>
      </c>
      <c r="S1410" t="str">
        <f>IF($C1410="","",IFERROR(VLOOKUP($C1410,sources!$A$2:$N$200,9,FALSE()),"?"))</f>
        <v>French company</v>
      </c>
    </row>
    <row r="1411" spans="1:19" x14ac:dyDescent="0.2">
      <c r="A1411" t="s">
        <v>4999</v>
      </c>
      <c r="B1411" t="s">
        <v>376</v>
      </c>
      <c r="C1411" t="s">
        <v>1432</v>
      </c>
      <c r="D1411" t="s">
        <v>1599</v>
      </c>
      <c r="E1411" t="s">
        <v>5000</v>
      </c>
      <c r="F1411" t="s">
        <v>3285</v>
      </c>
      <c r="K1411" t="s">
        <v>1435</v>
      </c>
      <c r="L1411" t="s">
        <v>1435</v>
      </c>
      <c r="M1411" t="s">
        <v>222</v>
      </c>
      <c r="N1411" t="s">
        <v>222</v>
      </c>
      <c r="O1411" t="s">
        <v>4984</v>
      </c>
      <c r="P1411" t="s">
        <v>5001</v>
      </c>
      <c r="Q1411" t="str">
        <f>IF($C1411="","",IFERROR(VLOOKUP($C1411,sources!$A$2:$N$200,2,FALSE()),"?"))</f>
        <v>Report</v>
      </c>
      <c r="S1411" t="str">
        <f>IF($C1411="","",IFERROR(VLOOKUP($C1411,sources!$A$2:$N$200,9,FALSE()),"?"))</f>
        <v>French company</v>
      </c>
    </row>
    <row r="1412" spans="1:19" x14ac:dyDescent="0.2">
      <c r="A1412" t="s">
        <v>5002</v>
      </c>
      <c r="B1412" t="s">
        <v>363</v>
      </c>
      <c r="C1412" t="s">
        <v>1432</v>
      </c>
      <c r="D1412" t="s">
        <v>1599</v>
      </c>
      <c r="E1412" t="s">
        <v>5003</v>
      </c>
      <c r="F1412" t="s">
        <v>3285</v>
      </c>
      <c r="K1412" t="s">
        <v>1435</v>
      </c>
      <c r="L1412" t="s">
        <v>1435</v>
      </c>
      <c r="M1412" t="s">
        <v>222</v>
      </c>
      <c r="N1412" t="s">
        <v>222</v>
      </c>
      <c r="O1412" t="s">
        <v>4984</v>
      </c>
      <c r="P1412" t="s">
        <v>5004</v>
      </c>
      <c r="Q1412" t="str">
        <f>IF($C1412="","",IFERROR(VLOOKUP($C1412,sources!$A$2:$N$200,2,FALSE()),"?"))</f>
        <v>Report</v>
      </c>
      <c r="S1412" t="str">
        <f>IF($C1412="","",IFERROR(VLOOKUP($C1412,sources!$A$2:$N$200,9,FALSE()),"?"))</f>
        <v>French company</v>
      </c>
    </row>
    <row r="1413" spans="1:19" x14ac:dyDescent="0.2">
      <c r="A1413" t="s">
        <v>5005</v>
      </c>
      <c r="B1413" t="s">
        <v>224</v>
      </c>
      <c r="C1413" t="s">
        <v>1432</v>
      </c>
      <c r="D1413" t="s">
        <v>1599</v>
      </c>
      <c r="E1413" t="s">
        <v>5006</v>
      </c>
      <c r="F1413" t="s">
        <v>3285</v>
      </c>
      <c r="K1413" t="s">
        <v>1435</v>
      </c>
      <c r="L1413" t="s">
        <v>1435</v>
      </c>
      <c r="M1413" t="s">
        <v>222</v>
      </c>
      <c r="N1413" t="s">
        <v>222</v>
      </c>
      <c r="O1413" t="s">
        <v>4984</v>
      </c>
      <c r="P1413" t="s">
        <v>5007</v>
      </c>
      <c r="Q1413" t="str">
        <f>IF($C1413="","",IFERROR(VLOOKUP($C1413,sources!$A$2:$N$200,2,FALSE()),"?"))</f>
        <v>Report</v>
      </c>
      <c r="S1413" t="str">
        <f>IF($C1413="","",IFERROR(VLOOKUP($C1413,sources!$A$2:$N$200,9,FALSE()),"?"))</f>
        <v>French company</v>
      </c>
    </row>
    <row r="1414" spans="1:19" x14ac:dyDescent="0.2">
      <c r="A1414" t="s">
        <v>5008</v>
      </c>
      <c r="B1414" t="s">
        <v>514</v>
      </c>
      <c r="C1414" t="s">
        <v>1432</v>
      </c>
      <c r="D1414" t="s">
        <v>1599</v>
      </c>
      <c r="E1414" t="s">
        <v>5009</v>
      </c>
      <c r="F1414" t="s">
        <v>3285</v>
      </c>
      <c r="K1414" t="s">
        <v>1435</v>
      </c>
      <c r="L1414" t="s">
        <v>1435</v>
      </c>
      <c r="M1414" t="s">
        <v>222</v>
      </c>
      <c r="N1414" t="s">
        <v>222</v>
      </c>
      <c r="O1414" t="s">
        <v>4984</v>
      </c>
      <c r="P1414" t="s">
        <v>5010</v>
      </c>
      <c r="Q1414" t="str">
        <f>IF($C1414="","",IFERROR(VLOOKUP($C1414,sources!$A$2:$N$200,2,FALSE()),"?"))</f>
        <v>Report</v>
      </c>
      <c r="S1414" t="str">
        <f>IF($C1414="","",IFERROR(VLOOKUP($C1414,sources!$A$2:$N$200,9,FALSE()),"?"))</f>
        <v>French company</v>
      </c>
    </row>
    <row r="1415" spans="1:19" x14ac:dyDescent="0.2">
      <c r="A1415" t="s">
        <v>5011</v>
      </c>
      <c r="B1415" t="s">
        <v>379</v>
      </c>
      <c r="C1415" t="s">
        <v>1432</v>
      </c>
      <c r="D1415" t="s">
        <v>1599</v>
      </c>
      <c r="E1415" t="s">
        <v>5012</v>
      </c>
      <c r="F1415" t="s">
        <v>3285</v>
      </c>
      <c r="K1415" t="s">
        <v>1435</v>
      </c>
      <c r="L1415" t="s">
        <v>1435</v>
      </c>
      <c r="M1415" t="s">
        <v>222</v>
      </c>
      <c r="N1415" t="s">
        <v>222</v>
      </c>
      <c r="O1415" t="s">
        <v>4984</v>
      </c>
      <c r="P1415" t="s">
        <v>5013</v>
      </c>
      <c r="Q1415" t="str">
        <f>IF($C1415="","",IFERROR(VLOOKUP($C1415,sources!$A$2:$N$200,2,FALSE()),"?"))</f>
        <v>Report</v>
      </c>
      <c r="S1415" t="str">
        <f>IF($C1415="","",IFERROR(VLOOKUP($C1415,sources!$A$2:$N$200,9,FALSE()),"?"))</f>
        <v>French company</v>
      </c>
    </row>
    <row r="1416" spans="1:19" x14ac:dyDescent="0.2">
      <c r="A1416" t="s">
        <v>5014</v>
      </c>
      <c r="B1416" t="s">
        <v>411</v>
      </c>
      <c r="C1416" t="s">
        <v>1432</v>
      </c>
      <c r="D1416" t="s">
        <v>1599</v>
      </c>
      <c r="E1416" t="s">
        <v>5015</v>
      </c>
      <c r="F1416" t="s">
        <v>3285</v>
      </c>
      <c r="K1416" t="s">
        <v>1435</v>
      </c>
      <c r="L1416" t="s">
        <v>1435</v>
      </c>
      <c r="M1416" t="s">
        <v>222</v>
      </c>
      <c r="N1416" t="s">
        <v>222</v>
      </c>
      <c r="O1416" t="s">
        <v>4984</v>
      </c>
      <c r="P1416" t="s">
        <v>5016</v>
      </c>
      <c r="Q1416" t="str">
        <f>IF($C1416="","",IFERROR(VLOOKUP($C1416,sources!$A$2:$N$200,2,FALSE()),"?"))</f>
        <v>Report</v>
      </c>
      <c r="S1416" t="str">
        <f>IF($C1416="","",IFERROR(VLOOKUP($C1416,sources!$A$2:$N$200,9,FALSE()),"?"))</f>
        <v>French company</v>
      </c>
    </row>
    <row r="1417" spans="1:19" x14ac:dyDescent="0.2">
      <c r="A1417" t="s">
        <v>5017</v>
      </c>
      <c r="B1417" t="s">
        <v>238</v>
      </c>
      <c r="C1417" t="s">
        <v>1432</v>
      </c>
      <c r="D1417" t="s">
        <v>1599</v>
      </c>
      <c r="E1417" t="s">
        <v>1607</v>
      </c>
      <c r="F1417" t="s">
        <v>3285</v>
      </c>
      <c r="K1417" t="s">
        <v>1435</v>
      </c>
      <c r="L1417" t="s">
        <v>1435</v>
      </c>
      <c r="M1417" t="s">
        <v>222</v>
      </c>
      <c r="N1417" t="s">
        <v>222</v>
      </c>
      <c r="O1417" t="s">
        <v>4984</v>
      </c>
      <c r="P1417" t="s">
        <v>5013</v>
      </c>
      <c r="Q1417" t="str">
        <f>IF($C1417="","",IFERROR(VLOOKUP($C1417,sources!$A$2:$N$200,2,FALSE()),"?"))</f>
        <v>Report</v>
      </c>
      <c r="S1417" t="str">
        <f>IF($C1417="","",IFERROR(VLOOKUP($C1417,sources!$A$2:$N$200,9,FALSE()),"?"))</f>
        <v>French company</v>
      </c>
    </row>
    <row r="1418" spans="1:19" x14ac:dyDescent="0.2">
      <c r="A1418" t="s">
        <v>5018</v>
      </c>
      <c r="B1418" t="s">
        <v>434</v>
      </c>
      <c r="C1418" t="s">
        <v>1432</v>
      </c>
      <c r="D1418" t="s">
        <v>1599</v>
      </c>
      <c r="E1418" t="s">
        <v>5019</v>
      </c>
      <c r="F1418" t="s">
        <v>3285</v>
      </c>
      <c r="K1418" t="s">
        <v>1435</v>
      </c>
      <c r="L1418" t="s">
        <v>1435</v>
      </c>
      <c r="M1418" t="s">
        <v>222</v>
      </c>
      <c r="N1418" t="s">
        <v>222</v>
      </c>
      <c r="O1418" t="s">
        <v>4984</v>
      </c>
      <c r="P1418" t="s">
        <v>5020</v>
      </c>
      <c r="Q1418" t="str">
        <f>IF($C1418="","",IFERROR(VLOOKUP($C1418,sources!$A$2:$N$200,2,FALSE()),"?"))</f>
        <v>Report</v>
      </c>
      <c r="S1418" t="str">
        <f>IF($C1418="","",IFERROR(VLOOKUP($C1418,sources!$A$2:$N$200,9,FALSE()),"?"))</f>
        <v>French company</v>
      </c>
    </row>
    <row r="1419" spans="1:19" x14ac:dyDescent="0.2">
      <c r="A1419" t="s">
        <v>5021</v>
      </c>
      <c r="B1419" t="s">
        <v>402</v>
      </c>
      <c r="C1419" t="s">
        <v>1432</v>
      </c>
      <c r="D1419" t="s">
        <v>1599</v>
      </c>
      <c r="E1419" t="s">
        <v>5022</v>
      </c>
      <c r="F1419" t="s">
        <v>3285</v>
      </c>
      <c r="K1419" t="s">
        <v>1435</v>
      </c>
      <c r="L1419" t="s">
        <v>1435</v>
      </c>
      <c r="M1419" t="s">
        <v>222</v>
      </c>
      <c r="N1419" t="s">
        <v>222</v>
      </c>
      <c r="O1419" t="s">
        <v>4984</v>
      </c>
      <c r="P1419" t="s">
        <v>5023</v>
      </c>
      <c r="Q1419" t="str">
        <f>IF($C1419="","",IFERROR(VLOOKUP($C1419,sources!$A$2:$N$200,2,FALSE()),"?"))</f>
        <v>Report</v>
      </c>
      <c r="S1419" t="str">
        <f>IF($C1419="","",IFERROR(VLOOKUP($C1419,sources!$A$2:$N$200,9,FALSE()),"?"))</f>
        <v>French company</v>
      </c>
    </row>
    <row r="1420" spans="1:19" x14ac:dyDescent="0.2">
      <c r="A1420" t="s">
        <v>5024</v>
      </c>
      <c r="B1420" t="s">
        <v>284</v>
      </c>
      <c r="C1420" t="s">
        <v>1432</v>
      </c>
      <c r="D1420" t="s">
        <v>1599</v>
      </c>
      <c r="E1420" t="s">
        <v>5025</v>
      </c>
      <c r="F1420" t="s">
        <v>3285</v>
      </c>
      <c r="K1420" t="s">
        <v>1435</v>
      </c>
      <c r="L1420" t="s">
        <v>1435</v>
      </c>
      <c r="M1420" t="s">
        <v>222</v>
      </c>
      <c r="N1420" t="s">
        <v>222</v>
      </c>
      <c r="O1420" t="s">
        <v>4984</v>
      </c>
      <c r="P1420" t="s">
        <v>5026</v>
      </c>
      <c r="Q1420" t="str">
        <f>IF($C1420="","",IFERROR(VLOOKUP($C1420,sources!$A$2:$N$200,2,FALSE()),"?"))</f>
        <v>Report</v>
      </c>
      <c r="S1420" t="str">
        <f>IF($C1420="","",IFERROR(VLOOKUP($C1420,sources!$A$2:$N$200,9,FALSE()),"?"))</f>
        <v>French company</v>
      </c>
    </row>
    <row r="1421" spans="1:19" x14ac:dyDescent="0.2">
      <c r="A1421" t="s">
        <v>5027</v>
      </c>
      <c r="B1421" t="s">
        <v>266</v>
      </c>
      <c r="C1421" t="s">
        <v>1441</v>
      </c>
      <c r="D1421" t="s">
        <v>1585</v>
      </c>
      <c r="E1421" t="s">
        <v>5028</v>
      </c>
      <c r="F1421" t="s">
        <v>3285</v>
      </c>
      <c r="K1421" t="s">
        <v>1444</v>
      </c>
      <c r="L1421" t="s">
        <v>1444</v>
      </c>
      <c r="M1421" t="s">
        <v>222</v>
      </c>
      <c r="N1421" t="s">
        <v>222</v>
      </c>
      <c r="O1421" t="s">
        <v>5029</v>
      </c>
      <c r="P1421" t="s">
        <v>5030</v>
      </c>
      <c r="Q1421" t="str">
        <f>IF($C1421="","",IFERROR(VLOOKUP($C1421,sources!$A$2:$N$200,2,FALSE()),"?"))</f>
        <v>Secondary</v>
      </c>
      <c r="S1421" t="str">
        <f>IF($C1421="","",IFERROR(VLOOKUP($C1421,sources!$A$2:$N$200,9,FALSE()),"?"))</f>
        <v>French company</v>
      </c>
    </row>
    <row r="1422" spans="1:19" x14ac:dyDescent="0.2">
      <c r="A1422" t="s">
        <v>5031</v>
      </c>
      <c r="B1422" t="s">
        <v>218</v>
      </c>
      <c r="C1422" t="s">
        <v>1441</v>
      </c>
      <c r="D1422" t="s">
        <v>1599</v>
      </c>
      <c r="E1422" t="s">
        <v>219</v>
      </c>
      <c r="F1422" t="s">
        <v>3285</v>
      </c>
      <c r="K1422" t="s">
        <v>1444</v>
      </c>
      <c r="L1422" t="s">
        <v>1444</v>
      </c>
      <c r="M1422" t="s">
        <v>222</v>
      </c>
      <c r="N1422" t="s">
        <v>222</v>
      </c>
      <c r="O1422" t="s">
        <v>5029</v>
      </c>
      <c r="P1422" t="s">
        <v>5032</v>
      </c>
      <c r="Q1422" t="str">
        <f>IF($C1422="","",IFERROR(VLOOKUP($C1422,sources!$A$2:$N$200,2,FALSE()),"?"))</f>
        <v>Secondary</v>
      </c>
      <c r="S1422" t="str">
        <f>IF($C1422="","",IFERROR(VLOOKUP($C1422,sources!$A$2:$N$200,9,FALSE()),"?"))</f>
        <v>French company</v>
      </c>
    </row>
    <row r="1423" spans="1:19" x14ac:dyDescent="0.2">
      <c r="A1423" t="s">
        <v>5033</v>
      </c>
      <c r="B1423" t="s">
        <v>376</v>
      </c>
      <c r="C1423" t="s">
        <v>1441</v>
      </c>
      <c r="D1423" t="s">
        <v>1599</v>
      </c>
      <c r="E1423" t="s">
        <v>377</v>
      </c>
      <c r="F1423" t="s">
        <v>3285</v>
      </c>
      <c r="K1423" t="s">
        <v>1444</v>
      </c>
      <c r="L1423" t="s">
        <v>1444</v>
      </c>
      <c r="M1423" t="s">
        <v>222</v>
      </c>
      <c r="N1423" t="s">
        <v>222</v>
      </c>
      <c r="O1423" t="s">
        <v>5029</v>
      </c>
      <c r="P1423" t="s">
        <v>5034</v>
      </c>
      <c r="Q1423" t="str">
        <f>IF($C1423="","",IFERROR(VLOOKUP($C1423,sources!$A$2:$N$200,2,FALSE()),"?"))</f>
        <v>Secondary</v>
      </c>
      <c r="S1423" t="str">
        <f>IF($C1423="","",IFERROR(VLOOKUP($C1423,sources!$A$2:$N$200,9,FALSE()),"?"))</f>
        <v>French company</v>
      </c>
    </row>
    <row r="1424" spans="1:19" x14ac:dyDescent="0.2">
      <c r="A1424" t="s">
        <v>5035</v>
      </c>
      <c r="B1424" t="s">
        <v>363</v>
      </c>
      <c r="C1424" t="s">
        <v>1441</v>
      </c>
      <c r="D1424" t="s">
        <v>1599</v>
      </c>
      <c r="E1424" t="s">
        <v>5003</v>
      </c>
      <c r="F1424" t="s">
        <v>3285</v>
      </c>
      <c r="K1424" t="s">
        <v>1444</v>
      </c>
      <c r="L1424" t="s">
        <v>1444</v>
      </c>
      <c r="M1424" t="s">
        <v>222</v>
      </c>
      <c r="N1424" t="s">
        <v>222</v>
      </c>
      <c r="O1424" t="s">
        <v>5029</v>
      </c>
      <c r="P1424" t="s">
        <v>5036</v>
      </c>
      <c r="Q1424" t="str">
        <f>IF($C1424="","",IFERROR(VLOOKUP($C1424,sources!$A$2:$N$200,2,FALSE()),"?"))</f>
        <v>Secondary</v>
      </c>
      <c r="S1424" t="str">
        <f>IF($C1424="","",IFERROR(VLOOKUP($C1424,sources!$A$2:$N$200,9,FALSE()),"?"))</f>
        <v>French company</v>
      </c>
    </row>
    <row r="1425" spans="1:19" x14ac:dyDescent="0.2">
      <c r="A1425" t="s">
        <v>5037</v>
      </c>
      <c r="B1425" t="s">
        <v>402</v>
      </c>
      <c r="C1425" t="s">
        <v>1441</v>
      </c>
      <c r="D1425" t="s">
        <v>1599</v>
      </c>
      <c r="E1425" t="s">
        <v>403</v>
      </c>
      <c r="F1425" t="s">
        <v>3285</v>
      </c>
      <c r="K1425" t="s">
        <v>1444</v>
      </c>
      <c r="L1425" t="s">
        <v>1444</v>
      </c>
      <c r="M1425" t="s">
        <v>222</v>
      </c>
      <c r="N1425" t="s">
        <v>222</v>
      </c>
      <c r="O1425" t="s">
        <v>5029</v>
      </c>
      <c r="P1425" t="s">
        <v>5038</v>
      </c>
      <c r="Q1425" t="str">
        <f>IF($C1425="","",IFERROR(VLOOKUP($C1425,sources!$A$2:$N$200,2,FALSE()),"?"))</f>
        <v>Secondary</v>
      </c>
      <c r="S1425" t="str">
        <f>IF($C1425="","",IFERROR(VLOOKUP($C1425,sources!$A$2:$N$200,9,FALSE()),"?"))</f>
        <v>French company</v>
      </c>
    </row>
    <row r="1426" spans="1:19" x14ac:dyDescent="0.2">
      <c r="A1426" t="s">
        <v>5039</v>
      </c>
      <c r="B1426" t="s">
        <v>261</v>
      </c>
      <c r="C1426" t="s">
        <v>1441</v>
      </c>
      <c r="D1426" t="s">
        <v>1599</v>
      </c>
      <c r="E1426" t="s">
        <v>262</v>
      </c>
      <c r="F1426" t="s">
        <v>3285</v>
      </c>
      <c r="K1426" t="s">
        <v>1444</v>
      </c>
      <c r="L1426" t="s">
        <v>1444</v>
      </c>
      <c r="M1426" t="s">
        <v>222</v>
      </c>
      <c r="N1426" t="s">
        <v>222</v>
      </c>
      <c r="O1426" t="s">
        <v>5029</v>
      </c>
      <c r="P1426" t="s">
        <v>5040</v>
      </c>
      <c r="Q1426" t="str">
        <f>IF($C1426="","",IFERROR(VLOOKUP($C1426,sources!$A$2:$N$200,2,FALSE()),"?"))</f>
        <v>Secondary</v>
      </c>
      <c r="S1426" t="str">
        <f>IF($C1426="","",IFERROR(VLOOKUP($C1426,sources!$A$2:$N$200,9,FALSE()),"?"))</f>
        <v>French company</v>
      </c>
    </row>
    <row r="1427" spans="1:19" x14ac:dyDescent="0.2">
      <c r="A1427" t="s">
        <v>5041</v>
      </c>
      <c r="B1427" t="s">
        <v>198</v>
      </c>
      <c r="C1427" t="s">
        <v>1441</v>
      </c>
      <c r="D1427" t="s">
        <v>1599</v>
      </c>
      <c r="E1427" t="s">
        <v>199</v>
      </c>
      <c r="F1427" t="s">
        <v>3285</v>
      </c>
      <c r="K1427" t="s">
        <v>1444</v>
      </c>
      <c r="L1427" t="s">
        <v>1444</v>
      </c>
      <c r="M1427" t="s">
        <v>222</v>
      </c>
      <c r="N1427" t="s">
        <v>222</v>
      </c>
      <c r="O1427" t="s">
        <v>5029</v>
      </c>
      <c r="P1427" t="s">
        <v>5042</v>
      </c>
      <c r="Q1427" t="str">
        <f>IF($C1427="","",IFERROR(VLOOKUP($C1427,sources!$A$2:$N$200,2,FALSE()),"?"))</f>
        <v>Secondary</v>
      </c>
      <c r="S1427" t="str">
        <f>IF($C1427="","",IFERROR(VLOOKUP($C1427,sources!$A$2:$N$200,9,FALSE()),"?"))</f>
        <v>French company</v>
      </c>
    </row>
    <row r="1428" spans="1:19" x14ac:dyDescent="0.2">
      <c r="A1428" t="s">
        <v>5043</v>
      </c>
      <c r="B1428" t="s">
        <v>284</v>
      </c>
      <c r="C1428" t="s">
        <v>1447</v>
      </c>
      <c r="D1428" t="s">
        <v>1599</v>
      </c>
      <c r="E1428" t="s">
        <v>5025</v>
      </c>
      <c r="F1428" t="s">
        <v>3285</v>
      </c>
      <c r="K1428" t="s">
        <v>1450</v>
      </c>
      <c r="L1428" t="s">
        <v>1450</v>
      </c>
      <c r="M1428" t="s">
        <v>222</v>
      </c>
      <c r="N1428" t="s">
        <v>222</v>
      </c>
      <c r="O1428" t="s">
        <v>5044</v>
      </c>
      <c r="P1428" t="s">
        <v>5045</v>
      </c>
      <c r="Q1428" t="str">
        <f>IF($C1428="","",IFERROR(VLOOKUP($C1428,sources!$A$2:$N$200,2,FALSE()),"?"))</f>
        <v>Report</v>
      </c>
      <c r="S1428" t="str">
        <f>IF($C1428="","",IFERROR(VLOOKUP($C1428,sources!$A$2:$N$200,9,FALSE()),"?"))</f>
        <v>French company</v>
      </c>
    </row>
    <row r="1429" spans="1:19" x14ac:dyDescent="0.2">
      <c r="A1429" t="s">
        <v>5046</v>
      </c>
      <c r="B1429" t="s">
        <v>252</v>
      </c>
      <c r="C1429" t="s">
        <v>1447</v>
      </c>
      <c r="D1429" t="s">
        <v>1599</v>
      </c>
      <c r="E1429" t="s">
        <v>324</v>
      </c>
      <c r="F1429" t="s">
        <v>3285</v>
      </c>
      <c r="K1429" t="s">
        <v>1450</v>
      </c>
      <c r="L1429" t="s">
        <v>1450</v>
      </c>
      <c r="M1429" t="s">
        <v>222</v>
      </c>
      <c r="N1429" t="s">
        <v>222</v>
      </c>
      <c r="O1429" t="s">
        <v>5044</v>
      </c>
      <c r="P1429" t="s">
        <v>5047</v>
      </c>
      <c r="Q1429" t="str">
        <f>IF($C1429="","",IFERROR(VLOOKUP($C1429,sources!$A$2:$N$200,2,FALSE()),"?"))</f>
        <v>Report</v>
      </c>
      <c r="S1429" t="str">
        <f>IF($C1429="","",IFERROR(VLOOKUP($C1429,sources!$A$2:$N$200,9,FALSE()),"?"))</f>
        <v>French company</v>
      </c>
    </row>
    <row r="1430" spans="1:19" x14ac:dyDescent="0.2">
      <c r="A1430" t="s">
        <v>5048</v>
      </c>
      <c r="B1430" t="s">
        <v>261</v>
      </c>
      <c r="C1430" t="s">
        <v>1447</v>
      </c>
      <c r="D1430" t="s">
        <v>1599</v>
      </c>
      <c r="E1430" t="s">
        <v>262</v>
      </c>
      <c r="F1430" t="s">
        <v>3285</v>
      </c>
      <c r="K1430" t="s">
        <v>1450</v>
      </c>
      <c r="L1430" t="s">
        <v>1450</v>
      </c>
      <c r="M1430" t="s">
        <v>222</v>
      </c>
      <c r="N1430" t="s">
        <v>222</v>
      </c>
      <c r="O1430" t="s">
        <v>5044</v>
      </c>
      <c r="P1430" t="s">
        <v>5049</v>
      </c>
      <c r="Q1430" t="str">
        <f>IF($C1430="","",IFERROR(VLOOKUP($C1430,sources!$A$2:$N$200,2,FALSE()),"?"))</f>
        <v>Report</v>
      </c>
      <c r="S1430" t="str">
        <f>IF($C1430="","",IFERROR(VLOOKUP($C1430,sources!$A$2:$N$200,9,FALSE()),"?"))</f>
        <v>French company</v>
      </c>
    </row>
    <row r="1431" spans="1:19" x14ac:dyDescent="0.2">
      <c r="A1431" t="s">
        <v>5050</v>
      </c>
      <c r="B1431" t="s">
        <v>198</v>
      </c>
      <c r="C1431" t="s">
        <v>1447</v>
      </c>
      <c r="D1431" t="s">
        <v>1599</v>
      </c>
      <c r="E1431" t="s">
        <v>199</v>
      </c>
      <c r="F1431" t="s">
        <v>3285</v>
      </c>
      <c r="K1431" t="s">
        <v>1450</v>
      </c>
      <c r="L1431" t="s">
        <v>1450</v>
      </c>
      <c r="M1431" t="s">
        <v>222</v>
      </c>
      <c r="N1431" t="s">
        <v>222</v>
      </c>
      <c r="O1431" t="s">
        <v>5044</v>
      </c>
      <c r="P1431" t="s">
        <v>5051</v>
      </c>
      <c r="Q1431" t="str">
        <f>IF($C1431="","",IFERROR(VLOOKUP($C1431,sources!$A$2:$N$200,2,FALSE()),"?"))</f>
        <v>Report</v>
      </c>
      <c r="S1431" t="str">
        <f>IF($C1431="","",IFERROR(VLOOKUP($C1431,sources!$A$2:$N$200,9,FALSE()),"?"))</f>
        <v>French company</v>
      </c>
    </row>
    <row r="1432" spans="1:19" x14ac:dyDescent="0.2">
      <c r="A1432" t="s">
        <v>5052</v>
      </c>
      <c r="B1432" t="s">
        <v>414</v>
      </c>
      <c r="C1432" t="s">
        <v>1447</v>
      </c>
      <c r="D1432" t="s">
        <v>1599</v>
      </c>
      <c r="E1432" t="s">
        <v>415</v>
      </c>
      <c r="F1432" t="s">
        <v>3285</v>
      </c>
      <c r="K1432" t="s">
        <v>1450</v>
      </c>
      <c r="L1432" t="s">
        <v>1450</v>
      </c>
      <c r="M1432" t="s">
        <v>222</v>
      </c>
      <c r="N1432" t="s">
        <v>222</v>
      </c>
      <c r="O1432" t="s">
        <v>5044</v>
      </c>
      <c r="P1432" t="s">
        <v>5053</v>
      </c>
      <c r="Q1432" t="str">
        <f>IF($C1432="","",IFERROR(VLOOKUP($C1432,sources!$A$2:$N$200,2,FALSE()),"?"))</f>
        <v>Report</v>
      </c>
      <c r="S1432" t="str">
        <f>IF($C1432="","",IFERROR(VLOOKUP($C1432,sources!$A$2:$N$200,9,FALSE()),"?"))</f>
        <v>French company</v>
      </c>
    </row>
    <row r="1433" spans="1:19" x14ac:dyDescent="0.2">
      <c r="A1433" t="s">
        <v>5054</v>
      </c>
      <c r="B1433" t="s">
        <v>376</v>
      </c>
      <c r="C1433" t="s">
        <v>1447</v>
      </c>
      <c r="D1433" t="s">
        <v>1599</v>
      </c>
      <c r="E1433" t="s">
        <v>377</v>
      </c>
      <c r="F1433" t="s">
        <v>3285</v>
      </c>
      <c r="K1433" t="s">
        <v>1450</v>
      </c>
      <c r="L1433" t="s">
        <v>1450</v>
      </c>
      <c r="M1433" t="s">
        <v>222</v>
      </c>
      <c r="N1433" t="s">
        <v>222</v>
      </c>
      <c r="O1433" t="s">
        <v>5044</v>
      </c>
      <c r="P1433" t="s">
        <v>5055</v>
      </c>
      <c r="Q1433" t="str">
        <f>IF($C1433="","",IFERROR(VLOOKUP($C1433,sources!$A$2:$N$200,2,FALSE()),"?"))</f>
        <v>Report</v>
      </c>
      <c r="S1433" t="str">
        <f>IF($C1433="","",IFERROR(VLOOKUP($C1433,sources!$A$2:$N$200,9,FALSE()),"?"))</f>
        <v>French company</v>
      </c>
    </row>
    <row r="1434" spans="1:19" x14ac:dyDescent="0.2">
      <c r="A1434" t="s">
        <v>5056</v>
      </c>
      <c r="B1434" t="s">
        <v>266</v>
      </c>
      <c r="C1434" t="s">
        <v>1447</v>
      </c>
      <c r="D1434" t="s">
        <v>1599</v>
      </c>
      <c r="E1434" t="s">
        <v>267</v>
      </c>
      <c r="F1434" t="s">
        <v>3285</v>
      </c>
      <c r="K1434" t="s">
        <v>1450</v>
      </c>
      <c r="L1434" t="s">
        <v>1450</v>
      </c>
      <c r="M1434" t="s">
        <v>222</v>
      </c>
      <c r="N1434" t="s">
        <v>222</v>
      </c>
      <c r="O1434" t="s">
        <v>5044</v>
      </c>
      <c r="P1434" t="s">
        <v>5057</v>
      </c>
      <c r="Q1434" t="str">
        <f>IF($C1434="","",IFERROR(VLOOKUP($C1434,sources!$A$2:$N$200,2,FALSE()),"?"))</f>
        <v>Report</v>
      </c>
      <c r="S1434" t="str">
        <f>IF($C1434="","",IFERROR(VLOOKUP($C1434,sources!$A$2:$N$200,9,FALSE()),"?"))</f>
        <v>French company</v>
      </c>
    </row>
    <row r="1435" spans="1:19" x14ac:dyDescent="0.2">
      <c r="A1435" t="s">
        <v>5058</v>
      </c>
      <c r="B1435" t="s">
        <v>373</v>
      </c>
      <c r="C1435" t="s">
        <v>1447</v>
      </c>
      <c r="D1435" t="s">
        <v>1599</v>
      </c>
      <c r="E1435" t="s">
        <v>5059</v>
      </c>
      <c r="F1435" t="s">
        <v>3285</v>
      </c>
      <c r="K1435" t="s">
        <v>1450</v>
      </c>
      <c r="L1435" t="s">
        <v>1450</v>
      </c>
      <c r="M1435" t="s">
        <v>222</v>
      </c>
      <c r="N1435" t="s">
        <v>222</v>
      </c>
      <c r="O1435" t="s">
        <v>5044</v>
      </c>
      <c r="P1435" t="s">
        <v>5060</v>
      </c>
      <c r="Q1435" t="str">
        <f>IF($C1435="","",IFERROR(VLOOKUP($C1435,sources!$A$2:$N$200,2,FALSE()),"?"))</f>
        <v>Report</v>
      </c>
      <c r="S1435" t="str">
        <f>IF($C1435="","",IFERROR(VLOOKUP($C1435,sources!$A$2:$N$200,9,FALSE()),"?"))</f>
        <v>French company</v>
      </c>
    </row>
    <row r="1436" spans="1:19" x14ac:dyDescent="0.2">
      <c r="A1436" t="s">
        <v>5061</v>
      </c>
      <c r="B1436" t="s">
        <v>198</v>
      </c>
      <c r="C1436" t="s">
        <v>1222</v>
      </c>
      <c r="D1436" t="s">
        <v>1585</v>
      </c>
      <c r="E1436" t="s">
        <v>4891</v>
      </c>
      <c r="F1436" t="s">
        <v>3285</v>
      </c>
      <c r="I1436" t="s">
        <v>1077</v>
      </c>
      <c r="K1436">
        <v>1895</v>
      </c>
      <c r="L1436">
        <v>1895</v>
      </c>
      <c r="M1436" t="s">
        <v>222</v>
      </c>
      <c r="N1436" t="s">
        <v>222</v>
      </c>
      <c r="O1436" t="s">
        <v>5062</v>
      </c>
      <c r="P1436" t="s">
        <v>5063</v>
      </c>
      <c r="Q1436" t="str">
        <f>IF($C1436="","",IFERROR(VLOOKUP($C1436,sources!$A$2:$N$200,2,FALSE()),"?"))</f>
        <v>Newspaper</v>
      </c>
      <c r="S1436" t="str">
        <f>IF($C1436="","",IFERROR(VLOOKUP($C1436,sources!$A$2:$N$200,9,FALSE()),"?"))</f>
        <v>US press</v>
      </c>
    </row>
    <row r="1437" spans="1:19" x14ac:dyDescent="0.2">
      <c r="A1437" t="s">
        <v>5064</v>
      </c>
      <c r="B1437" t="s">
        <v>218</v>
      </c>
      <c r="C1437" t="s">
        <v>1222</v>
      </c>
      <c r="D1437" t="s">
        <v>1599</v>
      </c>
      <c r="E1437" t="s">
        <v>5065</v>
      </c>
      <c r="F1437" t="s">
        <v>1587</v>
      </c>
      <c r="I1437" t="s">
        <v>1077</v>
      </c>
      <c r="K1437">
        <v>1881</v>
      </c>
      <c r="L1437">
        <v>1881</v>
      </c>
      <c r="M1437" t="s">
        <v>222</v>
      </c>
      <c r="N1437" t="s">
        <v>222</v>
      </c>
      <c r="O1437" t="s">
        <v>5066</v>
      </c>
      <c r="P1437" t="s">
        <v>5067</v>
      </c>
      <c r="Q1437" t="str">
        <f>IF($C1437="","",IFERROR(VLOOKUP($C1437,sources!$A$2:$N$200,2,FALSE()),"?"))</f>
        <v>Newspaper</v>
      </c>
      <c r="S1437" t="str">
        <f>IF($C1437="","",IFERROR(VLOOKUP($C1437,sources!$A$2:$N$200,9,FALSE()),"?"))</f>
        <v>US press</v>
      </c>
    </row>
    <row r="1438" spans="1:19" x14ac:dyDescent="0.2">
      <c r="A1438" t="s">
        <v>5068</v>
      </c>
      <c r="B1438" t="s">
        <v>198</v>
      </c>
      <c r="C1438" t="s">
        <v>1222</v>
      </c>
      <c r="D1438" t="s">
        <v>1599</v>
      </c>
      <c r="E1438" t="s">
        <v>199</v>
      </c>
      <c r="F1438" t="s">
        <v>1587</v>
      </c>
      <c r="I1438" t="s">
        <v>1077</v>
      </c>
      <c r="K1438">
        <v>1881</v>
      </c>
      <c r="L1438">
        <v>1881</v>
      </c>
      <c r="M1438" t="s">
        <v>222</v>
      </c>
      <c r="N1438" t="s">
        <v>222</v>
      </c>
      <c r="O1438" t="s">
        <v>5066</v>
      </c>
      <c r="P1438" t="s">
        <v>5069</v>
      </c>
      <c r="Q1438" t="str">
        <f>IF($C1438="","",IFERROR(VLOOKUP($C1438,sources!$A$2:$N$200,2,FALSE()),"?"))</f>
        <v>Newspaper</v>
      </c>
      <c r="S1438" t="str">
        <f>IF($C1438="","",IFERROR(VLOOKUP($C1438,sources!$A$2:$N$200,9,FALSE()),"?"))</f>
        <v>US press</v>
      </c>
    </row>
    <row r="1439" spans="1:19" x14ac:dyDescent="0.2">
      <c r="A1439" t="s">
        <v>5070</v>
      </c>
      <c r="B1439" t="s">
        <v>434</v>
      </c>
      <c r="C1439" t="s">
        <v>1222</v>
      </c>
      <c r="D1439" t="s">
        <v>1599</v>
      </c>
      <c r="E1439" t="s">
        <v>2653</v>
      </c>
      <c r="F1439" t="s">
        <v>1612</v>
      </c>
      <c r="I1439" t="s">
        <v>1077</v>
      </c>
      <c r="K1439">
        <v>1881</v>
      </c>
      <c r="L1439">
        <v>1881</v>
      </c>
      <c r="M1439" t="s">
        <v>222</v>
      </c>
      <c r="N1439" t="s">
        <v>222</v>
      </c>
      <c r="O1439" t="s">
        <v>5071</v>
      </c>
      <c r="P1439" t="s">
        <v>5072</v>
      </c>
      <c r="Q1439" t="str">
        <f>IF($C1439="","",IFERROR(VLOOKUP($C1439,sources!$A$2:$N$200,2,FALSE()),"?"))</f>
        <v>Newspaper</v>
      </c>
      <c r="S1439" t="str">
        <f>IF($C1439="","",IFERROR(VLOOKUP($C1439,sources!$A$2:$N$200,9,FALSE()),"?"))</f>
        <v>US press</v>
      </c>
    </row>
    <row r="1440" spans="1:19" x14ac:dyDescent="0.2">
      <c r="A1440" t="s">
        <v>5073</v>
      </c>
      <c r="B1440" t="s">
        <v>584</v>
      </c>
      <c r="C1440" t="s">
        <v>1222</v>
      </c>
      <c r="D1440" t="s">
        <v>1599</v>
      </c>
      <c r="E1440" t="s">
        <v>4951</v>
      </c>
      <c r="F1440" t="s">
        <v>1587</v>
      </c>
      <c r="I1440" t="s">
        <v>1077</v>
      </c>
      <c r="K1440">
        <v>1886</v>
      </c>
      <c r="L1440">
        <v>1886</v>
      </c>
      <c r="M1440" t="s">
        <v>222</v>
      </c>
      <c r="N1440" t="s">
        <v>222</v>
      </c>
      <c r="O1440" t="s">
        <v>5074</v>
      </c>
      <c r="P1440" t="s">
        <v>5075</v>
      </c>
      <c r="Q1440" t="str">
        <f>IF($C1440="","",IFERROR(VLOOKUP($C1440,sources!$A$2:$N$200,2,FALSE()),"?"))</f>
        <v>Newspaper</v>
      </c>
      <c r="S1440" t="str">
        <f>IF($C1440="","",IFERROR(VLOOKUP($C1440,sources!$A$2:$N$200,9,FALSE()),"?"))</f>
        <v>US press</v>
      </c>
    </row>
    <row r="1441" spans="1:19" x14ac:dyDescent="0.2">
      <c r="A1441" t="s">
        <v>5076</v>
      </c>
      <c r="B1441" t="s">
        <v>382</v>
      </c>
      <c r="C1441" t="s">
        <v>1222</v>
      </c>
      <c r="D1441" t="s">
        <v>1585</v>
      </c>
      <c r="E1441" t="s">
        <v>1735</v>
      </c>
      <c r="F1441" t="s">
        <v>3285</v>
      </c>
      <c r="I1441" t="s">
        <v>1077</v>
      </c>
      <c r="K1441">
        <v>1884</v>
      </c>
      <c r="L1441">
        <v>1884</v>
      </c>
      <c r="M1441" t="s">
        <v>222</v>
      </c>
      <c r="N1441" t="s">
        <v>222</v>
      </c>
      <c r="O1441" t="s">
        <v>5077</v>
      </c>
      <c r="P1441" t="s">
        <v>5078</v>
      </c>
      <c r="Q1441" t="str">
        <f>IF($C1441="","",IFERROR(VLOOKUP($C1441,sources!$A$2:$N$200,2,FALSE()),"?"))</f>
        <v>Newspaper</v>
      </c>
      <c r="S1441" t="str">
        <f>IF($C1441="","",IFERROR(VLOOKUP($C1441,sources!$A$2:$N$200,9,FALSE()),"?"))</f>
        <v>US press</v>
      </c>
    </row>
    <row r="1442" spans="1:19" x14ac:dyDescent="0.2">
      <c r="A1442" t="s">
        <v>5079</v>
      </c>
      <c r="B1442" t="s">
        <v>475</v>
      </c>
      <c r="C1442" t="s">
        <v>1222</v>
      </c>
      <c r="D1442" t="s">
        <v>1599</v>
      </c>
      <c r="E1442" t="s">
        <v>5080</v>
      </c>
      <c r="F1442" t="s">
        <v>1612</v>
      </c>
      <c r="I1442" t="s">
        <v>1077</v>
      </c>
      <c r="K1442">
        <v>1908</v>
      </c>
      <c r="L1442">
        <v>1908</v>
      </c>
      <c r="M1442" t="s">
        <v>222</v>
      </c>
      <c r="N1442" t="s">
        <v>222</v>
      </c>
      <c r="O1442" t="s">
        <v>5081</v>
      </c>
      <c r="P1442" t="s">
        <v>5082</v>
      </c>
      <c r="Q1442" t="str">
        <f>IF($C1442="","",IFERROR(VLOOKUP($C1442,sources!$A$2:$N$200,2,FALSE()),"?"))</f>
        <v>Newspaper</v>
      </c>
      <c r="S1442" t="str">
        <f>IF($C1442="","",IFERROR(VLOOKUP($C1442,sources!$A$2:$N$200,9,FALSE()),"?"))</f>
        <v>US press</v>
      </c>
    </row>
    <row r="1443" spans="1:19" x14ac:dyDescent="0.2">
      <c r="A1443" t="s">
        <v>5083</v>
      </c>
      <c r="B1443" t="s">
        <v>261</v>
      </c>
      <c r="C1443" t="s">
        <v>1222</v>
      </c>
      <c r="D1443" t="s">
        <v>1599</v>
      </c>
      <c r="E1443" t="s">
        <v>2123</v>
      </c>
      <c r="F1443" t="s">
        <v>1612</v>
      </c>
      <c r="I1443" t="s">
        <v>1077</v>
      </c>
      <c r="K1443">
        <v>1914</v>
      </c>
      <c r="L1443">
        <v>1914</v>
      </c>
      <c r="M1443" t="s">
        <v>222</v>
      </c>
      <c r="N1443" t="s">
        <v>222</v>
      </c>
      <c r="O1443" t="s">
        <v>5084</v>
      </c>
      <c r="P1443" t="s">
        <v>5085</v>
      </c>
      <c r="Q1443" t="str">
        <f>IF($C1443="","",IFERROR(VLOOKUP($C1443,sources!$A$2:$N$200,2,FALSE()),"?"))</f>
        <v>Newspaper</v>
      </c>
      <c r="S1443" t="str">
        <f>IF($C1443="","",IFERROR(VLOOKUP($C1443,sources!$A$2:$N$200,9,FALSE()),"?"))</f>
        <v>US press</v>
      </c>
    </row>
    <row r="1444" spans="1:19" x14ac:dyDescent="0.2">
      <c r="A1444" t="s">
        <v>5086</v>
      </c>
      <c r="B1444" t="s">
        <v>245</v>
      </c>
      <c r="C1444" t="s">
        <v>1222</v>
      </c>
      <c r="D1444" t="s">
        <v>1666</v>
      </c>
      <c r="E1444" t="s">
        <v>4945</v>
      </c>
      <c r="F1444" t="s">
        <v>1587</v>
      </c>
      <c r="I1444" t="s">
        <v>1077</v>
      </c>
      <c r="M1444" t="s">
        <v>209</v>
      </c>
      <c r="N1444" t="s">
        <v>228</v>
      </c>
      <c r="O1444" t="s">
        <v>4932</v>
      </c>
      <c r="P1444" t="s">
        <v>5087</v>
      </c>
      <c r="Q1444" t="str">
        <f>IF($C1444="","",IFERROR(VLOOKUP($C1444,sources!$A$2:$N$200,2,FALSE()),"?"))</f>
        <v>Newspaper</v>
      </c>
      <c r="S1444" t="str">
        <f>IF($C1444="","",IFERROR(VLOOKUP($C1444,sources!$A$2:$N$200,9,FALSE()),"?"))</f>
        <v>US press</v>
      </c>
    </row>
    <row r="1445" spans="1:19" x14ac:dyDescent="0.2">
      <c r="A1445" t="s">
        <v>5088</v>
      </c>
      <c r="B1445" t="s">
        <v>238</v>
      </c>
      <c r="C1445" t="s">
        <v>1222</v>
      </c>
      <c r="D1445" t="s">
        <v>1666</v>
      </c>
      <c r="E1445" t="s">
        <v>4942</v>
      </c>
      <c r="F1445" t="s">
        <v>3285</v>
      </c>
      <c r="I1445" t="s">
        <v>1077</v>
      </c>
      <c r="M1445" t="s">
        <v>209</v>
      </c>
      <c r="N1445" t="s">
        <v>228</v>
      </c>
      <c r="O1445" t="s">
        <v>4932</v>
      </c>
      <c r="P1445" t="s">
        <v>5089</v>
      </c>
      <c r="Q1445" t="str">
        <f>IF($C1445="","",IFERROR(VLOOKUP($C1445,sources!$A$2:$N$200,2,FALSE()),"?"))</f>
        <v>Newspaper</v>
      </c>
      <c r="S1445" t="str">
        <f>IF($C1445="","",IFERROR(VLOOKUP($C1445,sources!$A$2:$N$200,9,FALSE()),"?"))</f>
        <v>US press</v>
      </c>
    </row>
    <row r="1446" spans="1:19" x14ac:dyDescent="0.2">
      <c r="A1446" t="s">
        <v>5090</v>
      </c>
      <c r="B1446" t="s">
        <v>443</v>
      </c>
      <c r="C1446" t="s">
        <v>1222</v>
      </c>
      <c r="D1446" t="s">
        <v>1666</v>
      </c>
      <c r="E1446" t="s">
        <v>4948</v>
      </c>
      <c r="F1446" t="s">
        <v>1587</v>
      </c>
      <c r="I1446" t="s">
        <v>1077</v>
      </c>
      <c r="M1446" t="s">
        <v>209</v>
      </c>
      <c r="N1446" t="s">
        <v>228</v>
      </c>
      <c r="O1446" t="s">
        <v>4932</v>
      </c>
      <c r="P1446" t="s">
        <v>5091</v>
      </c>
      <c r="Q1446" t="str">
        <f>IF($C1446="","",IFERROR(VLOOKUP($C1446,sources!$A$2:$N$200,2,FALSE()),"?"))</f>
        <v>Newspaper</v>
      </c>
      <c r="S1446" t="str">
        <f>IF($C1446="","",IFERROR(VLOOKUP($C1446,sources!$A$2:$N$200,9,FALSE()),"?"))</f>
        <v>US press</v>
      </c>
    </row>
    <row r="1447" spans="1:19" x14ac:dyDescent="0.2">
      <c r="A1447" t="s">
        <v>5092</v>
      </c>
      <c r="B1447" t="s">
        <v>509</v>
      </c>
      <c r="C1447" t="s">
        <v>1222</v>
      </c>
      <c r="D1447" t="s">
        <v>1666</v>
      </c>
      <c r="E1447" t="s">
        <v>4935</v>
      </c>
      <c r="F1447" t="s">
        <v>1587</v>
      </c>
      <c r="I1447" t="s">
        <v>1077</v>
      </c>
      <c r="M1447" t="s">
        <v>209</v>
      </c>
      <c r="N1447" t="s">
        <v>228</v>
      </c>
      <c r="O1447" t="s">
        <v>4932</v>
      </c>
      <c r="P1447" t="s">
        <v>5093</v>
      </c>
      <c r="Q1447" t="str">
        <f>IF($C1447="","",IFERROR(VLOOKUP($C1447,sources!$A$2:$N$200,2,FALSE()),"?"))</f>
        <v>Newspaper</v>
      </c>
      <c r="S1447" t="str">
        <f>IF($C1447="","",IFERROR(VLOOKUP($C1447,sources!$A$2:$N$200,9,FALSE()),"?"))</f>
        <v>US press</v>
      </c>
    </row>
    <row r="1448" spans="1:19" x14ac:dyDescent="0.2">
      <c r="A1448" t="s">
        <v>5094</v>
      </c>
      <c r="B1448" t="s">
        <v>871</v>
      </c>
      <c r="C1448" t="s">
        <v>1222</v>
      </c>
      <c r="D1448" t="s">
        <v>1666</v>
      </c>
      <c r="E1448" t="s">
        <v>873</v>
      </c>
      <c r="F1448" t="s">
        <v>1612</v>
      </c>
      <c r="I1448" t="s">
        <v>1077</v>
      </c>
      <c r="M1448" t="s">
        <v>209</v>
      </c>
      <c r="N1448" t="s">
        <v>228</v>
      </c>
      <c r="O1448" t="s">
        <v>4932</v>
      </c>
      <c r="P1448" t="s">
        <v>5095</v>
      </c>
      <c r="Q1448" t="str">
        <f>IF($C1448="","",IFERROR(VLOOKUP($C1448,sources!$A$2:$N$200,2,FALSE()),"?"))</f>
        <v>Newspaper</v>
      </c>
      <c r="S1448" t="str">
        <f>IF($C1448="","",IFERROR(VLOOKUP($C1448,sources!$A$2:$N$200,9,FALSE()),"?"))</f>
        <v>US press</v>
      </c>
    </row>
    <row r="1449" spans="1:19" x14ac:dyDescent="0.2">
      <c r="A1449" t="s">
        <v>5096</v>
      </c>
      <c r="B1449" t="s">
        <v>795</v>
      </c>
      <c r="C1449" t="s">
        <v>1167</v>
      </c>
      <c r="D1449" t="s">
        <v>1599</v>
      </c>
      <c r="E1449" t="s">
        <v>796</v>
      </c>
      <c r="F1449" t="s">
        <v>1587</v>
      </c>
      <c r="I1449" t="s">
        <v>1077</v>
      </c>
      <c r="K1449">
        <v>1907</v>
      </c>
      <c r="L1449">
        <v>1916</v>
      </c>
      <c r="M1449" t="s">
        <v>222</v>
      </c>
      <c r="N1449" t="s">
        <v>222</v>
      </c>
      <c r="O1449" t="s">
        <v>5097</v>
      </c>
      <c r="P1449" t="s">
        <v>5098</v>
      </c>
      <c r="Q1449" t="str">
        <f>IF($C1449="","",IFERROR(VLOOKUP($C1449,sources!$A$2:$N$200,2,FALSE()),"?"))</f>
        <v>Report</v>
      </c>
      <c r="S1449" t="str">
        <f>IF($C1449="","",IFERROR(VLOOKUP($C1449,sources!$A$2:$N$200,9,FALSE()),"?"))</f>
        <v>US official</v>
      </c>
    </row>
    <row r="1450" spans="1:19" x14ac:dyDescent="0.2">
      <c r="A1450" t="s">
        <v>5099</v>
      </c>
      <c r="B1450" t="s">
        <v>795</v>
      </c>
      <c r="C1450" t="s">
        <v>1167</v>
      </c>
      <c r="D1450" t="s">
        <v>1603</v>
      </c>
      <c r="E1450" t="s">
        <v>5100</v>
      </c>
      <c r="F1450" t="s">
        <v>1587</v>
      </c>
      <c r="I1450" t="s">
        <v>1077</v>
      </c>
      <c r="K1450">
        <v>1909</v>
      </c>
      <c r="L1450">
        <v>1911</v>
      </c>
      <c r="M1450" t="s">
        <v>222</v>
      </c>
      <c r="N1450" t="s">
        <v>222</v>
      </c>
      <c r="O1450" t="s">
        <v>5101</v>
      </c>
      <c r="P1450" t="s">
        <v>5102</v>
      </c>
      <c r="Q1450" t="str">
        <f>IF($C1450="","",IFERROR(VLOOKUP($C1450,sources!$A$2:$N$200,2,FALSE()),"?"))</f>
        <v>Report</v>
      </c>
      <c r="S1450" t="str">
        <f>IF($C1450="","",IFERROR(VLOOKUP($C1450,sources!$A$2:$N$200,9,FALSE()),"?"))</f>
        <v>US official</v>
      </c>
    </row>
    <row r="1451" spans="1:19" x14ac:dyDescent="0.2">
      <c r="A1451" t="s">
        <v>5103</v>
      </c>
      <c r="B1451" t="s">
        <v>795</v>
      </c>
      <c r="C1451" t="s">
        <v>1167</v>
      </c>
      <c r="D1451" t="s">
        <v>1599</v>
      </c>
      <c r="E1451" t="s">
        <v>5104</v>
      </c>
      <c r="F1451" t="s">
        <v>1612</v>
      </c>
      <c r="I1451" t="s">
        <v>1077</v>
      </c>
      <c r="K1451">
        <v>1908</v>
      </c>
      <c r="L1451">
        <v>1915</v>
      </c>
      <c r="M1451" t="s">
        <v>222</v>
      </c>
      <c r="N1451" t="s">
        <v>222</v>
      </c>
      <c r="O1451" t="s">
        <v>5105</v>
      </c>
      <c r="P1451" t="s">
        <v>5106</v>
      </c>
      <c r="Q1451" t="str">
        <f>IF($C1451="","",IFERROR(VLOOKUP($C1451,sources!$A$2:$N$200,2,FALSE()),"?"))</f>
        <v>Report</v>
      </c>
      <c r="S1451" t="str">
        <f>IF($C1451="","",IFERROR(VLOOKUP($C1451,sources!$A$2:$N$200,9,FALSE()),"?"))</f>
        <v>US official</v>
      </c>
    </row>
    <row r="1452" spans="1:19" x14ac:dyDescent="0.2">
      <c r="A1452" t="s">
        <v>5107</v>
      </c>
      <c r="B1452" t="s">
        <v>795</v>
      </c>
      <c r="C1452" t="s">
        <v>1222</v>
      </c>
      <c r="D1452" t="s">
        <v>1603</v>
      </c>
      <c r="E1452" t="s">
        <v>796</v>
      </c>
      <c r="F1452" t="s">
        <v>1587</v>
      </c>
      <c r="I1452" t="s">
        <v>1077</v>
      </c>
      <c r="K1452">
        <v>1910</v>
      </c>
      <c r="L1452">
        <v>1910</v>
      </c>
      <c r="M1452" t="s">
        <v>222</v>
      </c>
      <c r="N1452" t="s">
        <v>222</v>
      </c>
      <c r="O1452" t="s">
        <v>5108</v>
      </c>
      <c r="P1452" t="s">
        <v>5109</v>
      </c>
      <c r="Q1452" t="str">
        <f>IF($C1452="","",IFERROR(VLOOKUP($C1452,sources!$A$2:$N$200,2,FALSE()),"?"))</f>
        <v>Newspaper</v>
      </c>
      <c r="S1452" t="str">
        <f>IF($C1452="","",IFERROR(VLOOKUP($C1452,sources!$A$2:$N$200,9,FALSE()),"?"))</f>
        <v>US press</v>
      </c>
    </row>
    <row r="1453" spans="1:19" x14ac:dyDescent="0.2">
      <c r="A1453" t="s">
        <v>5110</v>
      </c>
      <c r="B1453" t="s">
        <v>349</v>
      </c>
      <c r="C1453" t="s">
        <v>1453</v>
      </c>
      <c r="D1453" t="s">
        <v>1594</v>
      </c>
      <c r="E1453" t="s">
        <v>5111</v>
      </c>
      <c r="F1453" t="s">
        <v>1612</v>
      </c>
      <c r="G1453">
        <v>9.3558900000000005</v>
      </c>
      <c r="H1453">
        <v>-79.900599999999997</v>
      </c>
      <c r="I1453" t="s">
        <v>4813</v>
      </c>
      <c r="J1453">
        <v>300</v>
      </c>
      <c r="K1453">
        <v>1857</v>
      </c>
      <c r="L1453">
        <v>1857</v>
      </c>
      <c r="M1453" t="s">
        <v>222</v>
      </c>
      <c r="N1453" t="s">
        <v>222</v>
      </c>
      <c r="O1453" t="s">
        <v>5112</v>
      </c>
      <c r="P1453" t="s">
        <v>5113</v>
      </c>
      <c r="Q1453" t="str">
        <f>IF($C1453="","",IFERROR(VLOOKUP($C1453,sources!$A$2:$N$200,2,FALSE()),"?"))</f>
        <v>Map</v>
      </c>
      <c r="S1453" t="str">
        <f>IF($C1453="","",IFERROR(VLOOKUP($C1453,sources!$A$2:$N$200,9,FALSE()),"?"))</f>
        <v>US corporate (PRR)</v>
      </c>
    </row>
    <row r="1454" spans="1:19" x14ac:dyDescent="0.2">
      <c r="A1454" t="s">
        <v>5114</v>
      </c>
      <c r="B1454" t="s">
        <v>434</v>
      </c>
      <c r="C1454" t="s">
        <v>1453</v>
      </c>
      <c r="D1454" t="s">
        <v>1585</v>
      </c>
      <c r="E1454" t="s">
        <v>2653</v>
      </c>
      <c r="F1454" t="s">
        <v>1612</v>
      </c>
      <c r="I1454" t="s">
        <v>1077</v>
      </c>
      <c r="K1454">
        <v>1857</v>
      </c>
      <c r="L1454">
        <v>1857</v>
      </c>
      <c r="M1454" t="s">
        <v>222</v>
      </c>
      <c r="N1454" t="s">
        <v>222</v>
      </c>
      <c r="O1454" t="s">
        <v>5112</v>
      </c>
      <c r="P1454" t="s">
        <v>5115</v>
      </c>
      <c r="Q1454" t="str">
        <f>IF($C1454="","",IFERROR(VLOOKUP($C1454,sources!$A$2:$N$200,2,FALSE()),"?"))</f>
        <v>Map</v>
      </c>
      <c r="S1454" t="str">
        <f>IF($C1454="","",IFERROR(VLOOKUP($C1454,sources!$A$2:$N$200,9,FALSE()),"?"))</f>
        <v>US corporate (PRR)</v>
      </c>
    </row>
    <row r="1455" spans="1:19" x14ac:dyDescent="0.2">
      <c r="A1455" t="s">
        <v>5116</v>
      </c>
      <c r="B1455" t="s">
        <v>402</v>
      </c>
      <c r="C1455" t="s">
        <v>1453</v>
      </c>
      <c r="D1455" t="s">
        <v>1585</v>
      </c>
      <c r="E1455" t="s">
        <v>5117</v>
      </c>
      <c r="F1455" t="s">
        <v>1587</v>
      </c>
      <c r="I1455" t="s">
        <v>1077</v>
      </c>
      <c r="K1455">
        <v>1857</v>
      </c>
      <c r="L1455">
        <v>1857</v>
      </c>
      <c r="M1455" t="s">
        <v>222</v>
      </c>
      <c r="N1455" t="s">
        <v>222</v>
      </c>
      <c r="O1455" t="s">
        <v>5112</v>
      </c>
      <c r="P1455" t="s">
        <v>5118</v>
      </c>
      <c r="Q1455" t="str">
        <f>IF($C1455="","",IFERROR(VLOOKUP($C1455,sources!$A$2:$N$200,2,FALSE()),"?"))</f>
        <v>Map</v>
      </c>
      <c r="S1455" t="str">
        <f>IF($C1455="","",IFERROR(VLOOKUP($C1455,sources!$A$2:$N$200,9,FALSE()),"?"))</f>
        <v>US corporate (PRR)</v>
      </c>
    </row>
    <row r="1456" spans="1:19" x14ac:dyDescent="0.2">
      <c r="A1456" t="s">
        <v>5119</v>
      </c>
      <c r="B1456" t="s">
        <v>238</v>
      </c>
      <c r="C1456" t="s">
        <v>1453</v>
      </c>
      <c r="D1456" t="s">
        <v>1594</v>
      </c>
      <c r="E1456" t="s">
        <v>5120</v>
      </c>
      <c r="F1456" t="s">
        <v>1612</v>
      </c>
      <c r="G1456">
        <v>9.256945</v>
      </c>
      <c r="H1456">
        <v>-79.924008999999998</v>
      </c>
      <c r="I1456" t="s">
        <v>4813</v>
      </c>
      <c r="J1456">
        <v>600</v>
      </c>
      <c r="K1456">
        <v>1857</v>
      </c>
      <c r="L1456">
        <v>1857</v>
      </c>
      <c r="M1456" t="s">
        <v>222</v>
      </c>
      <c r="N1456" t="s">
        <v>228</v>
      </c>
      <c r="O1456" t="s">
        <v>5112</v>
      </c>
      <c r="P1456" t="s">
        <v>5121</v>
      </c>
      <c r="Q1456" t="str">
        <f>IF($C1456="","",IFERROR(VLOOKUP($C1456,sources!$A$2:$N$200,2,FALSE()),"?"))</f>
        <v>Map</v>
      </c>
      <c r="S1456" t="str">
        <f>IF($C1456="","",IFERROR(VLOOKUP($C1456,sources!$A$2:$N$200,9,FALSE()),"?"))</f>
        <v>US corporate (PRR)</v>
      </c>
    </row>
    <row r="1457" spans="1:19" x14ac:dyDescent="0.2">
      <c r="A1457" t="s">
        <v>5122</v>
      </c>
      <c r="B1457" t="s">
        <v>411</v>
      </c>
      <c r="C1457" t="s">
        <v>1453</v>
      </c>
      <c r="D1457" t="s">
        <v>1594</v>
      </c>
      <c r="E1457" t="s">
        <v>412</v>
      </c>
      <c r="F1457" t="s">
        <v>1612</v>
      </c>
      <c r="G1457">
        <v>9.2322790000000001</v>
      </c>
      <c r="H1457">
        <v>-79.906205</v>
      </c>
      <c r="I1457" t="s">
        <v>4813</v>
      </c>
      <c r="J1457">
        <v>800</v>
      </c>
      <c r="K1457">
        <v>1857</v>
      </c>
      <c r="L1457">
        <v>1857</v>
      </c>
      <c r="M1457" t="s">
        <v>222</v>
      </c>
      <c r="N1457" t="s">
        <v>228</v>
      </c>
      <c r="O1457" t="s">
        <v>5112</v>
      </c>
      <c r="P1457" t="s">
        <v>5123</v>
      </c>
      <c r="Q1457" t="str">
        <f>IF($C1457="","",IFERROR(VLOOKUP($C1457,sources!$A$2:$N$200,2,FALSE()),"?"))</f>
        <v>Map</v>
      </c>
      <c r="S1457" t="str">
        <f>IF($C1457="","",IFERROR(VLOOKUP($C1457,sources!$A$2:$N$200,9,FALSE()),"?"))</f>
        <v>US corporate (PRR)</v>
      </c>
    </row>
    <row r="1458" spans="1:19" x14ac:dyDescent="0.2">
      <c r="A1458" t="s">
        <v>5124</v>
      </c>
      <c r="B1458" t="s">
        <v>408</v>
      </c>
      <c r="C1458" t="s">
        <v>1453</v>
      </c>
      <c r="D1458" t="s">
        <v>1594</v>
      </c>
      <c r="E1458" t="s">
        <v>409</v>
      </c>
      <c r="F1458" t="s">
        <v>1612</v>
      </c>
      <c r="G1458">
        <v>9.2235709999999997</v>
      </c>
      <c r="H1458">
        <v>-79.894113000000004</v>
      </c>
      <c r="I1458" t="s">
        <v>4813</v>
      </c>
      <c r="J1458">
        <v>800</v>
      </c>
      <c r="K1458">
        <v>1857</v>
      </c>
      <c r="L1458">
        <v>1857</v>
      </c>
      <c r="M1458" t="s">
        <v>222</v>
      </c>
      <c r="N1458" t="s">
        <v>228</v>
      </c>
      <c r="O1458" t="s">
        <v>5112</v>
      </c>
      <c r="P1458" t="s">
        <v>5125</v>
      </c>
      <c r="Q1458" t="str">
        <f>IF($C1458="","",IFERROR(VLOOKUP($C1458,sources!$A$2:$N$200,2,FALSE()),"?"))</f>
        <v>Map</v>
      </c>
      <c r="S1458" t="str">
        <f>IF($C1458="","",IFERROR(VLOOKUP($C1458,sources!$A$2:$N$200,9,FALSE()),"?"))</f>
        <v>US corporate (PRR)</v>
      </c>
    </row>
    <row r="1459" spans="1:19" x14ac:dyDescent="0.2">
      <c r="A1459" t="s">
        <v>5126</v>
      </c>
      <c r="B1459" t="s">
        <v>224</v>
      </c>
      <c r="C1459" t="s">
        <v>1453</v>
      </c>
      <c r="D1459" t="s">
        <v>1594</v>
      </c>
      <c r="E1459" t="s">
        <v>225</v>
      </c>
      <c r="F1459" t="s">
        <v>1587</v>
      </c>
      <c r="G1459">
        <v>9.2050210000000003</v>
      </c>
      <c r="H1459">
        <v>-79.870019999999997</v>
      </c>
      <c r="I1459" t="s">
        <v>4813</v>
      </c>
      <c r="J1459">
        <v>800</v>
      </c>
      <c r="K1459">
        <v>1857</v>
      </c>
      <c r="L1459">
        <v>1857</v>
      </c>
      <c r="M1459" t="s">
        <v>222</v>
      </c>
      <c r="N1459" t="s">
        <v>228</v>
      </c>
      <c r="O1459" t="s">
        <v>5112</v>
      </c>
      <c r="P1459" t="s">
        <v>5127</v>
      </c>
      <c r="Q1459" t="str">
        <f>IF($C1459="","",IFERROR(VLOOKUP($C1459,sources!$A$2:$N$200,2,FALSE()),"?"))</f>
        <v>Map</v>
      </c>
      <c r="S1459" t="str">
        <f>IF($C1459="","",IFERROR(VLOOKUP($C1459,sources!$A$2:$N$200,9,FALSE()),"?"))</f>
        <v>US corporate (PRR)</v>
      </c>
    </row>
    <row r="1460" spans="1:19" x14ac:dyDescent="0.2">
      <c r="A1460" t="s">
        <v>5128</v>
      </c>
      <c r="B1460" t="s">
        <v>626</v>
      </c>
      <c r="C1460" t="s">
        <v>1453</v>
      </c>
      <c r="D1460" t="s">
        <v>1594</v>
      </c>
      <c r="E1460" t="s">
        <v>627</v>
      </c>
      <c r="F1460" t="s">
        <v>1587</v>
      </c>
      <c r="G1460">
        <v>9.2056769999999997</v>
      </c>
      <c r="H1460">
        <v>-79.885947999999999</v>
      </c>
      <c r="I1460" t="s">
        <v>4813</v>
      </c>
      <c r="J1460">
        <v>600</v>
      </c>
      <c r="K1460">
        <v>1857</v>
      </c>
      <c r="L1460">
        <v>1857</v>
      </c>
      <c r="M1460" t="s">
        <v>222</v>
      </c>
      <c r="N1460" t="s">
        <v>222</v>
      </c>
      <c r="O1460" t="s">
        <v>5112</v>
      </c>
      <c r="P1460" t="s">
        <v>5129</v>
      </c>
      <c r="Q1460" t="str">
        <f>IF($C1460="","",IFERROR(VLOOKUP($C1460,sources!$A$2:$N$200,2,FALSE()),"?"))</f>
        <v>Map</v>
      </c>
      <c r="S1460" t="str">
        <f>IF($C1460="","",IFERROR(VLOOKUP($C1460,sources!$A$2:$N$200,9,FALSE()),"?"))</f>
        <v>US corporate (PRR)</v>
      </c>
    </row>
    <row r="1461" spans="1:19" x14ac:dyDescent="0.2">
      <c r="A1461" t="s">
        <v>5130</v>
      </c>
      <c r="B1461" t="s">
        <v>514</v>
      </c>
      <c r="C1461" t="s">
        <v>1453</v>
      </c>
      <c r="D1461" t="s">
        <v>1594</v>
      </c>
      <c r="E1461" t="s">
        <v>515</v>
      </c>
      <c r="F1461" t="s">
        <v>1587</v>
      </c>
      <c r="G1461">
        <v>9.1836680000000008</v>
      </c>
      <c r="H1461">
        <v>-79.873703000000006</v>
      </c>
      <c r="I1461" t="s">
        <v>4813</v>
      </c>
      <c r="J1461">
        <v>600</v>
      </c>
      <c r="K1461">
        <v>1857</v>
      </c>
      <c r="L1461">
        <v>1857</v>
      </c>
      <c r="M1461" t="s">
        <v>222</v>
      </c>
      <c r="N1461" t="s">
        <v>222</v>
      </c>
      <c r="O1461" t="s">
        <v>5112</v>
      </c>
      <c r="P1461" t="s">
        <v>5131</v>
      </c>
      <c r="Q1461" t="str">
        <f>IF($C1461="","",IFERROR(VLOOKUP($C1461,sources!$A$2:$N$200,2,FALSE()),"?"))</f>
        <v>Map</v>
      </c>
      <c r="S1461" t="str">
        <f>IF($C1461="","",IFERROR(VLOOKUP($C1461,sources!$A$2:$N$200,9,FALSE()),"?"))</f>
        <v>US corporate (PRR)</v>
      </c>
    </row>
    <row r="1462" spans="1:19" x14ac:dyDescent="0.2">
      <c r="A1462" t="s">
        <v>5132</v>
      </c>
      <c r="B1462" t="s">
        <v>517</v>
      </c>
      <c r="C1462" t="s">
        <v>1453</v>
      </c>
      <c r="D1462" t="s">
        <v>1585</v>
      </c>
      <c r="E1462" t="s">
        <v>5133</v>
      </c>
      <c r="F1462" t="s">
        <v>1587</v>
      </c>
      <c r="I1462" t="s">
        <v>1077</v>
      </c>
      <c r="K1462">
        <v>1857</v>
      </c>
      <c r="L1462">
        <v>1857</v>
      </c>
      <c r="M1462" t="s">
        <v>222</v>
      </c>
      <c r="N1462" t="s">
        <v>228</v>
      </c>
      <c r="O1462" t="s">
        <v>5112</v>
      </c>
      <c r="P1462" t="s">
        <v>5134</v>
      </c>
      <c r="Q1462" t="str">
        <f>IF($C1462="","",IFERROR(VLOOKUP($C1462,sources!$A$2:$N$200,2,FALSE()),"?"))</f>
        <v>Map</v>
      </c>
      <c r="S1462" t="str">
        <f>IF($C1462="","",IFERROR(VLOOKUP($C1462,sources!$A$2:$N$200,9,FALSE()),"?"))</f>
        <v>US corporate (PRR)</v>
      </c>
    </row>
    <row r="1463" spans="1:19" x14ac:dyDescent="0.2">
      <c r="A1463" t="s">
        <v>5135</v>
      </c>
      <c r="B1463" t="s">
        <v>284</v>
      </c>
      <c r="C1463" t="s">
        <v>1453</v>
      </c>
      <c r="D1463" t="s">
        <v>1594</v>
      </c>
      <c r="E1463" t="s">
        <v>3865</v>
      </c>
      <c r="F1463" t="s">
        <v>1587</v>
      </c>
      <c r="G1463">
        <v>9.1856899999999992</v>
      </c>
      <c r="H1463">
        <v>-79.846754000000004</v>
      </c>
      <c r="I1463" t="s">
        <v>4813</v>
      </c>
      <c r="J1463">
        <v>600</v>
      </c>
      <c r="K1463">
        <v>1857</v>
      </c>
      <c r="L1463">
        <v>1857</v>
      </c>
      <c r="M1463" t="s">
        <v>222</v>
      </c>
      <c r="N1463" t="s">
        <v>222</v>
      </c>
      <c r="O1463" t="s">
        <v>5112</v>
      </c>
      <c r="P1463" t="s">
        <v>5136</v>
      </c>
      <c r="Q1463" t="str">
        <f>IF($C1463="","",IFERROR(VLOOKUP($C1463,sources!$A$2:$N$200,2,FALSE()),"?"))</f>
        <v>Map</v>
      </c>
      <c r="S1463" t="str">
        <f>IF($C1463="","",IFERROR(VLOOKUP($C1463,sources!$A$2:$N$200,9,FALSE()),"?"))</f>
        <v>US corporate (PRR)</v>
      </c>
    </row>
    <row r="1464" spans="1:19" x14ac:dyDescent="0.2">
      <c r="A1464" t="s">
        <v>5137</v>
      </c>
      <c r="B1464" t="s">
        <v>405</v>
      </c>
      <c r="C1464" t="s">
        <v>1453</v>
      </c>
      <c r="D1464" t="s">
        <v>1594</v>
      </c>
      <c r="E1464" t="s">
        <v>406</v>
      </c>
      <c r="F1464" t="s">
        <v>1587</v>
      </c>
      <c r="G1464">
        <v>9.1764139999999994</v>
      </c>
      <c r="H1464">
        <v>-79.832058000000004</v>
      </c>
      <c r="I1464" t="s">
        <v>4813</v>
      </c>
      <c r="J1464">
        <v>700</v>
      </c>
      <c r="K1464">
        <v>1857</v>
      </c>
      <c r="L1464">
        <v>1857</v>
      </c>
      <c r="M1464" t="s">
        <v>222</v>
      </c>
      <c r="N1464" t="s">
        <v>228</v>
      </c>
      <c r="O1464" t="s">
        <v>5112</v>
      </c>
      <c r="P1464" t="s">
        <v>5138</v>
      </c>
      <c r="Q1464" t="str">
        <f>IF($C1464="","",IFERROR(VLOOKUP($C1464,sources!$A$2:$N$200,2,FALSE()),"?"))</f>
        <v>Map</v>
      </c>
      <c r="S1464" t="str">
        <f>IF($C1464="","",IFERROR(VLOOKUP($C1464,sources!$A$2:$N$200,9,FALSE()),"?"))</f>
        <v>US corporate (PRR)</v>
      </c>
    </row>
    <row r="1465" spans="1:19" x14ac:dyDescent="0.2">
      <c r="A1465" t="s">
        <v>5139</v>
      </c>
      <c r="B1465" t="s">
        <v>907</v>
      </c>
      <c r="C1465" t="s">
        <v>1453</v>
      </c>
      <c r="D1465" t="s">
        <v>1594</v>
      </c>
      <c r="E1465" t="s">
        <v>5140</v>
      </c>
      <c r="F1465" t="s">
        <v>1587</v>
      </c>
      <c r="G1465">
        <v>9.1988000000000003</v>
      </c>
      <c r="H1465">
        <v>-79.803600000000003</v>
      </c>
      <c r="I1465" t="s">
        <v>1595</v>
      </c>
      <c r="J1465">
        <v>800</v>
      </c>
      <c r="K1465">
        <v>1857</v>
      </c>
      <c r="L1465">
        <v>1857</v>
      </c>
      <c r="M1465" t="s">
        <v>222</v>
      </c>
      <c r="N1465" t="s">
        <v>222</v>
      </c>
      <c r="O1465" t="s">
        <v>5112</v>
      </c>
      <c r="P1465" t="s">
        <v>5141</v>
      </c>
      <c r="Q1465" t="str">
        <f>IF($C1465="","",IFERROR(VLOOKUP($C1465,sources!$A$2:$N$200,2,FALSE()),"?"))</f>
        <v>Map</v>
      </c>
      <c r="S1465" t="str">
        <f>IF($C1465="","",IFERROR(VLOOKUP($C1465,sources!$A$2:$N$200,9,FALSE()),"?"))</f>
        <v>US corporate (PRR)</v>
      </c>
    </row>
    <row r="1466" spans="1:19" x14ac:dyDescent="0.2">
      <c r="A1466" t="s">
        <v>5142</v>
      </c>
      <c r="B1466" t="s">
        <v>373</v>
      </c>
      <c r="C1466" t="s">
        <v>1453</v>
      </c>
      <c r="D1466" t="s">
        <v>1594</v>
      </c>
      <c r="E1466" t="s">
        <v>5143</v>
      </c>
      <c r="F1466" t="s">
        <v>1612</v>
      </c>
      <c r="G1466">
        <v>9.1648849999999999</v>
      </c>
      <c r="H1466">
        <v>-79.810246000000006</v>
      </c>
      <c r="I1466" t="s">
        <v>4813</v>
      </c>
      <c r="J1466">
        <v>600</v>
      </c>
      <c r="K1466">
        <v>1857</v>
      </c>
      <c r="L1466">
        <v>1857</v>
      </c>
      <c r="M1466" t="s">
        <v>222</v>
      </c>
      <c r="N1466" t="s">
        <v>222</v>
      </c>
      <c r="O1466" t="s">
        <v>5112</v>
      </c>
      <c r="P1466" t="s">
        <v>5144</v>
      </c>
      <c r="Q1466" t="str">
        <f>IF($C1466="","",IFERROR(VLOOKUP($C1466,sources!$A$2:$N$200,2,FALSE()),"?"))</f>
        <v>Map</v>
      </c>
      <c r="S1466" t="str">
        <f>IF($C1466="","",IFERROR(VLOOKUP($C1466,sources!$A$2:$N$200,9,FALSE()),"?"))</f>
        <v>US corporate (PRR)</v>
      </c>
    </row>
    <row r="1467" spans="1:19" x14ac:dyDescent="0.2">
      <c r="A1467" t="s">
        <v>5145</v>
      </c>
      <c r="B1467" t="s">
        <v>382</v>
      </c>
      <c r="C1467" t="s">
        <v>1453</v>
      </c>
      <c r="D1467" t="s">
        <v>1594</v>
      </c>
      <c r="E1467" t="s">
        <v>383</v>
      </c>
      <c r="F1467" t="s">
        <v>1587</v>
      </c>
      <c r="G1467">
        <v>9.1261810000000008</v>
      </c>
      <c r="H1467">
        <v>-79.807147000000001</v>
      </c>
      <c r="I1467" t="s">
        <v>4813</v>
      </c>
      <c r="J1467">
        <v>800</v>
      </c>
      <c r="K1467">
        <v>1857</v>
      </c>
      <c r="L1467">
        <v>1857</v>
      </c>
      <c r="M1467" t="s">
        <v>222</v>
      </c>
      <c r="N1467" t="s">
        <v>228</v>
      </c>
      <c r="O1467" t="s">
        <v>5112</v>
      </c>
      <c r="P1467" t="s">
        <v>5146</v>
      </c>
      <c r="Q1467" t="str">
        <f>IF($C1467="","",IFERROR(VLOOKUP($C1467,sources!$A$2:$N$200,2,FALSE()),"?"))</f>
        <v>Map</v>
      </c>
      <c r="S1467" t="str">
        <f>IF($C1467="","",IFERROR(VLOOKUP($C1467,sources!$A$2:$N$200,9,FALSE()),"?"))</f>
        <v>US corporate (PRR)</v>
      </c>
    </row>
    <row r="1468" spans="1:19" x14ac:dyDescent="0.2">
      <c r="A1468" t="s">
        <v>5147</v>
      </c>
      <c r="B1468" t="s">
        <v>213</v>
      </c>
      <c r="C1468" t="s">
        <v>1453</v>
      </c>
      <c r="D1468" t="s">
        <v>1594</v>
      </c>
      <c r="E1468" t="s">
        <v>214</v>
      </c>
      <c r="F1468" t="s">
        <v>1587</v>
      </c>
      <c r="G1468">
        <v>9.115945</v>
      </c>
      <c r="H1468">
        <v>-79.794077000000001</v>
      </c>
      <c r="I1468" t="s">
        <v>4813</v>
      </c>
      <c r="J1468">
        <v>1000</v>
      </c>
      <c r="K1468">
        <v>1857</v>
      </c>
      <c r="L1468">
        <v>1857</v>
      </c>
      <c r="M1468" t="s">
        <v>222</v>
      </c>
      <c r="N1468" t="s">
        <v>228</v>
      </c>
      <c r="O1468" t="s">
        <v>5112</v>
      </c>
      <c r="P1468" t="s">
        <v>5148</v>
      </c>
      <c r="Q1468" t="str">
        <f>IF($C1468="","",IFERROR(VLOOKUP($C1468,sources!$A$2:$N$200,2,FALSE()),"?"))</f>
        <v>Map</v>
      </c>
      <c r="S1468" t="str">
        <f>IF($C1468="","",IFERROR(VLOOKUP($C1468,sources!$A$2:$N$200,9,FALSE()),"?"))</f>
        <v>US corporate (PRR)</v>
      </c>
    </row>
    <row r="1469" spans="1:19" x14ac:dyDescent="0.2">
      <c r="A1469" t="s">
        <v>5149</v>
      </c>
      <c r="B1469" t="s">
        <v>379</v>
      </c>
      <c r="C1469" t="s">
        <v>1453</v>
      </c>
      <c r="D1469" t="s">
        <v>1594</v>
      </c>
      <c r="E1469" t="s">
        <v>5150</v>
      </c>
      <c r="F1469" t="s">
        <v>1612</v>
      </c>
      <c r="G1469">
        <v>9.1229610000000001</v>
      </c>
      <c r="H1469">
        <v>-79.773415999999997</v>
      </c>
      <c r="I1469" t="s">
        <v>4813</v>
      </c>
      <c r="J1469">
        <v>700</v>
      </c>
      <c r="K1469">
        <v>1857</v>
      </c>
      <c r="L1469">
        <v>1857</v>
      </c>
      <c r="M1469" t="s">
        <v>222</v>
      </c>
      <c r="N1469" t="s">
        <v>228</v>
      </c>
      <c r="O1469" t="s">
        <v>5112</v>
      </c>
      <c r="P1469" t="s">
        <v>5151</v>
      </c>
      <c r="Q1469" t="str">
        <f>IF($C1469="","",IFERROR(VLOOKUP($C1469,sources!$A$2:$N$200,2,FALSE()),"?"))</f>
        <v>Map</v>
      </c>
      <c r="S1469" t="str">
        <f>IF($C1469="","",IFERROR(VLOOKUP($C1469,sources!$A$2:$N$200,9,FALSE()),"?"))</f>
        <v>US corporate (PRR)</v>
      </c>
    </row>
    <row r="1470" spans="1:19" x14ac:dyDescent="0.2">
      <c r="A1470" t="s">
        <v>5152</v>
      </c>
      <c r="B1470" t="s">
        <v>234</v>
      </c>
      <c r="C1470" t="s">
        <v>1453</v>
      </c>
      <c r="D1470" t="s">
        <v>1594</v>
      </c>
      <c r="E1470" t="s">
        <v>2694</v>
      </c>
      <c r="F1470" t="s">
        <v>1587</v>
      </c>
      <c r="G1470">
        <v>9.1074739999999998</v>
      </c>
      <c r="H1470">
        <v>-79.771789999999996</v>
      </c>
      <c r="I1470" t="s">
        <v>4813</v>
      </c>
      <c r="J1470">
        <v>500</v>
      </c>
      <c r="K1470">
        <v>1857</v>
      </c>
      <c r="L1470">
        <v>1857</v>
      </c>
      <c r="M1470" t="s">
        <v>222</v>
      </c>
      <c r="N1470" t="s">
        <v>222</v>
      </c>
      <c r="O1470" t="s">
        <v>5112</v>
      </c>
      <c r="P1470" t="s">
        <v>5153</v>
      </c>
      <c r="Q1470" t="str">
        <f>IF($C1470="","",IFERROR(VLOOKUP($C1470,sources!$A$2:$N$200,2,FALSE()),"?"))</f>
        <v>Map</v>
      </c>
      <c r="S1470" t="str">
        <f>IF($C1470="","",IFERROR(VLOOKUP($C1470,sources!$A$2:$N$200,9,FALSE()),"?"))</f>
        <v>US corporate (PRR)</v>
      </c>
    </row>
    <row r="1471" spans="1:19" x14ac:dyDescent="0.2">
      <c r="A1471" t="s">
        <v>5154</v>
      </c>
      <c r="B1471" t="s">
        <v>414</v>
      </c>
      <c r="C1471" t="s">
        <v>1453</v>
      </c>
      <c r="D1471" t="s">
        <v>1594</v>
      </c>
      <c r="E1471" t="s">
        <v>415</v>
      </c>
      <c r="F1471" t="s">
        <v>1587</v>
      </c>
      <c r="G1471">
        <v>9.1160599999999992</v>
      </c>
      <c r="H1471">
        <v>-79.758396000000005</v>
      </c>
      <c r="I1471" t="s">
        <v>4813</v>
      </c>
      <c r="J1471">
        <v>400</v>
      </c>
      <c r="K1471">
        <v>1857</v>
      </c>
      <c r="L1471">
        <v>1857</v>
      </c>
      <c r="M1471" t="s">
        <v>222</v>
      </c>
      <c r="N1471" t="s">
        <v>222</v>
      </c>
      <c r="O1471" t="s">
        <v>5112</v>
      </c>
      <c r="P1471" t="s">
        <v>5155</v>
      </c>
      <c r="Q1471" t="str">
        <f>IF($C1471="","",IFERROR(VLOOKUP($C1471,sources!$A$2:$N$200,2,FALSE()),"?"))</f>
        <v>Map</v>
      </c>
      <c r="S1471" t="str">
        <f>IF($C1471="","",IFERROR(VLOOKUP($C1471,sources!$A$2:$N$200,9,FALSE()),"?"))</f>
        <v>US corporate (PRR)</v>
      </c>
    </row>
    <row r="1472" spans="1:19" x14ac:dyDescent="0.2">
      <c r="A1472" t="s">
        <v>5156</v>
      </c>
      <c r="B1472" t="s">
        <v>452</v>
      </c>
      <c r="C1472" t="s">
        <v>1453</v>
      </c>
      <c r="D1472" t="s">
        <v>1594</v>
      </c>
      <c r="E1472" t="s">
        <v>5157</v>
      </c>
      <c r="F1472" t="s">
        <v>1612</v>
      </c>
      <c r="G1472">
        <v>9.1248939999999994</v>
      </c>
      <c r="H1472">
        <v>-79.733565999999996</v>
      </c>
      <c r="I1472" t="s">
        <v>4813</v>
      </c>
      <c r="J1472">
        <v>700</v>
      </c>
      <c r="K1472">
        <v>1857</v>
      </c>
      <c r="L1472">
        <v>1857</v>
      </c>
      <c r="M1472" t="s">
        <v>222</v>
      </c>
      <c r="N1472" t="s">
        <v>228</v>
      </c>
      <c r="O1472" t="s">
        <v>5112</v>
      </c>
      <c r="P1472" t="s">
        <v>5158</v>
      </c>
      <c r="Q1472" t="str">
        <f>IF($C1472="","",IFERROR(VLOOKUP($C1472,sources!$A$2:$N$200,2,FALSE()),"?"))</f>
        <v>Map</v>
      </c>
      <c r="S1472" t="str">
        <f>IF($C1472="","",IFERROR(VLOOKUP($C1472,sources!$A$2:$N$200,9,FALSE()),"?"))</f>
        <v>US corporate (PRR)</v>
      </c>
    </row>
    <row r="1473" spans="1:19" x14ac:dyDescent="0.2">
      <c r="A1473" t="s">
        <v>5159</v>
      </c>
      <c r="B1473" t="s">
        <v>261</v>
      </c>
      <c r="C1473" t="s">
        <v>1453</v>
      </c>
      <c r="D1473" t="s">
        <v>1594</v>
      </c>
      <c r="E1473" t="s">
        <v>3051</v>
      </c>
      <c r="F1473" t="s">
        <v>1587</v>
      </c>
      <c r="G1473">
        <v>9.1152180000000005</v>
      </c>
      <c r="H1473">
        <v>-79.723962999999998</v>
      </c>
      <c r="I1473" t="s">
        <v>4813</v>
      </c>
      <c r="J1473">
        <v>400</v>
      </c>
      <c r="K1473">
        <v>1857</v>
      </c>
      <c r="L1473">
        <v>1857</v>
      </c>
      <c r="M1473" t="s">
        <v>222</v>
      </c>
      <c r="N1473" t="s">
        <v>222</v>
      </c>
      <c r="O1473" t="s">
        <v>5112</v>
      </c>
      <c r="P1473" t="s">
        <v>5160</v>
      </c>
      <c r="Q1473" t="str">
        <f>IF($C1473="","",IFERROR(VLOOKUP($C1473,sources!$A$2:$N$200,2,FALSE()),"?"))</f>
        <v>Map</v>
      </c>
      <c r="S1473" t="str">
        <f>IF($C1473="","",IFERROR(VLOOKUP($C1473,sources!$A$2:$N$200,9,FALSE()),"?"))</f>
        <v>US corporate (PRR)</v>
      </c>
    </row>
    <row r="1474" spans="1:19" x14ac:dyDescent="0.2">
      <c r="A1474" t="s">
        <v>5161</v>
      </c>
      <c r="B1474" t="s">
        <v>198</v>
      </c>
      <c r="C1474" t="s">
        <v>1453</v>
      </c>
      <c r="D1474" t="s">
        <v>1594</v>
      </c>
      <c r="E1474" t="s">
        <v>5162</v>
      </c>
      <c r="F1474" t="s">
        <v>1587</v>
      </c>
      <c r="G1474">
        <v>9.1113510000000009</v>
      </c>
      <c r="H1474">
        <v>-79.699348999999998</v>
      </c>
      <c r="I1474" t="s">
        <v>4813</v>
      </c>
      <c r="J1474">
        <v>700</v>
      </c>
      <c r="K1474">
        <v>1857</v>
      </c>
      <c r="L1474">
        <v>1857</v>
      </c>
      <c r="M1474" t="s">
        <v>222</v>
      </c>
      <c r="N1474" t="s">
        <v>228</v>
      </c>
      <c r="O1474" t="s">
        <v>5112</v>
      </c>
      <c r="P1474" t="s">
        <v>5163</v>
      </c>
      <c r="Q1474" t="str">
        <f>IF($C1474="","",IFERROR(VLOOKUP($C1474,sources!$A$2:$N$200,2,FALSE()),"?"))</f>
        <v>Map</v>
      </c>
      <c r="S1474" t="str">
        <f>IF($C1474="","",IFERROR(VLOOKUP($C1474,sources!$A$2:$N$200,9,FALSE()),"?"))</f>
        <v>US corporate (PRR)</v>
      </c>
    </row>
    <row r="1475" spans="1:19" x14ac:dyDescent="0.2">
      <c r="A1475" t="s">
        <v>5164</v>
      </c>
      <c r="B1475" t="s">
        <v>218</v>
      </c>
      <c r="C1475" t="s">
        <v>1453</v>
      </c>
      <c r="D1475" t="s">
        <v>1594</v>
      </c>
      <c r="E1475" t="s">
        <v>3837</v>
      </c>
      <c r="F1475" t="s">
        <v>1587</v>
      </c>
      <c r="G1475">
        <v>9.1274750000000004</v>
      </c>
      <c r="H1475">
        <v>-79.682201000000006</v>
      </c>
      <c r="I1475" t="s">
        <v>4813</v>
      </c>
      <c r="J1475">
        <v>800</v>
      </c>
      <c r="K1475">
        <v>1857</v>
      </c>
      <c r="L1475">
        <v>1857</v>
      </c>
      <c r="M1475" t="s">
        <v>222</v>
      </c>
      <c r="N1475" t="s">
        <v>228</v>
      </c>
      <c r="O1475" t="s">
        <v>5112</v>
      </c>
      <c r="P1475" t="s">
        <v>5165</v>
      </c>
      <c r="Q1475" t="str">
        <f>IF($C1475="","",IFERROR(VLOOKUP($C1475,sources!$A$2:$N$200,2,FALSE()),"?"))</f>
        <v>Map</v>
      </c>
      <c r="S1475" t="str">
        <f>IF($C1475="","",IFERROR(VLOOKUP($C1475,sources!$A$2:$N$200,9,FALSE()),"?"))</f>
        <v>US corporate (PRR)</v>
      </c>
    </row>
    <row r="1476" spans="1:19" x14ac:dyDescent="0.2">
      <c r="A1476" t="s">
        <v>5166</v>
      </c>
      <c r="B1476" t="s">
        <v>272</v>
      </c>
      <c r="C1476" t="s">
        <v>1453</v>
      </c>
      <c r="D1476" t="s">
        <v>1594</v>
      </c>
      <c r="E1476" t="s">
        <v>5167</v>
      </c>
      <c r="F1476" t="s">
        <v>1612</v>
      </c>
      <c r="G1476">
        <v>9.104654</v>
      </c>
      <c r="H1476">
        <v>-79.682201000000006</v>
      </c>
      <c r="I1476" t="s">
        <v>4813</v>
      </c>
      <c r="J1476">
        <v>700</v>
      </c>
      <c r="K1476">
        <v>1857</v>
      </c>
      <c r="L1476">
        <v>1857</v>
      </c>
      <c r="M1476" t="s">
        <v>222</v>
      </c>
      <c r="N1476" t="s">
        <v>222</v>
      </c>
      <c r="O1476" t="s">
        <v>5112</v>
      </c>
      <c r="P1476" t="s">
        <v>5168</v>
      </c>
      <c r="Q1476" t="str">
        <f>IF($C1476="","",IFERROR(VLOOKUP($C1476,sources!$A$2:$N$200,2,FALSE()),"?"))</f>
        <v>Map</v>
      </c>
      <c r="S1476" t="str">
        <f>IF($C1476="","",IFERROR(VLOOKUP($C1476,sources!$A$2:$N$200,9,FALSE()),"?"))</f>
        <v>US corporate (PRR)</v>
      </c>
    </row>
    <row r="1477" spans="1:19" x14ac:dyDescent="0.2">
      <c r="A1477" t="s">
        <v>5169</v>
      </c>
      <c r="B1477" t="s">
        <v>584</v>
      </c>
      <c r="C1477" t="s">
        <v>1453</v>
      </c>
      <c r="D1477" t="s">
        <v>1594</v>
      </c>
      <c r="E1477" t="s">
        <v>5170</v>
      </c>
      <c r="F1477" t="s">
        <v>1612</v>
      </c>
      <c r="G1477">
        <v>9.0955440000000003</v>
      </c>
      <c r="H1477">
        <v>-79.677295999999998</v>
      </c>
      <c r="I1477" t="s">
        <v>4813</v>
      </c>
      <c r="J1477">
        <v>700</v>
      </c>
      <c r="K1477">
        <v>1857</v>
      </c>
      <c r="L1477">
        <v>1857</v>
      </c>
      <c r="M1477" t="s">
        <v>222</v>
      </c>
      <c r="N1477" t="s">
        <v>222</v>
      </c>
      <c r="O1477" t="s">
        <v>5112</v>
      </c>
      <c r="P1477" t="s">
        <v>5171</v>
      </c>
      <c r="Q1477" t="str">
        <f>IF($C1477="","",IFERROR(VLOOKUP($C1477,sources!$A$2:$N$200,2,FALSE()),"?"))</f>
        <v>Map</v>
      </c>
      <c r="S1477" t="str">
        <f>IF($C1477="","",IFERROR(VLOOKUP($C1477,sources!$A$2:$N$200,9,FALSE()),"?"))</f>
        <v>US corporate (PRR)</v>
      </c>
    </row>
    <row r="1478" spans="1:19" x14ac:dyDescent="0.2">
      <c r="A1478" t="s">
        <v>5172</v>
      </c>
      <c r="B1478" t="s">
        <v>266</v>
      </c>
      <c r="C1478" t="s">
        <v>1453</v>
      </c>
      <c r="D1478" t="s">
        <v>1585</v>
      </c>
      <c r="E1478" t="s">
        <v>5173</v>
      </c>
      <c r="F1478" t="s">
        <v>1587</v>
      </c>
      <c r="I1478" t="s">
        <v>1077</v>
      </c>
      <c r="K1478">
        <v>1857</v>
      </c>
      <c r="L1478">
        <v>1857</v>
      </c>
      <c r="M1478" t="s">
        <v>222</v>
      </c>
      <c r="N1478" t="s">
        <v>222</v>
      </c>
      <c r="O1478" t="s">
        <v>5112</v>
      </c>
      <c r="P1478" t="s">
        <v>5174</v>
      </c>
      <c r="Q1478" t="str">
        <f>IF($C1478="","",IFERROR(VLOOKUP($C1478,sources!$A$2:$N$200,2,FALSE()),"?"))</f>
        <v>Map</v>
      </c>
      <c r="S1478" t="str">
        <f>IF($C1478="","",IFERROR(VLOOKUP($C1478,sources!$A$2:$N$200,9,FALSE()),"?"))</f>
        <v>US corporate (PRR)</v>
      </c>
    </row>
    <row r="1479" spans="1:19" x14ac:dyDescent="0.2">
      <c r="A1479" t="s">
        <v>5175</v>
      </c>
      <c r="B1479" t="s">
        <v>376</v>
      </c>
      <c r="C1479" t="s">
        <v>1453</v>
      </c>
      <c r="D1479" t="s">
        <v>1594</v>
      </c>
      <c r="E1479" t="s">
        <v>5176</v>
      </c>
      <c r="F1479" t="s">
        <v>1612</v>
      </c>
      <c r="G1479">
        <v>9.0248150000000003</v>
      </c>
      <c r="H1479">
        <v>-79.638102000000003</v>
      </c>
      <c r="I1479" t="s">
        <v>4813</v>
      </c>
      <c r="J1479">
        <v>900</v>
      </c>
      <c r="K1479">
        <v>1857</v>
      </c>
      <c r="L1479">
        <v>1857</v>
      </c>
      <c r="M1479" t="s">
        <v>222</v>
      </c>
      <c r="N1479" t="s">
        <v>228</v>
      </c>
      <c r="O1479" t="s">
        <v>5112</v>
      </c>
      <c r="P1479" t="s">
        <v>5177</v>
      </c>
      <c r="Q1479" t="str">
        <f>IF($C1479="","",IFERROR(VLOOKUP($C1479,sources!$A$2:$N$200,2,FALSE()),"?"))</f>
        <v>Map</v>
      </c>
      <c r="S1479" t="str">
        <f>IF($C1479="","",IFERROR(VLOOKUP($C1479,sources!$A$2:$N$200,9,FALSE()),"?"))</f>
        <v>US corporate (PRR)</v>
      </c>
    </row>
    <row r="1480" spans="1:19" x14ac:dyDescent="0.2">
      <c r="A1480" t="s">
        <v>5178</v>
      </c>
      <c r="B1480" t="s">
        <v>363</v>
      </c>
      <c r="C1480" t="s">
        <v>1453</v>
      </c>
      <c r="D1480" t="s">
        <v>1594</v>
      </c>
      <c r="E1480" t="s">
        <v>364</v>
      </c>
      <c r="F1480" t="s">
        <v>1587</v>
      </c>
      <c r="G1480">
        <v>9.0163510000000002</v>
      </c>
      <c r="H1480">
        <v>-79.609517999999994</v>
      </c>
      <c r="I1480" t="s">
        <v>4813</v>
      </c>
      <c r="J1480">
        <v>600</v>
      </c>
      <c r="K1480">
        <v>1857</v>
      </c>
      <c r="L1480">
        <v>1857</v>
      </c>
      <c r="M1480" t="s">
        <v>222</v>
      </c>
      <c r="N1480" t="s">
        <v>222</v>
      </c>
      <c r="O1480" t="s">
        <v>5112</v>
      </c>
      <c r="P1480" t="s">
        <v>5179</v>
      </c>
      <c r="Q1480" t="str">
        <f>IF($C1480="","",IFERROR(VLOOKUP($C1480,sources!$A$2:$N$200,2,FALSE()),"?"))</f>
        <v>Map</v>
      </c>
      <c r="S1480" t="str">
        <f>IF($C1480="","",IFERROR(VLOOKUP($C1480,sources!$A$2:$N$200,9,FALSE()),"?"))</f>
        <v>US corporate (PRR)</v>
      </c>
    </row>
    <row r="1481" spans="1:19" x14ac:dyDescent="0.2">
      <c r="A1481" t="s">
        <v>5180</v>
      </c>
      <c r="B1481" t="s">
        <v>359</v>
      </c>
      <c r="C1481" t="s">
        <v>1453</v>
      </c>
      <c r="D1481" t="s">
        <v>1594</v>
      </c>
      <c r="E1481" t="s">
        <v>5181</v>
      </c>
      <c r="F1481" t="s">
        <v>1612</v>
      </c>
      <c r="G1481">
        <v>8.9984380000000002</v>
      </c>
      <c r="H1481">
        <v>-79.601352000000006</v>
      </c>
      <c r="I1481" t="s">
        <v>4813</v>
      </c>
      <c r="J1481">
        <v>700</v>
      </c>
      <c r="K1481">
        <v>1857</v>
      </c>
      <c r="L1481">
        <v>1857</v>
      </c>
      <c r="M1481" t="s">
        <v>222</v>
      </c>
      <c r="N1481" t="s">
        <v>228</v>
      </c>
      <c r="O1481" t="s">
        <v>5112</v>
      </c>
      <c r="P1481" t="s">
        <v>5182</v>
      </c>
      <c r="Q1481" t="str">
        <f>IF($C1481="","",IFERROR(VLOOKUP($C1481,sources!$A$2:$N$200,2,FALSE()),"?"))</f>
        <v>Map</v>
      </c>
      <c r="S1481" t="str">
        <f>IF($C1481="","",IFERROR(VLOOKUP($C1481,sources!$A$2:$N$200,9,FALSE()),"?"))</f>
        <v>US corporate (PRR)</v>
      </c>
    </row>
    <row r="1482" spans="1:19" x14ac:dyDescent="0.2">
      <c r="A1482" t="s">
        <v>5183</v>
      </c>
      <c r="B1482" t="s">
        <v>618</v>
      </c>
      <c r="C1482" t="s">
        <v>1453</v>
      </c>
      <c r="D1482" t="s">
        <v>1594</v>
      </c>
      <c r="E1482" t="s">
        <v>5184</v>
      </c>
      <c r="F1482" t="s">
        <v>1587</v>
      </c>
      <c r="G1482">
        <v>9.1013450000000002</v>
      </c>
      <c r="H1482">
        <v>-79.776362000000006</v>
      </c>
      <c r="I1482" t="s">
        <v>4813</v>
      </c>
      <c r="J1482">
        <v>800</v>
      </c>
      <c r="K1482">
        <v>1857</v>
      </c>
      <c r="L1482">
        <v>1857</v>
      </c>
      <c r="M1482" t="s">
        <v>222</v>
      </c>
      <c r="N1482" t="s">
        <v>209</v>
      </c>
      <c r="O1482" t="s">
        <v>5112</v>
      </c>
      <c r="P1482" t="s">
        <v>5185</v>
      </c>
      <c r="Q1482" t="str">
        <f>IF($C1482="","",IFERROR(VLOOKUP($C1482,sources!$A$2:$N$200,2,FALSE()),"?"))</f>
        <v>Map</v>
      </c>
      <c r="S1482" t="str">
        <f>IF($C1482="","",IFERROR(VLOOKUP($C1482,sources!$A$2:$N$200,9,FALSE()),"?"))</f>
        <v>US corporate (PRR)</v>
      </c>
    </row>
    <row r="1483" spans="1:19" x14ac:dyDescent="0.2">
      <c r="A1483" t="s">
        <v>5186</v>
      </c>
      <c r="B1483" t="s">
        <v>529</v>
      </c>
      <c r="C1483" t="s">
        <v>1453</v>
      </c>
      <c r="D1483" t="s">
        <v>1585</v>
      </c>
      <c r="E1483" t="s">
        <v>5187</v>
      </c>
      <c r="F1483" t="s">
        <v>1587</v>
      </c>
      <c r="I1483" t="s">
        <v>1077</v>
      </c>
      <c r="K1483">
        <v>1857</v>
      </c>
      <c r="L1483">
        <v>1857</v>
      </c>
      <c r="M1483" t="s">
        <v>222</v>
      </c>
      <c r="N1483" t="s">
        <v>222</v>
      </c>
      <c r="O1483" t="s">
        <v>5112</v>
      </c>
      <c r="P1483" t="s">
        <v>5188</v>
      </c>
      <c r="Q1483" t="str">
        <f>IF($C1483="","",IFERROR(VLOOKUP($C1483,sources!$A$2:$N$200,2,FALSE()),"?"))</f>
        <v>Map</v>
      </c>
      <c r="S1483" t="str">
        <f>IF($C1483="","",IFERROR(VLOOKUP($C1483,sources!$A$2:$N$200,9,FALSE()),"?"))</f>
        <v>US corporate (PRR)</v>
      </c>
    </row>
    <row r="1484" spans="1:19" x14ac:dyDescent="0.2">
      <c r="A1484" t="s">
        <v>5189</v>
      </c>
      <c r="B1484" t="s">
        <v>649</v>
      </c>
      <c r="C1484" t="s">
        <v>1453</v>
      </c>
      <c r="D1484" t="s">
        <v>1585</v>
      </c>
      <c r="E1484" t="s">
        <v>5190</v>
      </c>
      <c r="F1484" t="s">
        <v>1587</v>
      </c>
      <c r="I1484" t="s">
        <v>1077</v>
      </c>
      <c r="K1484">
        <v>1857</v>
      </c>
      <c r="L1484">
        <v>1857</v>
      </c>
      <c r="M1484" t="s">
        <v>222</v>
      </c>
      <c r="N1484" t="s">
        <v>222</v>
      </c>
      <c r="O1484" t="s">
        <v>5112</v>
      </c>
      <c r="P1484" t="s">
        <v>5191</v>
      </c>
      <c r="Q1484" t="str">
        <f>IF($C1484="","",IFERROR(VLOOKUP($C1484,sources!$A$2:$N$200,2,FALSE()),"?"))</f>
        <v>Map</v>
      </c>
      <c r="S1484" t="str">
        <f>IF($C1484="","",IFERROR(VLOOKUP($C1484,sources!$A$2:$N$200,9,FALSE()),"?"))</f>
        <v>US corporate (PRR)</v>
      </c>
    </row>
    <row r="1485" spans="1:19" x14ac:dyDescent="0.2">
      <c r="A1485" t="s">
        <v>5192</v>
      </c>
      <c r="B1485" t="s">
        <v>422</v>
      </c>
      <c r="C1485" t="s">
        <v>1453</v>
      </c>
      <c r="D1485" t="s">
        <v>1585</v>
      </c>
      <c r="E1485" t="s">
        <v>423</v>
      </c>
      <c r="F1485" t="s">
        <v>1587</v>
      </c>
      <c r="I1485" t="s">
        <v>1077</v>
      </c>
      <c r="K1485">
        <v>1857</v>
      </c>
      <c r="L1485">
        <v>1857</v>
      </c>
      <c r="M1485" t="s">
        <v>222</v>
      </c>
      <c r="N1485" t="s">
        <v>222</v>
      </c>
      <c r="O1485" t="s">
        <v>5112</v>
      </c>
      <c r="P1485" t="s">
        <v>5193</v>
      </c>
      <c r="Q1485" t="str">
        <f>IF($C1485="","",IFERROR(VLOOKUP($C1485,sources!$A$2:$N$200,2,FALSE()),"?"))</f>
        <v>Map</v>
      </c>
      <c r="S1485" t="str">
        <f>IF($C1485="","",IFERROR(VLOOKUP($C1485,sources!$A$2:$N$200,9,FALSE()),"?"))</f>
        <v>US corporate (PRR)</v>
      </c>
    </row>
    <row r="1486" spans="1:19" x14ac:dyDescent="0.2">
      <c r="A1486" t="s">
        <v>5194</v>
      </c>
      <c r="B1486" t="s">
        <v>236</v>
      </c>
      <c r="C1486" t="s">
        <v>1453</v>
      </c>
      <c r="D1486" t="s">
        <v>1666</v>
      </c>
      <c r="E1486" t="s">
        <v>237</v>
      </c>
      <c r="F1486" t="s">
        <v>1587</v>
      </c>
      <c r="I1486" t="s">
        <v>1077</v>
      </c>
      <c r="K1486">
        <v>1857</v>
      </c>
      <c r="L1486">
        <v>1857</v>
      </c>
      <c r="M1486" t="s">
        <v>222</v>
      </c>
      <c r="N1486" t="s">
        <v>228</v>
      </c>
      <c r="O1486" t="s">
        <v>5112</v>
      </c>
      <c r="P1486" t="s">
        <v>5195</v>
      </c>
      <c r="Q1486" t="str">
        <f>IF($C1486="","",IFERROR(VLOOKUP($C1486,sources!$A$2:$N$200,2,FALSE()),"?"))</f>
        <v>Map</v>
      </c>
      <c r="S1486" t="str">
        <f>IF($C1486="","",IFERROR(VLOOKUP($C1486,sources!$A$2:$N$200,9,FALSE()),"?"))</f>
        <v>US corporate (PRR)</v>
      </c>
    </row>
    <row r="1487" spans="1:19" x14ac:dyDescent="0.2">
      <c r="A1487" t="s">
        <v>5196</v>
      </c>
      <c r="B1487" t="s">
        <v>232</v>
      </c>
      <c r="C1487" t="s">
        <v>1453</v>
      </c>
      <c r="D1487" t="s">
        <v>1666</v>
      </c>
      <c r="E1487" t="s">
        <v>233</v>
      </c>
      <c r="F1487" t="s">
        <v>1587</v>
      </c>
      <c r="I1487" t="s">
        <v>1077</v>
      </c>
      <c r="K1487">
        <v>1857</v>
      </c>
      <c r="L1487">
        <v>1857</v>
      </c>
      <c r="M1487" t="s">
        <v>222</v>
      </c>
      <c r="N1487" t="s">
        <v>228</v>
      </c>
      <c r="O1487" t="s">
        <v>5112</v>
      </c>
      <c r="P1487" t="s">
        <v>5197</v>
      </c>
      <c r="Q1487" t="str">
        <f>IF($C1487="","",IFERROR(VLOOKUP($C1487,sources!$A$2:$N$200,2,FALSE()),"?"))</f>
        <v>Map</v>
      </c>
      <c r="S1487" t="str">
        <f>IF($C1487="","",IFERROR(VLOOKUP($C1487,sources!$A$2:$N$200,9,FALSE()),"?"))</f>
        <v>US corporate (PRR)</v>
      </c>
    </row>
    <row r="1488" spans="1:19" x14ac:dyDescent="0.2">
      <c r="A1488" t="s">
        <v>5198</v>
      </c>
      <c r="B1488" t="s">
        <v>230</v>
      </c>
      <c r="C1488" t="s">
        <v>1453</v>
      </c>
      <c r="D1488" t="s">
        <v>1666</v>
      </c>
      <c r="E1488" t="s">
        <v>231</v>
      </c>
      <c r="F1488" t="s">
        <v>1587</v>
      </c>
      <c r="I1488" t="s">
        <v>1077</v>
      </c>
      <c r="K1488">
        <v>1857</v>
      </c>
      <c r="L1488">
        <v>1857</v>
      </c>
      <c r="M1488" t="s">
        <v>222</v>
      </c>
      <c r="N1488" t="s">
        <v>209</v>
      </c>
      <c r="O1488" t="s">
        <v>5112</v>
      </c>
      <c r="P1488" t="s">
        <v>5199</v>
      </c>
      <c r="Q1488" t="str">
        <f>IF($C1488="","",IFERROR(VLOOKUP($C1488,sources!$A$2:$N$200,2,FALSE()),"?"))</f>
        <v>Map</v>
      </c>
      <c r="S1488" t="str">
        <f>IF($C1488="","",IFERROR(VLOOKUP($C1488,sources!$A$2:$N$200,9,FALSE()),"?"))</f>
        <v>US corporate (PRR)</v>
      </c>
    </row>
    <row r="1489" spans="1:19" x14ac:dyDescent="0.2">
      <c r="A1489" t="s">
        <v>5200</v>
      </c>
      <c r="B1489" t="s">
        <v>405</v>
      </c>
      <c r="C1489" t="s">
        <v>1453</v>
      </c>
      <c r="D1489" t="s">
        <v>1666</v>
      </c>
      <c r="E1489" t="s">
        <v>579</v>
      </c>
      <c r="F1489" t="s">
        <v>1587</v>
      </c>
      <c r="I1489" t="s">
        <v>1077</v>
      </c>
      <c r="K1489">
        <v>1857</v>
      </c>
      <c r="L1489">
        <v>1857</v>
      </c>
      <c r="M1489" t="s">
        <v>222</v>
      </c>
      <c r="N1489" t="s">
        <v>228</v>
      </c>
      <c r="O1489" t="s">
        <v>5112</v>
      </c>
      <c r="P1489" t="s">
        <v>5201</v>
      </c>
      <c r="Q1489" t="str">
        <f>IF($C1489="","",IFERROR(VLOOKUP($C1489,sources!$A$2:$N$200,2,FALSE()),"?"))</f>
        <v>Map</v>
      </c>
      <c r="S1489" t="str">
        <f>IF($C1489="","",IFERROR(VLOOKUP($C1489,sources!$A$2:$N$200,9,FALSE()),"?"))</f>
        <v>US corporate (PRR)</v>
      </c>
    </row>
    <row r="1490" spans="1:19" x14ac:dyDescent="0.2">
      <c r="A1490" t="s">
        <v>5202</v>
      </c>
      <c r="B1490" t="s">
        <v>455</v>
      </c>
      <c r="C1490" t="s">
        <v>1453</v>
      </c>
      <c r="D1490" t="s">
        <v>1666</v>
      </c>
      <c r="E1490" t="s">
        <v>456</v>
      </c>
      <c r="F1490" t="s">
        <v>1587</v>
      </c>
      <c r="I1490" t="s">
        <v>1077</v>
      </c>
      <c r="K1490">
        <v>1857</v>
      </c>
      <c r="L1490">
        <v>1857</v>
      </c>
      <c r="M1490" t="s">
        <v>222</v>
      </c>
      <c r="N1490" t="s">
        <v>209</v>
      </c>
      <c r="O1490" t="s">
        <v>5112</v>
      </c>
      <c r="P1490" t="s">
        <v>5203</v>
      </c>
      <c r="Q1490" t="str">
        <f>IF($C1490="","",IFERROR(VLOOKUP($C1490,sources!$A$2:$N$200,2,FALSE()),"?"))</f>
        <v>Map</v>
      </c>
      <c r="S1490" t="str">
        <f>IF($C1490="","",IFERROR(VLOOKUP($C1490,sources!$A$2:$N$200,9,FALSE()),"?"))</f>
        <v>US corporate (PRR)</v>
      </c>
    </row>
    <row r="1491" spans="1:19" x14ac:dyDescent="0.2">
      <c r="A1491" t="s">
        <v>5204</v>
      </c>
      <c r="B1491" t="s">
        <v>611</v>
      </c>
      <c r="C1491" t="s">
        <v>1453</v>
      </c>
      <c r="D1491" t="s">
        <v>1666</v>
      </c>
      <c r="E1491" t="s">
        <v>612</v>
      </c>
      <c r="F1491" t="s">
        <v>1587</v>
      </c>
      <c r="I1491" t="s">
        <v>1077</v>
      </c>
      <c r="K1491">
        <v>1857</v>
      </c>
      <c r="L1491">
        <v>1857</v>
      </c>
      <c r="M1491" t="s">
        <v>222</v>
      </c>
      <c r="N1491" t="s">
        <v>209</v>
      </c>
      <c r="O1491" t="s">
        <v>5112</v>
      </c>
      <c r="P1491" t="s">
        <v>5205</v>
      </c>
      <c r="Q1491" t="str">
        <f>IF($C1491="","",IFERROR(VLOOKUP($C1491,sources!$A$2:$N$200,2,FALSE()),"?"))</f>
        <v>Map</v>
      </c>
      <c r="S1491" t="str">
        <f>IF($C1491="","",IFERROR(VLOOKUP($C1491,sources!$A$2:$N$200,9,FALSE()),"?"))</f>
        <v>US corporate (PRR)</v>
      </c>
    </row>
    <row r="1492" spans="1:19" x14ac:dyDescent="0.2">
      <c r="A1492" t="s">
        <v>5206</v>
      </c>
      <c r="B1492" t="s">
        <v>354</v>
      </c>
      <c r="C1492" t="s">
        <v>1432</v>
      </c>
      <c r="D1492" t="s">
        <v>1599</v>
      </c>
      <c r="E1492" t="s">
        <v>5207</v>
      </c>
      <c r="F1492" t="s">
        <v>3285</v>
      </c>
      <c r="K1492" t="s">
        <v>1435</v>
      </c>
      <c r="L1492" t="s">
        <v>1435</v>
      </c>
      <c r="M1492" t="s">
        <v>222</v>
      </c>
      <c r="N1492" t="s">
        <v>222</v>
      </c>
      <c r="O1492" t="s">
        <v>4984</v>
      </c>
      <c r="P1492" t="s">
        <v>5208</v>
      </c>
      <c r="Q1492" t="str">
        <f>IF($C1492="","",IFERROR(VLOOKUP($C1492,sources!$A$2:$N$200,2,FALSE()),"?"))</f>
        <v>Report</v>
      </c>
      <c r="S1492" t="str">
        <f>IF($C1492="","",IFERROR(VLOOKUP($C1492,sources!$A$2:$N$200,9,FALSE()),"?"))</f>
        <v>French company</v>
      </c>
    </row>
    <row r="1493" spans="1:19" x14ac:dyDescent="0.2">
      <c r="A1493" t="s">
        <v>5209</v>
      </c>
      <c r="B1493" t="s">
        <v>439</v>
      </c>
      <c r="C1493" t="s">
        <v>1441</v>
      </c>
      <c r="D1493" t="s">
        <v>1599</v>
      </c>
      <c r="E1493" t="s">
        <v>440</v>
      </c>
      <c r="F1493" t="s">
        <v>3285</v>
      </c>
      <c r="K1493" t="s">
        <v>1444</v>
      </c>
      <c r="L1493" t="s">
        <v>1444</v>
      </c>
      <c r="M1493" t="s">
        <v>222</v>
      </c>
      <c r="N1493" t="s">
        <v>222</v>
      </c>
      <c r="O1493" t="s">
        <v>5029</v>
      </c>
      <c r="P1493" t="s">
        <v>5210</v>
      </c>
      <c r="Q1493" t="str">
        <f>IF($C1493="","",IFERROR(VLOOKUP($C1493,sources!$A$2:$N$200,2,FALSE()),"?"))</f>
        <v>Secondary</v>
      </c>
      <c r="S1493" t="str">
        <f>IF($C1493="","",IFERROR(VLOOKUP($C1493,sources!$A$2:$N$200,9,FALSE()),"?"))</f>
        <v>French company</v>
      </c>
    </row>
    <row r="1494" spans="1:19" x14ac:dyDescent="0.2">
      <c r="A1494" t="s">
        <v>5211</v>
      </c>
      <c r="B1494" t="s">
        <v>443</v>
      </c>
      <c r="C1494" t="s">
        <v>1441</v>
      </c>
      <c r="D1494" t="s">
        <v>1599</v>
      </c>
      <c r="E1494" t="s">
        <v>5212</v>
      </c>
      <c r="F1494" t="s">
        <v>3285</v>
      </c>
      <c r="K1494" t="s">
        <v>1444</v>
      </c>
      <c r="L1494" t="s">
        <v>1444</v>
      </c>
      <c r="M1494" t="s">
        <v>222</v>
      </c>
      <c r="N1494" t="s">
        <v>222</v>
      </c>
      <c r="O1494" t="s">
        <v>5029</v>
      </c>
      <c r="P1494" t="s">
        <v>5213</v>
      </c>
      <c r="Q1494" t="str">
        <f>IF($C1494="","",IFERROR(VLOOKUP($C1494,sources!$A$2:$N$200,2,FALSE()),"?"))</f>
        <v>Secondary</v>
      </c>
      <c r="S1494" t="str">
        <f>IF($C1494="","",IFERROR(VLOOKUP($C1494,sources!$A$2:$N$200,9,FALSE()),"?"))</f>
        <v>French company</v>
      </c>
    </row>
    <row r="1495" spans="1:19" x14ac:dyDescent="0.2">
      <c r="A1495" t="s">
        <v>5214</v>
      </c>
      <c r="B1495" t="s">
        <v>462</v>
      </c>
      <c r="C1495" t="s">
        <v>1432</v>
      </c>
      <c r="D1495" t="s">
        <v>1599</v>
      </c>
      <c r="E1495" t="s">
        <v>463</v>
      </c>
      <c r="F1495" t="s">
        <v>3285</v>
      </c>
      <c r="K1495" t="s">
        <v>1435</v>
      </c>
      <c r="L1495" t="s">
        <v>1435</v>
      </c>
      <c r="M1495" t="s">
        <v>222</v>
      </c>
      <c r="N1495" t="s">
        <v>222</v>
      </c>
      <c r="O1495" t="s">
        <v>4984</v>
      </c>
      <c r="P1495" t="s">
        <v>5215</v>
      </c>
      <c r="Q1495" t="str">
        <f>IF($C1495="","",IFERROR(VLOOKUP($C1495,sources!$A$2:$N$200,2,FALSE()),"?"))</f>
        <v>Report</v>
      </c>
      <c r="S1495" t="str">
        <f>IF($C1495="","",IFERROR(VLOOKUP($C1495,sources!$A$2:$N$200,9,FALSE()),"?"))</f>
        <v>French company</v>
      </c>
    </row>
    <row r="1496" spans="1:19" x14ac:dyDescent="0.2">
      <c r="A1496" t="s">
        <v>5216</v>
      </c>
      <c r="B1496" t="s">
        <v>234</v>
      </c>
      <c r="C1496" t="s">
        <v>1432</v>
      </c>
      <c r="D1496" t="s">
        <v>1666</v>
      </c>
      <c r="F1496" t="s">
        <v>3285</v>
      </c>
      <c r="N1496" t="s">
        <v>228</v>
      </c>
      <c r="O1496" t="s">
        <v>5217</v>
      </c>
      <c r="P1496" t="s">
        <v>5218</v>
      </c>
      <c r="Q1496" t="str">
        <f>IF($C1496="","",IFERROR(VLOOKUP($C1496,sources!$A$2:$N$200,2,FALSE()),"?"))</f>
        <v>Report</v>
      </c>
      <c r="S1496" t="str">
        <f>IF($C1496="","",IFERROR(VLOOKUP($C1496,sources!$A$2:$N$200,9,FALSE()),"?"))</f>
        <v>French company</v>
      </c>
    </row>
    <row r="1497" spans="1:19" x14ac:dyDescent="0.2">
      <c r="A1497" t="s">
        <v>5219</v>
      </c>
      <c r="B1497" t="s">
        <v>236</v>
      </c>
      <c r="C1497" t="s">
        <v>1432</v>
      </c>
      <c r="D1497" t="s">
        <v>1666</v>
      </c>
      <c r="F1497" t="s">
        <v>3285</v>
      </c>
      <c r="N1497" t="s">
        <v>228</v>
      </c>
      <c r="O1497" t="s">
        <v>5217</v>
      </c>
      <c r="P1497" t="s">
        <v>5218</v>
      </c>
      <c r="Q1497" t="str">
        <f>IF($C1497="","",IFERROR(VLOOKUP($C1497,sources!$A$2:$N$200,2,FALSE()),"?"))</f>
        <v>Report</v>
      </c>
      <c r="S1497" t="str">
        <f>IF($C1497="","",IFERROR(VLOOKUP($C1497,sources!$A$2:$N$200,9,FALSE()),"?"))</f>
        <v>French company</v>
      </c>
    </row>
    <row r="1498" spans="1:19" x14ac:dyDescent="0.2">
      <c r="A1498" t="s">
        <v>5220</v>
      </c>
      <c r="B1498" t="s">
        <v>230</v>
      </c>
      <c r="C1498" t="s">
        <v>1432</v>
      </c>
      <c r="D1498" t="s">
        <v>1666</v>
      </c>
      <c r="F1498" t="s">
        <v>3285</v>
      </c>
      <c r="N1498" t="s">
        <v>228</v>
      </c>
      <c r="O1498" t="s">
        <v>5217</v>
      </c>
      <c r="P1498" t="s">
        <v>5218</v>
      </c>
      <c r="Q1498" t="str">
        <f>IF($C1498="","",IFERROR(VLOOKUP($C1498,sources!$A$2:$N$200,2,FALSE()),"?"))</f>
        <v>Report</v>
      </c>
      <c r="S1498" t="str">
        <f>IF($C1498="","",IFERROR(VLOOKUP($C1498,sources!$A$2:$N$200,9,FALSE()),"?"))</f>
        <v>French company</v>
      </c>
    </row>
    <row r="1499" spans="1:19" x14ac:dyDescent="0.2">
      <c r="A1499" t="s">
        <v>5221</v>
      </c>
      <c r="B1499" t="s">
        <v>232</v>
      </c>
      <c r="C1499" t="s">
        <v>1432</v>
      </c>
      <c r="D1499" t="s">
        <v>1666</v>
      </c>
      <c r="F1499" t="s">
        <v>3285</v>
      </c>
      <c r="N1499" t="s">
        <v>228</v>
      </c>
      <c r="O1499" t="s">
        <v>5217</v>
      </c>
      <c r="P1499" t="s">
        <v>5218</v>
      </c>
      <c r="Q1499" t="str">
        <f>IF($C1499="","",IFERROR(VLOOKUP($C1499,sources!$A$2:$N$200,2,FALSE()),"?"))</f>
        <v>Report</v>
      </c>
      <c r="S1499" t="str">
        <f>IF($C1499="","",IFERROR(VLOOKUP($C1499,sources!$A$2:$N$200,9,FALSE()),"?"))</f>
        <v>French company</v>
      </c>
    </row>
    <row r="1500" spans="1:19" x14ac:dyDescent="0.2">
      <c r="A1500" t="s">
        <v>5222</v>
      </c>
      <c r="B1500" t="s">
        <v>452</v>
      </c>
      <c r="C1500" t="s">
        <v>1432</v>
      </c>
      <c r="D1500" t="s">
        <v>1666</v>
      </c>
      <c r="F1500" t="s">
        <v>3285</v>
      </c>
      <c r="N1500" t="s">
        <v>228</v>
      </c>
      <c r="O1500" t="s">
        <v>5217</v>
      </c>
      <c r="P1500" t="s">
        <v>5218</v>
      </c>
      <c r="Q1500" t="str">
        <f>IF($C1500="","",IFERROR(VLOOKUP($C1500,sources!$A$2:$N$200,2,FALSE()),"?"))</f>
        <v>Report</v>
      </c>
      <c r="S1500" t="str">
        <f>IF($C1500="","",IFERROR(VLOOKUP($C1500,sources!$A$2:$N$200,9,FALSE()),"?"))</f>
        <v>French company</v>
      </c>
    </row>
    <row r="1501" spans="1:19" x14ac:dyDescent="0.2">
      <c r="A1501" t="s">
        <v>5223</v>
      </c>
      <c r="B1501" t="s">
        <v>503</v>
      </c>
      <c r="C1501" t="s">
        <v>1432</v>
      </c>
      <c r="D1501" t="s">
        <v>1666</v>
      </c>
      <c r="F1501" t="s">
        <v>3285</v>
      </c>
      <c r="N1501" t="s">
        <v>228</v>
      </c>
      <c r="O1501" t="s">
        <v>5217</v>
      </c>
      <c r="P1501" t="s">
        <v>5218</v>
      </c>
      <c r="Q1501" t="str">
        <f>IF($C1501="","",IFERROR(VLOOKUP($C1501,sources!$A$2:$N$200,2,FALSE()),"?"))</f>
        <v>Report</v>
      </c>
      <c r="S1501" t="str">
        <f>IF($C1501="","",IFERROR(VLOOKUP($C1501,sources!$A$2:$N$200,9,FALSE()),"?"))</f>
        <v>French company</v>
      </c>
    </row>
    <row r="1502" spans="1:19" x14ac:dyDescent="0.2">
      <c r="A1502" t="s">
        <v>5224</v>
      </c>
      <c r="B1502" t="s">
        <v>499</v>
      </c>
      <c r="C1502" t="s">
        <v>1432</v>
      </c>
      <c r="D1502" t="s">
        <v>1666</v>
      </c>
      <c r="F1502" t="s">
        <v>3285</v>
      </c>
      <c r="N1502" t="s">
        <v>228</v>
      </c>
      <c r="O1502" t="s">
        <v>5217</v>
      </c>
      <c r="P1502" t="s">
        <v>5218</v>
      </c>
      <c r="Q1502" t="str">
        <f>IF($C1502="","",IFERROR(VLOOKUP($C1502,sources!$A$2:$N$200,2,FALSE()),"?"))</f>
        <v>Report</v>
      </c>
      <c r="S1502" t="str">
        <f>IF($C1502="","",IFERROR(VLOOKUP($C1502,sources!$A$2:$N$200,9,FALSE()),"?"))</f>
        <v>French company</v>
      </c>
    </row>
    <row r="1503" spans="1:19" x14ac:dyDescent="0.2">
      <c r="A1503" t="s">
        <v>5225</v>
      </c>
      <c r="B1503" t="s">
        <v>517</v>
      </c>
      <c r="C1503" t="s">
        <v>1432</v>
      </c>
      <c r="D1503" t="s">
        <v>1666</v>
      </c>
      <c r="F1503" t="s">
        <v>3285</v>
      </c>
      <c r="N1503" t="s">
        <v>228</v>
      </c>
      <c r="O1503" t="s">
        <v>5217</v>
      </c>
      <c r="P1503" t="s">
        <v>5218</v>
      </c>
      <c r="Q1503" t="str">
        <f>IF($C1503="","",IFERROR(VLOOKUP($C1503,sources!$A$2:$N$200,2,FALSE()),"?"))</f>
        <v>Report</v>
      </c>
      <c r="S1503" t="str">
        <f>IF($C1503="","",IFERROR(VLOOKUP($C1503,sources!$A$2:$N$200,9,FALSE()),"?"))</f>
        <v>French company</v>
      </c>
    </row>
    <row r="1504" spans="1:19" x14ac:dyDescent="0.2">
      <c r="A1504" t="s">
        <v>5226</v>
      </c>
      <c r="B1504" t="s">
        <v>522</v>
      </c>
      <c r="C1504" t="s">
        <v>1432</v>
      </c>
      <c r="D1504" t="s">
        <v>1666</v>
      </c>
      <c r="F1504" t="s">
        <v>3285</v>
      </c>
      <c r="N1504" t="s">
        <v>228</v>
      </c>
      <c r="O1504" t="s">
        <v>5217</v>
      </c>
      <c r="P1504" t="s">
        <v>5218</v>
      </c>
      <c r="Q1504" t="str">
        <f>IF($C1504="","",IFERROR(VLOOKUP($C1504,sources!$A$2:$N$200,2,FALSE()),"?"))</f>
        <v>Report</v>
      </c>
      <c r="S1504" t="str">
        <f>IF($C1504="","",IFERROR(VLOOKUP($C1504,sources!$A$2:$N$200,9,FALSE()),"?"))</f>
        <v>French company</v>
      </c>
    </row>
    <row r="1505" spans="1:19" x14ac:dyDescent="0.2">
      <c r="A1505" t="s">
        <v>5227</v>
      </c>
      <c r="B1505" t="s">
        <v>526</v>
      </c>
      <c r="C1505" t="s">
        <v>1432</v>
      </c>
      <c r="D1505" t="s">
        <v>1666</v>
      </c>
      <c r="F1505" t="s">
        <v>3285</v>
      </c>
      <c r="N1505" t="s">
        <v>228</v>
      </c>
      <c r="O1505" t="s">
        <v>5217</v>
      </c>
      <c r="P1505" t="s">
        <v>5218</v>
      </c>
      <c r="Q1505" t="str">
        <f>IF($C1505="","",IFERROR(VLOOKUP($C1505,sources!$A$2:$N$200,2,FALSE()),"?"))</f>
        <v>Report</v>
      </c>
      <c r="S1505" t="str">
        <f>IF($C1505="","",IFERROR(VLOOKUP($C1505,sources!$A$2:$N$200,9,FALSE()),"?"))</f>
        <v>French company</v>
      </c>
    </row>
    <row r="1506" spans="1:19" x14ac:dyDescent="0.2">
      <c r="A1506" t="s">
        <v>5228</v>
      </c>
      <c r="B1506" t="s">
        <v>491</v>
      </c>
      <c r="C1506" t="s">
        <v>1432</v>
      </c>
      <c r="D1506" t="s">
        <v>1666</v>
      </c>
      <c r="F1506" t="s">
        <v>3285</v>
      </c>
      <c r="N1506" t="s">
        <v>228</v>
      </c>
      <c r="O1506" t="s">
        <v>5217</v>
      </c>
      <c r="P1506" t="s">
        <v>5218</v>
      </c>
      <c r="Q1506" t="str">
        <f>IF($C1506="","",IFERROR(VLOOKUP($C1506,sources!$A$2:$N$200,2,FALSE()),"?"))</f>
        <v>Report</v>
      </c>
      <c r="S1506" t="str">
        <f>IF($C1506="","",IFERROR(VLOOKUP($C1506,sources!$A$2:$N$200,9,FALSE()),"?"))</f>
        <v>French company</v>
      </c>
    </row>
    <row r="1507" spans="1:19" x14ac:dyDescent="0.2">
      <c r="A1507" t="s">
        <v>5229</v>
      </c>
      <c r="B1507" t="s">
        <v>405</v>
      </c>
      <c r="C1507" t="s">
        <v>1432</v>
      </c>
      <c r="D1507" t="s">
        <v>1666</v>
      </c>
      <c r="F1507" t="s">
        <v>3285</v>
      </c>
      <c r="N1507" t="s">
        <v>228</v>
      </c>
      <c r="O1507" t="s">
        <v>5217</v>
      </c>
      <c r="P1507" t="s">
        <v>5230</v>
      </c>
      <c r="Q1507" t="str">
        <f>IF($C1507="","",IFERROR(VLOOKUP($C1507,sources!$A$2:$N$200,2,FALSE()),"?"))</f>
        <v>Report</v>
      </c>
      <c r="S1507" t="str">
        <f>IF($C1507="","",IFERROR(VLOOKUP($C1507,sources!$A$2:$N$200,9,FALSE()),"?"))</f>
        <v>French company</v>
      </c>
    </row>
    <row r="1508" spans="1:19" x14ac:dyDescent="0.2">
      <c r="A1508" t="s">
        <v>5231</v>
      </c>
      <c r="B1508" t="s">
        <v>618</v>
      </c>
      <c r="C1508" t="s">
        <v>1432</v>
      </c>
      <c r="D1508" t="s">
        <v>1666</v>
      </c>
      <c r="F1508" t="s">
        <v>3285</v>
      </c>
      <c r="N1508" t="s">
        <v>228</v>
      </c>
      <c r="O1508" t="s">
        <v>5217</v>
      </c>
      <c r="P1508" t="s">
        <v>5218</v>
      </c>
      <c r="Q1508" t="str">
        <f>IF($C1508="","",IFERROR(VLOOKUP($C1508,sources!$A$2:$N$200,2,FALSE()),"?"))</f>
        <v>Report</v>
      </c>
      <c r="S1508" t="str">
        <f>IF($C1508="","",IFERROR(VLOOKUP($C1508,sources!$A$2:$N$200,9,FALSE()),"?"))</f>
        <v>French company</v>
      </c>
    </row>
    <row r="1509" spans="1:19" x14ac:dyDescent="0.2">
      <c r="A1509" t="s">
        <v>5232</v>
      </c>
      <c r="B1509" t="s">
        <v>626</v>
      </c>
      <c r="C1509" t="s">
        <v>1432</v>
      </c>
      <c r="D1509" t="s">
        <v>1666</v>
      </c>
      <c r="F1509" t="s">
        <v>3285</v>
      </c>
      <c r="N1509" t="s">
        <v>228</v>
      </c>
      <c r="O1509" t="s">
        <v>5217</v>
      </c>
      <c r="P1509" t="s">
        <v>5218</v>
      </c>
      <c r="Q1509" t="str">
        <f>IF($C1509="","",IFERROR(VLOOKUP($C1509,sources!$A$2:$N$200,2,FALSE()),"?"))</f>
        <v>Report</v>
      </c>
      <c r="S1509" t="str">
        <f>IF($C1509="","",IFERROR(VLOOKUP($C1509,sources!$A$2:$N$200,9,FALSE()),"?"))</f>
        <v>French company</v>
      </c>
    </row>
    <row r="1510" spans="1:19" x14ac:dyDescent="0.2">
      <c r="A1510" t="s">
        <v>5233</v>
      </c>
      <c r="B1510" t="s">
        <v>802</v>
      </c>
      <c r="C1510" t="s">
        <v>1432</v>
      </c>
      <c r="D1510" t="s">
        <v>1666</v>
      </c>
      <c r="F1510" t="s">
        <v>3285</v>
      </c>
      <c r="N1510" t="s">
        <v>228</v>
      </c>
      <c r="O1510" t="s">
        <v>5217</v>
      </c>
      <c r="P1510" t="s">
        <v>5218</v>
      </c>
      <c r="Q1510" t="str">
        <f>IF($C1510="","",IFERROR(VLOOKUP($C1510,sources!$A$2:$N$200,2,FALSE()),"?"))</f>
        <v>Report</v>
      </c>
      <c r="S1510" t="str">
        <f>IF($C1510="","",IFERROR(VLOOKUP($C1510,sources!$A$2:$N$200,9,FALSE()),"?"))</f>
        <v>French company</v>
      </c>
    </row>
    <row r="1511" spans="1:19" x14ac:dyDescent="0.2">
      <c r="A1511" t="s">
        <v>5234</v>
      </c>
      <c r="B1511" t="s">
        <v>397</v>
      </c>
      <c r="C1511" t="s">
        <v>1432</v>
      </c>
      <c r="D1511" t="s">
        <v>1666</v>
      </c>
      <c r="F1511" t="s">
        <v>3285</v>
      </c>
      <c r="N1511" t="s">
        <v>228</v>
      </c>
      <c r="O1511" t="s">
        <v>5217</v>
      </c>
      <c r="P1511" t="s">
        <v>5218</v>
      </c>
      <c r="Q1511" t="str">
        <f>IF($C1511="","",IFERROR(VLOOKUP($C1511,sources!$A$2:$N$200,2,FALSE()),"?"))</f>
        <v>Report</v>
      </c>
      <c r="S1511" t="str">
        <f>IF($C1511="","",IFERROR(VLOOKUP($C1511,sources!$A$2:$N$200,9,FALSE()),"?"))</f>
        <v>French company</v>
      </c>
    </row>
    <row r="1512" spans="1:19" x14ac:dyDescent="0.2">
      <c r="A1512" t="s">
        <v>5235</v>
      </c>
      <c r="B1512" t="s">
        <v>584</v>
      </c>
      <c r="C1512" t="s">
        <v>1432</v>
      </c>
      <c r="D1512" t="s">
        <v>1666</v>
      </c>
      <c r="F1512" t="s">
        <v>3285</v>
      </c>
      <c r="N1512" t="s">
        <v>228</v>
      </c>
      <c r="O1512" t="s">
        <v>5217</v>
      </c>
      <c r="P1512" t="s">
        <v>5218</v>
      </c>
      <c r="Q1512" t="str">
        <f>IF($C1512="","",IFERROR(VLOOKUP($C1512,sources!$A$2:$N$200,2,FALSE()),"?"))</f>
        <v>Report</v>
      </c>
      <c r="S1512" t="str">
        <f>IF($C1512="","",IFERROR(VLOOKUP($C1512,sources!$A$2:$N$200,9,FALSE()),"?"))</f>
        <v>French company</v>
      </c>
    </row>
    <row r="1513" spans="1:19" x14ac:dyDescent="0.2">
      <c r="A1513" t="s">
        <v>5236</v>
      </c>
      <c r="B1513" t="s">
        <v>529</v>
      </c>
      <c r="C1513" t="s">
        <v>1432</v>
      </c>
      <c r="D1513" t="s">
        <v>1666</v>
      </c>
      <c r="F1513" t="s">
        <v>3285</v>
      </c>
      <c r="N1513" t="s">
        <v>228</v>
      </c>
      <c r="O1513" t="s">
        <v>5217</v>
      </c>
      <c r="P1513" t="s">
        <v>5218</v>
      </c>
      <c r="Q1513" t="str">
        <f>IF($C1513="","",IFERROR(VLOOKUP($C1513,sources!$A$2:$N$200,2,FALSE()),"?"))</f>
        <v>Report</v>
      </c>
      <c r="S1513" t="str">
        <f>IF($C1513="","",IFERROR(VLOOKUP($C1513,sources!$A$2:$N$200,9,FALSE()),"?"))</f>
        <v>French company</v>
      </c>
    </row>
    <row r="1514" spans="1:19" x14ac:dyDescent="0.2">
      <c r="A1514" t="s">
        <v>5237</v>
      </c>
      <c r="B1514" t="s">
        <v>902</v>
      </c>
      <c r="C1514" t="s">
        <v>1420</v>
      </c>
      <c r="D1514" t="s">
        <v>1594</v>
      </c>
      <c r="E1514" t="s">
        <v>5238</v>
      </c>
      <c r="G1514">
        <v>8.9743999999999993</v>
      </c>
      <c r="H1514">
        <v>-79.573800000000006</v>
      </c>
      <c r="I1514" t="s">
        <v>1595</v>
      </c>
      <c r="J1514">
        <v>200</v>
      </c>
      <c r="K1514">
        <v>1947</v>
      </c>
      <c r="L1514">
        <v>1947</v>
      </c>
      <c r="M1514" t="s">
        <v>222</v>
      </c>
      <c r="N1514" t="s">
        <v>222</v>
      </c>
      <c r="O1514" t="s">
        <v>137</v>
      </c>
      <c r="P1514" t="s">
        <v>5239</v>
      </c>
      <c r="Q1514" t="str">
        <f>IF($C1514="","",IFERROR(VLOOKUP($C1514,sources!$A$2:$N$200,2,FALSE()),"?"))</f>
        <v>Map</v>
      </c>
      <c r="S1514" t="str">
        <f>IF($C1514="","",IFERROR(VLOOKUP($C1514,sources!$A$2:$N$200,9,FALSE()),"?"))</f>
        <v>US military</v>
      </c>
    </row>
    <row r="1515" spans="1:19" x14ac:dyDescent="0.2">
      <c r="A1515" t="s">
        <v>5240</v>
      </c>
      <c r="B1515" t="s">
        <v>911</v>
      </c>
      <c r="C1515" t="s">
        <v>1453</v>
      </c>
      <c r="D1515" t="s">
        <v>1594</v>
      </c>
      <c r="E1515" t="s">
        <v>5241</v>
      </c>
      <c r="G1515">
        <v>9.2568000000000001</v>
      </c>
      <c r="H1515">
        <v>-79.928200000000004</v>
      </c>
      <c r="I1515" t="s">
        <v>1595</v>
      </c>
      <c r="J1515">
        <v>500</v>
      </c>
      <c r="K1515">
        <v>1857</v>
      </c>
      <c r="L1515">
        <v>1857</v>
      </c>
      <c r="M1515" t="s">
        <v>222</v>
      </c>
      <c r="N1515" t="s">
        <v>228</v>
      </c>
      <c r="O1515" t="s">
        <v>139</v>
      </c>
      <c r="P1515" t="s">
        <v>5242</v>
      </c>
      <c r="Q1515" t="str">
        <f>IF($C1515="","",IFERROR(VLOOKUP($C1515,sources!$A$2:$N$200,2,FALSE()),"?"))</f>
        <v>Map</v>
      </c>
      <c r="S1515" t="str">
        <f>IF($C1515="","",IFERROR(VLOOKUP($C1515,sources!$A$2:$N$200,9,FALSE()),"?"))</f>
        <v>US corporate (PRR)</v>
      </c>
    </row>
    <row r="1516" spans="1:19" x14ac:dyDescent="0.2">
      <c r="A1516" t="s">
        <v>5243</v>
      </c>
      <c r="B1516" t="s">
        <v>915</v>
      </c>
      <c r="C1516" t="s">
        <v>1453</v>
      </c>
      <c r="D1516" t="s">
        <v>1594</v>
      </c>
      <c r="E1516" t="s">
        <v>5244</v>
      </c>
      <c r="G1516">
        <v>9.2119</v>
      </c>
      <c r="H1516">
        <v>-79.906599999999997</v>
      </c>
      <c r="I1516" t="s">
        <v>1595</v>
      </c>
      <c r="J1516">
        <v>500</v>
      </c>
      <c r="K1516">
        <v>1857</v>
      </c>
      <c r="L1516">
        <v>1857</v>
      </c>
      <c r="M1516" t="s">
        <v>222</v>
      </c>
      <c r="N1516" t="s">
        <v>228</v>
      </c>
      <c r="O1516" t="s">
        <v>139</v>
      </c>
      <c r="P1516" t="s">
        <v>5245</v>
      </c>
      <c r="Q1516" t="str">
        <f>IF($C1516="","",IFERROR(VLOOKUP($C1516,sources!$A$2:$N$200,2,FALSE()),"?"))</f>
        <v>Map</v>
      </c>
      <c r="S1516" t="str">
        <f>IF($C1516="","",IFERROR(VLOOKUP($C1516,sources!$A$2:$N$200,9,FALSE()),"?"))</f>
        <v>US corporate (PRR)</v>
      </c>
    </row>
    <row r="1517" spans="1:19" x14ac:dyDescent="0.2">
      <c r="A1517" t="s">
        <v>5246</v>
      </c>
      <c r="B1517" t="s">
        <v>918</v>
      </c>
      <c r="C1517" t="s">
        <v>1453</v>
      </c>
      <c r="D1517" t="s">
        <v>1594</v>
      </c>
      <c r="E1517" t="s">
        <v>5247</v>
      </c>
      <c r="G1517">
        <v>9.2093000000000007</v>
      </c>
      <c r="H1517">
        <v>-79.899199999999993</v>
      </c>
      <c r="I1517" t="s">
        <v>1595</v>
      </c>
      <c r="J1517">
        <v>500</v>
      </c>
      <c r="K1517">
        <v>1857</v>
      </c>
      <c r="L1517">
        <v>1857</v>
      </c>
      <c r="M1517" t="s">
        <v>222</v>
      </c>
      <c r="N1517" t="s">
        <v>228</v>
      </c>
      <c r="O1517" t="s">
        <v>139</v>
      </c>
      <c r="P1517" t="s">
        <v>5248</v>
      </c>
      <c r="Q1517" t="str">
        <f>IF($C1517="","",IFERROR(VLOOKUP($C1517,sources!$A$2:$N$200,2,FALSE()),"?"))</f>
        <v>Map</v>
      </c>
      <c r="S1517" t="str">
        <f>IF($C1517="","",IFERROR(VLOOKUP($C1517,sources!$A$2:$N$200,9,FALSE()),"?"))</f>
        <v>US corporate (PRR)</v>
      </c>
    </row>
    <row r="1518" spans="1:19" x14ac:dyDescent="0.2">
      <c r="A1518" t="s">
        <v>5249</v>
      </c>
      <c r="B1518" t="s">
        <v>921</v>
      </c>
      <c r="C1518" t="s">
        <v>1453</v>
      </c>
      <c r="D1518" t="s">
        <v>1594</v>
      </c>
      <c r="E1518" t="s">
        <v>5250</v>
      </c>
      <c r="G1518">
        <v>9.2294999999999998</v>
      </c>
      <c r="H1518">
        <v>-79.876999999999995</v>
      </c>
      <c r="I1518" t="s">
        <v>1595</v>
      </c>
      <c r="J1518">
        <v>500</v>
      </c>
      <c r="K1518">
        <v>1857</v>
      </c>
      <c r="L1518">
        <v>1857</v>
      </c>
      <c r="M1518" t="s">
        <v>222</v>
      </c>
      <c r="N1518" t="s">
        <v>228</v>
      </c>
      <c r="O1518" t="s">
        <v>139</v>
      </c>
      <c r="P1518" t="s">
        <v>5251</v>
      </c>
      <c r="Q1518" t="str">
        <f>IF($C1518="","",IFERROR(VLOOKUP($C1518,sources!$A$2:$N$200,2,FALSE()),"?"))</f>
        <v>Map</v>
      </c>
      <c r="S1518" t="str">
        <f>IF($C1518="","",IFERROR(VLOOKUP($C1518,sources!$A$2:$N$200,9,FALSE()),"?"))</f>
        <v>US corporate (PRR)</v>
      </c>
    </row>
    <row r="1519" spans="1:19" x14ac:dyDescent="0.2">
      <c r="A1519" t="s">
        <v>5252</v>
      </c>
      <c r="B1519" t="s">
        <v>925</v>
      </c>
      <c r="C1519" t="s">
        <v>1453</v>
      </c>
      <c r="D1519" t="s">
        <v>1594</v>
      </c>
      <c r="E1519" t="s">
        <v>5253</v>
      </c>
      <c r="G1519">
        <v>9.1129999999999995</v>
      </c>
      <c r="H1519">
        <v>-79.8</v>
      </c>
      <c r="I1519" t="s">
        <v>1595</v>
      </c>
      <c r="J1519">
        <v>800</v>
      </c>
      <c r="K1519">
        <v>1857</v>
      </c>
      <c r="L1519">
        <v>1857</v>
      </c>
      <c r="M1519" t="s">
        <v>222</v>
      </c>
      <c r="N1519" t="s">
        <v>228</v>
      </c>
      <c r="O1519" t="s">
        <v>139</v>
      </c>
      <c r="P1519" t="s">
        <v>5254</v>
      </c>
      <c r="Q1519" t="str">
        <f>IF($C1519="","",IFERROR(VLOOKUP($C1519,sources!$A$2:$N$200,2,FALSE()),"?"))</f>
        <v>Map</v>
      </c>
      <c r="S1519" t="str">
        <f>IF($C1519="","",IFERROR(VLOOKUP($C1519,sources!$A$2:$N$200,9,FALSE()),"?"))</f>
        <v>US corporate (PRR)</v>
      </c>
    </row>
    <row r="1520" spans="1:19" x14ac:dyDescent="0.2">
      <c r="A1520" t="s">
        <v>5255</v>
      </c>
      <c r="B1520" t="s">
        <v>929</v>
      </c>
      <c r="C1520" t="s">
        <v>1453</v>
      </c>
      <c r="D1520" t="s">
        <v>1594</v>
      </c>
      <c r="E1520" t="s">
        <v>5256</v>
      </c>
      <c r="G1520">
        <v>9.093</v>
      </c>
      <c r="H1520">
        <v>-79.709999999999994</v>
      </c>
      <c r="I1520" t="s">
        <v>1595</v>
      </c>
      <c r="J1520">
        <v>800</v>
      </c>
      <c r="K1520">
        <v>1857</v>
      </c>
      <c r="L1520">
        <v>1857</v>
      </c>
      <c r="M1520" t="s">
        <v>222</v>
      </c>
      <c r="N1520" t="s">
        <v>228</v>
      </c>
      <c r="O1520" t="s">
        <v>139</v>
      </c>
      <c r="P1520" t="s">
        <v>5257</v>
      </c>
      <c r="Q1520" t="str">
        <f>IF($C1520="","",IFERROR(VLOOKUP($C1520,sources!$A$2:$N$200,2,FALSE()),"?"))</f>
        <v>Map</v>
      </c>
      <c r="S1520" t="str">
        <f>IF($C1520="","",IFERROR(VLOOKUP($C1520,sources!$A$2:$N$200,9,FALSE()),"?"))</f>
        <v>US corporate (PRR)</v>
      </c>
    </row>
    <row r="1521" spans="1:19" x14ac:dyDescent="0.2">
      <c r="A1521" t="s">
        <v>5258</v>
      </c>
      <c r="B1521" t="s">
        <v>933</v>
      </c>
      <c r="C1521" t="s">
        <v>1453</v>
      </c>
      <c r="D1521" t="s">
        <v>1594</v>
      </c>
      <c r="E1521" t="s">
        <v>5259</v>
      </c>
      <c r="G1521">
        <v>9.08</v>
      </c>
      <c r="H1521">
        <v>-79.7</v>
      </c>
      <c r="I1521" t="s">
        <v>1595</v>
      </c>
      <c r="J1521">
        <v>800</v>
      </c>
      <c r="K1521">
        <v>1857</v>
      </c>
      <c r="L1521">
        <v>1857</v>
      </c>
      <c r="M1521" t="s">
        <v>222</v>
      </c>
      <c r="N1521" t="s">
        <v>228</v>
      </c>
      <c r="O1521" t="s">
        <v>139</v>
      </c>
      <c r="P1521" t="s">
        <v>5260</v>
      </c>
      <c r="Q1521" t="str">
        <f>IF($C1521="","",IFERROR(VLOOKUP($C1521,sources!$A$2:$N$200,2,FALSE()),"?"))</f>
        <v>Map</v>
      </c>
      <c r="S1521" t="str">
        <f>IF($C1521="","",IFERROR(VLOOKUP($C1521,sources!$A$2:$N$200,9,FALSE()),"?"))</f>
        <v>US corporate (PRR)</v>
      </c>
    </row>
    <row r="1522" spans="1:19" x14ac:dyDescent="0.2">
      <c r="A1522" t="s">
        <v>5261</v>
      </c>
      <c r="B1522" t="s">
        <v>936</v>
      </c>
      <c r="C1522" t="s">
        <v>1453</v>
      </c>
      <c r="D1522" t="s">
        <v>1594</v>
      </c>
      <c r="E1522" t="s">
        <v>5262</v>
      </c>
      <c r="G1522">
        <v>9.0399999999999991</v>
      </c>
      <c r="H1522">
        <v>-79.611999999999995</v>
      </c>
      <c r="I1522" t="s">
        <v>1595</v>
      </c>
      <c r="J1522">
        <v>800</v>
      </c>
      <c r="K1522">
        <v>1857</v>
      </c>
      <c r="L1522">
        <v>1857</v>
      </c>
      <c r="M1522" t="s">
        <v>222</v>
      </c>
      <c r="N1522" t="s">
        <v>228</v>
      </c>
      <c r="O1522" t="s">
        <v>139</v>
      </c>
      <c r="P1522" t="s">
        <v>5263</v>
      </c>
      <c r="Q1522" t="str">
        <f>IF($C1522="","",IFERROR(VLOOKUP($C1522,sources!$A$2:$N$200,2,FALSE()),"?"))</f>
        <v>Map</v>
      </c>
      <c r="S1522" t="str">
        <f>IF($C1522="","",IFERROR(VLOOKUP($C1522,sources!$A$2:$N$200,9,FALSE()),"?"))</f>
        <v>US corporate (PRR)</v>
      </c>
    </row>
    <row r="1523" spans="1:19" x14ac:dyDescent="0.2">
      <c r="A1523" t="s">
        <v>5264</v>
      </c>
      <c r="B1523" t="s">
        <v>939</v>
      </c>
      <c r="C1523" t="s">
        <v>1453</v>
      </c>
      <c r="D1523" t="s">
        <v>1594</v>
      </c>
      <c r="E1523" t="s">
        <v>5265</v>
      </c>
      <c r="G1523">
        <v>9.0050000000000008</v>
      </c>
      <c r="H1523">
        <v>-79.591999999999999</v>
      </c>
      <c r="I1523" t="s">
        <v>1595</v>
      </c>
      <c r="J1523">
        <v>800</v>
      </c>
      <c r="K1523">
        <v>1857</v>
      </c>
      <c r="L1523">
        <v>1857</v>
      </c>
      <c r="M1523" t="s">
        <v>222</v>
      </c>
      <c r="N1523" t="s">
        <v>228</v>
      </c>
      <c r="O1523" t="s">
        <v>139</v>
      </c>
      <c r="P1523" t="s">
        <v>5266</v>
      </c>
      <c r="Q1523" t="str">
        <f>IF($C1523="","",IFERROR(VLOOKUP($C1523,sources!$A$2:$N$200,2,FALSE()),"?"))</f>
        <v>Map</v>
      </c>
      <c r="S1523" t="str">
        <f>IF($C1523="","",IFERROR(VLOOKUP($C1523,sources!$A$2:$N$200,9,FALSE()),"?"))</f>
        <v>US corporate (PRR)</v>
      </c>
    </row>
    <row r="1524" spans="1:19" x14ac:dyDescent="0.2">
      <c r="A1524" t="s">
        <v>5267</v>
      </c>
      <c r="B1524" t="s">
        <v>943</v>
      </c>
      <c r="C1524" t="s">
        <v>1453</v>
      </c>
      <c r="D1524" t="s">
        <v>1594</v>
      </c>
      <c r="E1524" t="s">
        <v>5268</v>
      </c>
      <c r="G1524">
        <v>9.0559999999999992</v>
      </c>
      <c r="H1524">
        <v>-79.64</v>
      </c>
      <c r="I1524" t="s">
        <v>1595</v>
      </c>
      <c r="J1524">
        <v>800</v>
      </c>
      <c r="K1524">
        <v>1857</v>
      </c>
      <c r="L1524">
        <v>1857</v>
      </c>
      <c r="M1524" t="s">
        <v>222</v>
      </c>
      <c r="N1524" t="s">
        <v>228</v>
      </c>
      <c r="O1524" t="s">
        <v>139</v>
      </c>
      <c r="P1524" t="s">
        <v>5269</v>
      </c>
      <c r="Q1524" t="str">
        <f>IF($C1524="","",IFERROR(VLOOKUP($C1524,sources!$A$2:$N$200,2,FALSE()),"?"))</f>
        <v>Map</v>
      </c>
      <c r="S1524" t="str">
        <f>IF($C1524="","",IFERROR(VLOOKUP($C1524,sources!$A$2:$N$200,9,FALSE()),"?"))</f>
        <v>US corporate (PRR)</v>
      </c>
    </row>
    <row r="1525" spans="1:19" x14ac:dyDescent="0.2">
      <c r="A1525" t="s">
        <v>5270</v>
      </c>
      <c r="B1525" t="s">
        <v>947</v>
      </c>
      <c r="C1525" t="s">
        <v>1453</v>
      </c>
      <c r="D1525" t="s">
        <v>1594</v>
      </c>
      <c r="E1525" t="s">
        <v>5271</v>
      </c>
      <c r="G1525">
        <v>9.2539999999999996</v>
      </c>
      <c r="H1525">
        <v>-79.935000000000002</v>
      </c>
      <c r="I1525" t="s">
        <v>1595</v>
      </c>
      <c r="J1525">
        <v>500</v>
      </c>
      <c r="K1525">
        <v>1857</v>
      </c>
      <c r="L1525">
        <v>1857</v>
      </c>
      <c r="M1525" t="s">
        <v>222</v>
      </c>
      <c r="N1525" t="s">
        <v>228</v>
      </c>
      <c r="O1525" t="s">
        <v>139</v>
      </c>
      <c r="P1525" t="s">
        <v>5272</v>
      </c>
      <c r="Q1525" t="str">
        <f>IF($C1525="","",IFERROR(VLOOKUP($C1525,sources!$A$2:$N$200,2,FALSE()),"?"))</f>
        <v>Map</v>
      </c>
      <c r="S1525" t="str">
        <f>IF($C1525="","",IFERROR(VLOOKUP($C1525,sources!$A$2:$N$200,9,FALSE()),"?"))</f>
        <v>US corporate (PRR)</v>
      </c>
    </row>
    <row r="1526" spans="1:19" x14ac:dyDescent="0.2">
      <c r="A1526" t="s">
        <v>5273</v>
      </c>
      <c r="B1526" t="s">
        <v>802</v>
      </c>
      <c r="C1526" t="s">
        <v>1453</v>
      </c>
      <c r="D1526" t="s">
        <v>1594</v>
      </c>
      <c r="E1526" t="s">
        <v>5274</v>
      </c>
      <c r="G1526">
        <v>9.1210000000000004</v>
      </c>
      <c r="H1526">
        <v>-79.734999999999999</v>
      </c>
      <c r="I1526" t="s">
        <v>1595</v>
      </c>
      <c r="J1526">
        <v>800</v>
      </c>
      <c r="K1526">
        <v>1857</v>
      </c>
      <c r="L1526">
        <v>1857</v>
      </c>
      <c r="M1526" t="s">
        <v>222</v>
      </c>
      <c r="N1526" t="s">
        <v>228</v>
      </c>
      <c r="O1526" t="s">
        <v>139</v>
      </c>
      <c r="P1526" t="s">
        <v>5275</v>
      </c>
      <c r="Q1526" t="str">
        <f>IF($C1526="","",IFERROR(VLOOKUP($C1526,sources!$A$2:$N$200,2,FALSE()),"?"))</f>
        <v>Map</v>
      </c>
      <c r="S1526" t="str">
        <f>IF($C1526="","",IFERROR(VLOOKUP($C1526,sources!$A$2:$N$200,9,FALSE()),"?"))</f>
        <v>US corporate (PRR)</v>
      </c>
    </row>
    <row r="1527" spans="1:19" x14ac:dyDescent="0.2">
      <c r="A1527" t="s">
        <v>5276</v>
      </c>
      <c r="B1527" t="s">
        <v>622</v>
      </c>
      <c r="C1527" t="s">
        <v>1453</v>
      </c>
      <c r="D1527" t="s">
        <v>1585</v>
      </c>
      <c r="E1527" t="s">
        <v>5277</v>
      </c>
      <c r="K1527">
        <v>1857</v>
      </c>
      <c r="L1527">
        <v>1857</v>
      </c>
      <c r="M1527" t="s">
        <v>222</v>
      </c>
      <c r="N1527" t="s">
        <v>228</v>
      </c>
      <c r="O1527" t="s">
        <v>139</v>
      </c>
      <c r="P1527" t="s">
        <v>5278</v>
      </c>
      <c r="Q1527" t="str">
        <f>IF($C1527="","",IFERROR(VLOOKUP($C1527,sources!$A$2:$N$200,2,FALSE()),"?"))</f>
        <v>Map</v>
      </c>
      <c r="S1527" t="str">
        <f>IF($C1527="","",IFERROR(VLOOKUP($C1527,sources!$A$2:$N$200,9,FALSE()),"?"))</f>
        <v>US corporate (PRR)</v>
      </c>
    </row>
    <row r="1528" spans="1:19" x14ac:dyDescent="0.2">
      <c r="A1528" t="s">
        <v>5279</v>
      </c>
      <c r="B1528" t="s">
        <v>951</v>
      </c>
      <c r="C1528" t="s">
        <v>1427</v>
      </c>
      <c r="D1528" t="s">
        <v>1594</v>
      </c>
      <c r="E1528" t="s">
        <v>5280</v>
      </c>
      <c r="G1528">
        <v>8.9602920000000008</v>
      </c>
      <c r="H1528">
        <v>-79.541263000000001</v>
      </c>
      <c r="I1528" t="s">
        <v>1595</v>
      </c>
      <c r="J1528">
        <v>150</v>
      </c>
      <c r="K1528">
        <v>1904</v>
      </c>
      <c r="L1528">
        <v>1904</v>
      </c>
      <c r="M1528" t="s">
        <v>222</v>
      </c>
      <c r="N1528" t="s">
        <v>222</v>
      </c>
      <c r="O1528" t="s">
        <v>143</v>
      </c>
      <c r="P1528" t="s">
        <v>5281</v>
      </c>
      <c r="Q1528" t="str">
        <f>IF($C1528="","",IFERROR(VLOOKUP($C1528,sources!$A$2:$N$200,2,FALSE()),"?"))</f>
        <v>Map</v>
      </c>
      <c r="S1528" t="str">
        <f>IF($C1528="","",IFERROR(VLOOKUP($C1528,sources!$A$2:$N$200,9,FALSE()),"?"))</f>
        <v>Panamanian</v>
      </c>
    </row>
    <row r="1529" spans="1:19" x14ac:dyDescent="0.2">
      <c r="A1529" t="s">
        <v>5282</v>
      </c>
      <c r="B1529" t="s">
        <v>957</v>
      </c>
      <c r="C1529" t="s">
        <v>1427</v>
      </c>
      <c r="D1529" t="s">
        <v>1594</v>
      </c>
      <c r="E1529" t="s">
        <v>5283</v>
      </c>
      <c r="G1529">
        <v>8.9557970000000005</v>
      </c>
      <c r="H1529">
        <v>-79.546772000000004</v>
      </c>
      <c r="I1529" t="s">
        <v>1595</v>
      </c>
      <c r="J1529">
        <v>150</v>
      </c>
      <c r="K1529">
        <v>1904</v>
      </c>
      <c r="L1529">
        <v>1904</v>
      </c>
      <c r="M1529" t="s">
        <v>222</v>
      </c>
      <c r="N1529" t="s">
        <v>228</v>
      </c>
      <c r="O1529" t="s">
        <v>143</v>
      </c>
      <c r="P1529" t="s">
        <v>5284</v>
      </c>
      <c r="Q1529" t="str">
        <f>IF($C1529="","",IFERROR(VLOOKUP($C1529,sources!$A$2:$N$200,2,FALSE()),"?"))</f>
        <v>Map</v>
      </c>
      <c r="S1529" t="str">
        <f>IF($C1529="","",IFERROR(VLOOKUP($C1529,sources!$A$2:$N$200,9,FALSE()),"?"))</f>
        <v>Panamanian</v>
      </c>
    </row>
    <row r="1530" spans="1:19" x14ac:dyDescent="0.2">
      <c r="A1530" t="s">
        <v>5285</v>
      </c>
      <c r="B1530" t="s">
        <v>962</v>
      </c>
      <c r="C1530" t="s">
        <v>1427</v>
      </c>
      <c r="D1530" t="s">
        <v>1594</v>
      </c>
      <c r="E1530" t="s">
        <v>963</v>
      </c>
      <c r="G1530">
        <v>8.9539050000000007</v>
      </c>
      <c r="H1530">
        <v>-79.549237000000005</v>
      </c>
      <c r="I1530" t="s">
        <v>1595</v>
      </c>
      <c r="J1530">
        <v>150</v>
      </c>
      <c r="K1530">
        <v>1904</v>
      </c>
      <c r="L1530">
        <v>1904</v>
      </c>
      <c r="M1530" t="s">
        <v>222</v>
      </c>
      <c r="N1530" t="s">
        <v>222</v>
      </c>
      <c r="O1530" t="s">
        <v>143</v>
      </c>
      <c r="P1530" t="s">
        <v>5286</v>
      </c>
      <c r="Q1530" t="str">
        <f>IF($C1530="","",IFERROR(VLOOKUP($C1530,sources!$A$2:$N$200,2,FALSE()),"?"))</f>
        <v>Map</v>
      </c>
      <c r="S1530" t="str">
        <f>IF($C1530="","",IFERROR(VLOOKUP($C1530,sources!$A$2:$N$200,9,FALSE()),"?"))</f>
        <v>Panamanian</v>
      </c>
    </row>
    <row r="1531" spans="1:19" x14ac:dyDescent="0.2">
      <c r="A1531" t="s">
        <v>5287</v>
      </c>
      <c r="B1531" t="s">
        <v>966</v>
      </c>
      <c r="C1531" t="s">
        <v>1427</v>
      </c>
      <c r="D1531" t="s">
        <v>1594</v>
      </c>
      <c r="E1531" t="s">
        <v>5288</v>
      </c>
      <c r="G1531">
        <v>8.9537560000000003</v>
      </c>
      <c r="H1531">
        <v>-79.546772000000004</v>
      </c>
      <c r="I1531" t="s">
        <v>1595</v>
      </c>
      <c r="J1531">
        <v>150</v>
      </c>
      <c r="K1531">
        <v>1904</v>
      </c>
      <c r="L1531">
        <v>1904</v>
      </c>
      <c r="M1531" t="s">
        <v>222</v>
      </c>
      <c r="N1531" t="s">
        <v>222</v>
      </c>
      <c r="O1531" t="s">
        <v>143</v>
      </c>
      <c r="P1531" t="s">
        <v>5289</v>
      </c>
      <c r="Q1531" t="str">
        <f>IF($C1531="","",IFERROR(VLOOKUP($C1531,sources!$A$2:$N$200,2,FALSE()),"?"))</f>
        <v>Map</v>
      </c>
      <c r="S1531" t="str">
        <f>IF($C1531="","",IFERROR(VLOOKUP($C1531,sources!$A$2:$N$200,9,FALSE()),"?"))</f>
        <v>Panamanian</v>
      </c>
    </row>
    <row r="1532" spans="1:19" x14ac:dyDescent="0.2">
      <c r="A1532" t="s">
        <v>5290</v>
      </c>
      <c r="B1532" t="s">
        <v>955</v>
      </c>
      <c r="C1532" t="s">
        <v>1459</v>
      </c>
      <c r="D1532" t="s">
        <v>1594</v>
      </c>
      <c r="E1532" t="s">
        <v>5291</v>
      </c>
      <c r="G1532">
        <v>8.9551549999999995</v>
      </c>
      <c r="H1532">
        <v>-79.541983000000002</v>
      </c>
      <c r="I1532" t="s">
        <v>1595</v>
      </c>
      <c r="J1532">
        <v>150</v>
      </c>
      <c r="K1532">
        <v>1857</v>
      </c>
      <c r="L1532">
        <v>1857</v>
      </c>
      <c r="M1532" t="s">
        <v>222</v>
      </c>
      <c r="N1532" t="s">
        <v>222</v>
      </c>
      <c r="O1532" t="s">
        <v>151</v>
      </c>
      <c r="P1532" t="s">
        <v>5292</v>
      </c>
      <c r="Q1532" t="str">
        <f>IF($C1532="","",IFERROR(VLOOKUP($C1532,sources!$A$2:$N$200,2,FALSE()),"?"))</f>
        <v>Map</v>
      </c>
      <c r="S1532" t="str">
        <f>IF($C1532="","",IFERROR(VLOOKUP($C1532,sources!$A$2:$N$200,9,FALSE()),"?"))</f>
        <v>US corporate (PRR)</v>
      </c>
    </row>
    <row r="1533" spans="1:19" x14ac:dyDescent="0.2">
      <c r="A1533" t="s">
        <v>5293</v>
      </c>
      <c r="B1533" t="s">
        <v>974</v>
      </c>
      <c r="C1533" t="s">
        <v>1459</v>
      </c>
      <c r="D1533" t="s">
        <v>1594</v>
      </c>
      <c r="E1533" t="s">
        <v>5294</v>
      </c>
      <c r="G1533">
        <v>8.9570539999999994</v>
      </c>
      <c r="H1533">
        <v>-79.540993999999998</v>
      </c>
      <c r="I1533" t="s">
        <v>1595</v>
      </c>
      <c r="J1533">
        <v>150</v>
      </c>
      <c r="K1533">
        <v>1857</v>
      </c>
      <c r="L1533">
        <v>1857</v>
      </c>
      <c r="M1533" t="s">
        <v>222</v>
      </c>
      <c r="N1533" t="s">
        <v>222</v>
      </c>
      <c r="O1533" t="s">
        <v>151</v>
      </c>
      <c r="P1533" t="s">
        <v>5295</v>
      </c>
      <c r="Q1533" t="str">
        <f>IF($C1533="","",IFERROR(VLOOKUP($C1533,sources!$A$2:$N$200,2,FALSE()),"?"))</f>
        <v>Map</v>
      </c>
      <c r="S1533" t="str">
        <f>IF($C1533="","",IFERROR(VLOOKUP($C1533,sources!$A$2:$N$200,9,FALSE()),"?"))</f>
        <v>US corporate (PRR)</v>
      </c>
    </row>
    <row r="1534" spans="1:19" x14ac:dyDescent="0.2">
      <c r="A1534" t="s">
        <v>5296</v>
      </c>
      <c r="B1534" t="s">
        <v>978</v>
      </c>
      <c r="C1534" t="s">
        <v>1459</v>
      </c>
      <c r="D1534" t="s">
        <v>1594</v>
      </c>
      <c r="E1534" t="s">
        <v>5297</v>
      </c>
      <c r="G1534">
        <v>8.9555900000000008</v>
      </c>
      <c r="H1534">
        <v>-79.543132</v>
      </c>
      <c r="I1534" t="s">
        <v>1595</v>
      </c>
      <c r="J1534">
        <v>120</v>
      </c>
      <c r="K1534">
        <v>1857</v>
      </c>
      <c r="L1534">
        <v>1857</v>
      </c>
      <c r="M1534" t="s">
        <v>222</v>
      </c>
      <c r="N1534" t="s">
        <v>222</v>
      </c>
      <c r="O1534" t="s">
        <v>151</v>
      </c>
      <c r="P1534" t="s">
        <v>5298</v>
      </c>
      <c r="Q1534" t="str">
        <f>IF($C1534="","",IFERROR(VLOOKUP($C1534,sources!$A$2:$N$200,2,FALSE()),"?"))</f>
        <v>Map</v>
      </c>
      <c r="S1534" t="str">
        <f>IF($C1534="","",IFERROR(VLOOKUP($C1534,sources!$A$2:$N$200,9,FALSE()),"?"))</f>
        <v>US corporate (PRR)</v>
      </c>
    </row>
    <row r="1535" spans="1:19" x14ac:dyDescent="0.2">
      <c r="A1535" t="s">
        <v>5299</v>
      </c>
      <c r="B1535" t="s">
        <v>981</v>
      </c>
      <c r="C1535" t="s">
        <v>1459</v>
      </c>
      <c r="D1535" t="s">
        <v>1594</v>
      </c>
      <c r="E1535" t="s">
        <v>982</v>
      </c>
      <c r="G1535">
        <v>8.9558909999999994</v>
      </c>
      <c r="H1535">
        <v>-79.540257999999994</v>
      </c>
      <c r="I1535" t="s">
        <v>1595</v>
      </c>
      <c r="J1535">
        <v>150</v>
      </c>
      <c r="K1535">
        <v>1857</v>
      </c>
      <c r="L1535">
        <v>1857</v>
      </c>
      <c r="M1535" t="s">
        <v>222</v>
      </c>
      <c r="N1535" t="s">
        <v>228</v>
      </c>
      <c r="O1535" t="s">
        <v>151</v>
      </c>
      <c r="P1535" t="s">
        <v>5300</v>
      </c>
      <c r="Q1535" t="str">
        <f>IF($C1535="","",IFERROR(VLOOKUP($C1535,sources!$A$2:$N$200,2,FALSE()),"?"))</f>
        <v>Map</v>
      </c>
      <c r="S1535" t="str">
        <f>IF($C1535="","",IFERROR(VLOOKUP($C1535,sources!$A$2:$N$200,9,FALSE()),"?"))</f>
        <v>US corporate (PRR)</v>
      </c>
    </row>
    <row r="1536" spans="1:19" x14ac:dyDescent="0.2">
      <c r="A1536" t="s">
        <v>5301</v>
      </c>
      <c r="B1536" t="s">
        <v>985</v>
      </c>
      <c r="C1536" t="s">
        <v>1459</v>
      </c>
      <c r="D1536" t="s">
        <v>1594</v>
      </c>
      <c r="E1536" t="s">
        <v>5302</v>
      </c>
      <c r="G1536">
        <v>8.9540000000000006</v>
      </c>
      <c r="H1536">
        <v>-79.551000000000002</v>
      </c>
      <c r="I1536" t="s">
        <v>1595</v>
      </c>
      <c r="J1536">
        <v>150</v>
      </c>
      <c r="K1536">
        <v>1857</v>
      </c>
      <c r="L1536">
        <v>1857</v>
      </c>
      <c r="M1536" t="s">
        <v>222</v>
      </c>
      <c r="N1536" t="s">
        <v>209</v>
      </c>
      <c r="O1536" t="s">
        <v>151</v>
      </c>
      <c r="P1536" t="s">
        <v>5303</v>
      </c>
      <c r="Q1536" t="str">
        <f>IF($C1536="","",IFERROR(VLOOKUP($C1536,sources!$A$2:$N$200,2,FALSE()),"?"))</f>
        <v>Map</v>
      </c>
      <c r="S1536" t="str">
        <f>IF($C1536="","",IFERROR(VLOOKUP($C1536,sources!$A$2:$N$200,9,FALSE()),"?"))</f>
        <v>US corporate (PRR)</v>
      </c>
    </row>
    <row r="1537" spans="1:19" x14ac:dyDescent="0.2">
      <c r="A1537" t="s">
        <v>5304</v>
      </c>
      <c r="B1537" t="s">
        <v>966</v>
      </c>
      <c r="C1537" t="s">
        <v>1459</v>
      </c>
      <c r="D1537" t="s">
        <v>1599</v>
      </c>
      <c r="E1537" t="s">
        <v>5305</v>
      </c>
      <c r="K1537">
        <v>1857</v>
      </c>
      <c r="L1537">
        <v>1857</v>
      </c>
      <c r="M1537" t="s">
        <v>222</v>
      </c>
      <c r="N1537" t="s">
        <v>228</v>
      </c>
      <c r="O1537" t="s">
        <v>151</v>
      </c>
      <c r="P1537" t="s">
        <v>5306</v>
      </c>
      <c r="Q1537" t="str">
        <f>IF($C1537="","",IFERROR(VLOOKUP($C1537,sources!$A$2:$N$200,2,FALSE()),"?"))</f>
        <v>Map</v>
      </c>
      <c r="S1537" t="str">
        <f>IF($C1537="","",IFERROR(VLOOKUP($C1537,sources!$A$2:$N$200,9,FALSE()),"?"))</f>
        <v>US corporate (PRR)</v>
      </c>
    </row>
    <row r="1538" spans="1:19" x14ac:dyDescent="0.2">
      <c r="A1538" t="s">
        <v>5307</v>
      </c>
      <c r="B1538" t="s">
        <v>985</v>
      </c>
      <c r="C1538" t="s">
        <v>1453</v>
      </c>
      <c r="D1538" t="s">
        <v>1585</v>
      </c>
      <c r="E1538" t="s">
        <v>5308</v>
      </c>
      <c r="K1538">
        <v>1857</v>
      </c>
      <c r="L1538">
        <v>1857</v>
      </c>
      <c r="M1538" t="s">
        <v>222</v>
      </c>
      <c r="N1538" t="s">
        <v>209</v>
      </c>
      <c r="O1538" t="s">
        <v>5309</v>
      </c>
      <c r="P1538" t="s">
        <v>5310</v>
      </c>
      <c r="Q1538" t="str">
        <f>IF($C1538="","",IFERROR(VLOOKUP($C1538,sources!$A$2:$N$200,2,FALSE()),"?"))</f>
        <v>Map</v>
      </c>
      <c r="S1538" t="str">
        <f>IF($C1538="","",IFERROR(VLOOKUP($C1538,sources!$A$2:$N$200,9,FALSE()),"?"))</f>
        <v>US corporate (PRR)</v>
      </c>
    </row>
    <row r="1539" spans="1:19" x14ac:dyDescent="0.2">
      <c r="A1539" t="s">
        <v>5311</v>
      </c>
      <c r="B1539" t="s">
        <v>499</v>
      </c>
      <c r="C1539" t="s">
        <v>1464</v>
      </c>
      <c r="D1539" t="s">
        <v>1599</v>
      </c>
      <c r="E1539" t="s">
        <v>500</v>
      </c>
      <c r="F1539" t="s">
        <v>1587</v>
      </c>
      <c r="K1539">
        <v>1904</v>
      </c>
      <c r="L1539">
        <v>1904</v>
      </c>
      <c r="M1539" t="s">
        <v>222</v>
      </c>
      <c r="N1539" t="s">
        <v>209</v>
      </c>
      <c r="O1539" t="s">
        <v>5312</v>
      </c>
      <c r="P1539" t="s">
        <v>5313</v>
      </c>
      <c r="Q1539" t="str">
        <f>IF($C1539="","",IFERROR(VLOOKUP($C1539,sources!$A$2:$N$200,2,FALSE()),"?"))</f>
        <v>Newspaper</v>
      </c>
      <c r="S1539" t="str">
        <f>IF($C1539="","",IFERROR(VLOOKUP($C1539,sources!$A$2:$N$200,9,FALSE()),"?"))</f>
        <v>Panamanian</v>
      </c>
    </row>
    <row r="1540" spans="1:19" x14ac:dyDescent="0.2">
      <c r="A1540" t="s">
        <v>5314</v>
      </c>
      <c r="B1540" t="s">
        <v>224</v>
      </c>
      <c r="C1540" t="s">
        <v>1464</v>
      </c>
      <c r="D1540" t="s">
        <v>1599</v>
      </c>
      <c r="E1540" t="s">
        <v>225</v>
      </c>
      <c r="F1540" t="s">
        <v>1587</v>
      </c>
      <c r="K1540">
        <v>1904</v>
      </c>
      <c r="L1540">
        <v>1912</v>
      </c>
      <c r="M1540" t="s">
        <v>222</v>
      </c>
      <c r="N1540" t="s">
        <v>228</v>
      </c>
      <c r="O1540" t="s">
        <v>5315</v>
      </c>
      <c r="P1540" t="s">
        <v>5316</v>
      </c>
      <c r="Q1540" t="str">
        <f>IF($C1540="","",IFERROR(VLOOKUP($C1540,sources!$A$2:$N$200,2,FALSE()),"?"))</f>
        <v>Newspaper</v>
      </c>
      <c r="S1540" t="str">
        <f>IF($C1540="","",IFERROR(VLOOKUP($C1540,sources!$A$2:$N$200,9,FALSE()),"?"))</f>
        <v>Panamanian</v>
      </c>
    </row>
    <row r="1541" spans="1:19" x14ac:dyDescent="0.2">
      <c r="A1541" t="s">
        <v>5317</v>
      </c>
      <c r="B1541" t="s">
        <v>561</v>
      </c>
      <c r="C1541" t="s">
        <v>1464</v>
      </c>
      <c r="D1541" t="s">
        <v>1666</v>
      </c>
      <c r="E1541" t="s">
        <v>562</v>
      </c>
      <c r="F1541" t="s">
        <v>1587</v>
      </c>
      <c r="N1541" t="s">
        <v>228</v>
      </c>
      <c r="O1541" t="s">
        <v>5318</v>
      </c>
      <c r="P1541" t="s">
        <v>5319</v>
      </c>
      <c r="Q1541" t="str">
        <f>IF($C1541="","",IFERROR(VLOOKUP($C1541,sources!$A$2:$N$200,2,FALSE()),"?"))</f>
        <v>Newspaper</v>
      </c>
      <c r="S1541" t="str">
        <f>IF($C1541="","",IFERROR(VLOOKUP($C1541,sources!$A$2:$N$200,9,FALSE()),"?"))</f>
        <v>Panamanian</v>
      </c>
    </row>
    <row r="1542" spans="1:19" x14ac:dyDescent="0.2">
      <c r="A1542" t="s">
        <v>5320</v>
      </c>
      <c r="B1542" t="s">
        <v>448</v>
      </c>
      <c r="C1542" t="s">
        <v>1464</v>
      </c>
      <c r="D1542" t="s">
        <v>1599</v>
      </c>
      <c r="E1542" t="s">
        <v>449</v>
      </c>
      <c r="F1542" t="s">
        <v>1587</v>
      </c>
      <c r="K1542">
        <v>1911</v>
      </c>
      <c r="L1542">
        <v>1912</v>
      </c>
      <c r="M1542" t="s">
        <v>222</v>
      </c>
      <c r="N1542" t="s">
        <v>209</v>
      </c>
      <c r="O1542" t="s">
        <v>5321</v>
      </c>
      <c r="P1542" t="s">
        <v>5322</v>
      </c>
      <c r="Q1542" t="str">
        <f>IF($C1542="","",IFERROR(VLOOKUP($C1542,sources!$A$2:$N$200,2,FALSE()),"?"))</f>
        <v>Newspaper</v>
      </c>
      <c r="S1542" t="str">
        <f>IF($C1542="","",IFERROR(VLOOKUP($C1542,sources!$A$2:$N$200,9,FALSE()),"?"))</f>
        <v>Panamanian</v>
      </c>
    </row>
    <row r="1543" spans="1:19" x14ac:dyDescent="0.2">
      <c r="A1543" t="s">
        <v>5323</v>
      </c>
      <c r="B1543" t="s">
        <v>589</v>
      </c>
      <c r="C1543" t="s">
        <v>1464</v>
      </c>
      <c r="D1543" t="s">
        <v>1666</v>
      </c>
      <c r="E1543" t="s">
        <v>590</v>
      </c>
      <c r="F1543" t="s">
        <v>1587</v>
      </c>
      <c r="N1543" t="s">
        <v>228</v>
      </c>
      <c r="O1543" t="s">
        <v>5318</v>
      </c>
      <c r="P1543" t="s">
        <v>5319</v>
      </c>
      <c r="Q1543" t="str">
        <f>IF($C1543="","",IFERROR(VLOOKUP($C1543,sources!$A$2:$N$200,2,FALSE()),"?"))</f>
        <v>Newspaper</v>
      </c>
      <c r="S1543" t="str">
        <f>IF($C1543="","",IFERROR(VLOOKUP($C1543,sources!$A$2:$N$200,9,FALSE()),"?"))</f>
        <v>Panamanian</v>
      </c>
    </row>
    <row r="1544" spans="1:19" x14ac:dyDescent="0.2">
      <c r="A1544" t="s">
        <v>5324</v>
      </c>
      <c r="B1544" t="s">
        <v>234</v>
      </c>
      <c r="C1544" t="s">
        <v>1464</v>
      </c>
      <c r="D1544" t="s">
        <v>1599</v>
      </c>
      <c r="E1544" t="s">
        <v>235</v>
      </c>
      <c r="F1544" t="s">
        <v>1587</v>
      </c>
      <c r="K1544">
        <v>1905</v>
      </c>
      <c r="L1544">
        <v>1914</v>
      </c>
      <c r="M1544" t="s">
        <v>222</v>
      </c>
      <c r="N1544" t="s">
        <v>228</v>
      </c>
      <c r="O1544" t="s">
        <v>5325</v>
      </c>
      <c r="P1544" t="s">
        <v>5326</v>
      </c>
      <c r="Q1544" t="str">
        <f>IF($C1544="","",IFERROR(VLOOKUP($C1544,sources!$A$2:$N$200,2,FALSE()),"?"))</f>
        <v>Newspaper</v>
      </c>
      <c r="S1544" t="str">
        <f>IF($C1544="","",IFERROR(VLOOKUP($C1544,sources!$A$2:$N$200,9,FALSE()),"?"))</f>
        <v>Panamanian</v>
      </c>
    </row>
    <row r="1545" spans="1:19" x14ac:dyDescent="0.2">
      <c r="A1545" t="s">
        <v>5327</v>
      </c>
      <c r="B1545" t="s">
        <v>430</v>
      </c>
      <c r="C1545" t="s">
        <v>1464</v>
      </c>
      <c r="D1545" t="s">
        <v>1599</v>
      </c>
      <c r="E1545" t="s">
        <v>431</v>
      </c>
      <c r="F1545" t="s">
        <v>1587</v>
      </c>
      <c r="N1545" t="s">
        <v>209</v>
      </c>
      <c r="O1545" t="s">
        <v>5328</v>
      </c>
      <c r="P1545" t="s">
        <v>5329</v>
      </c>
      <c r="Q1545" t="str">
        <f>IF($C1545="","",IFERROR(VLOOKUP($C1545,sources!$A$2:$N$200,2,FALSE()),"?"))</f>
        <v>Newspaper</v>
      </c>
      <c r="S1545" t="str">
        <f>IF($C1545="","",IFERROR(VLOOKUP($C1545,sources!$A$2:$N$200,9,FALSE()),"?"))</f>
        <v>Panamanian</v>
      </c>
    </row>
    <row r="1546" spans="1:19" x14ac:dyDescent="0.2">
      <c r="A1546" t="s">
        <v>5330</v>
      </c>
      <c r="B1546" t="s">
        <v>458</v>
      </c>
      <c r="C1546" t="s">
        <v>1464</v>
      </c>
      <c r="D1546" t="s">
        <v>1666</v>
      </c>
      <c r="E1546" t="s">
        <v>459</v>
      </c>
      <c r="F1546" t="s">
        <v>1587</v>
      </c>
      <c r="N1546" t="s">
        <v>228</v>
      </c>
      <c r="O1546" t="s">
        <v>5318</v>
      </c>
      <c r="P1546" t="s">
        <v>5319</v>
      </c>
      <c r="Q1546" t="str">
        <f>IF($C1546="","",IFERROR(VLOOKUP($C1546,sources!$A$2:$N$200,2,FALSE()),"?"))</f>
        <v>Newspaper</v>
      </c>
      <c r="S1546" t="str">
        <f>IF($C1546="","",IFERROR(VLOOKUP($C1546,sources!$A$2:$N$200,9,FALSE()),"?"))</f>
        <v>Panamanian</v>
      </c>
    </row>
    <row r="1547" spans="1:19" x14ac:dyDescent="0.2">
      <c r="A1547" t="s">
        <v>5331</v>
      </c>
      <c r="B1547" t="s">
        <v>213</v>
      </c>
      <c r="C1547" t="s">
        <v>1464</v>
      </c>
      <c r="D1547" t="s">
        <v>1599</v>
      </c>
      <c r="E1547" t="s">
        <v>214</v>
      </c>
      <c r="F1547" t="s">
        <v>1587</v>
      </c>
      <c r="K1547">
        <v>1904</v>
      </c>
      <c r="L1547">
        <v>1913</v>
      </c>
      <c r="M1547" t="s">
        <v>222</v>
      </c>
      <c r="N1547" t="s">
        <v>228</v>
      </c>
      <c r="O1547" t="s">
        <v>5332</v>
      </c>
      <c r="P1547" t="s">
        <v>5333</v>
      </c>
      <c r="Q1547" t="str">
        <f>IF($C1547="","",IFERROR(VLOOKUP($C1547,sources!$A$2:$N$200,2,FALSE()),"?"))</f>
        <v>Newspaper</v>
      </c>
      <c r="S1547" t="str">
        <f>IF($C1547="","",IFERROR(VLOOKUP($C1547,sources!$A$2:$N$200,9,FALSE()),"?"))</f>
        <v>Panamanian</v>
      </c>
    </row>
    <row r="1548" spans="1:19" x14ac:dyDescent="0.2">
      <c r="A1548" t="s">
        <v>5334</v>
      </c>
      <c r="B1548" t="s">
        <v>272</v>
      </c>
      <c r="C1548" t="s">
        <v>1464</v>
      </c>
      <c r="D1548" t="s">
        <v>1599</v>
      </c>
      <c r="E1548" t="s">
        <v>273</v>
      </c>
      <c r="F1548" t="s">
        <v>1587</v>
      </c>
      <c r="K1548">
        <v>1905</v>
      </c>
      <c r="L1548">
        <v>1914</v>
      </c>
      <c r="M1548" t="s">
        <v>222</v>
      </c>
      <c r="N1548" t="s">
        <v>228</v>
      </c>
      <c r="O1548" t="s">
        <v>5335</v>
      </c>
      <c r="P1548" t="s">
        <v>5336</v>
      </c>
      <c r="Q1548" t="str">
        <f>IF($C1548="","",IFERROR(VLOOKUP($C1548,sources!$A$2:$N$200,2,FALSE()),"?"))</f>
        <v>Newspaper</v>
      </c>
      <c r="S1548" t="str">
        <f>IF($C1548="","",IFERROR(VLOOKUP($C1548,sources!$A$2:$N$200,9,FALSE()),"?"))</f>
        <v>Panamanian</v>
      </c>
    </row>
    <row r="1549" spans="1:19" x14ac:dyDescent="0.2">
      <c r="A1549" t="s">
        <v>5337</v>
      </c>
      <c r="B1549" t="s">
        <v>284</v>
      </c>
      <c r="C1549" t="s">
        <v>1464</v>
      </c>
      <c r="D1549" t="s">
        <v>1599</v>
      </c>
      <c r="E1549" t="s">
        <v>285</v>
      </c>
      <c r="F1549" t="s">
        <v>1587</v>
      </c>
      <c r="K1549">
        <v>1904</v>
      </c>
      <c r="L1549">
        <v>1914</v>
      </c>
      <c r="M1549" t="s">
        <v>222</v>
      </c>
      <c r="N1549" t="s">
        <v>228</v>
      </c>
      <c r="O1549" t="s">
        <v>5338</v>
      </c>
      <c r="P1549" t="s">
        <v>5339</v>
      </c>
      <c r="Q1549" t="str">
        <f>IF($C1549="","",IFERROR(VLOOKUP($C1549,sources!$A$2:$N$200,2,FALSE()),"?"))</f>
        <v>Newspaper</v>
      </c>
      <c r="S1549" t="str">
        <f>IF($C1549="","",IFERROR(VLOOKUP($C1549,sources!$A$2:$N$200,9,FALSE()),"?"))</f>
        <v>Panamanian</v>
      </c>
    </row>
    <row r="1550" spans="1:19" x14ac:dyDescent="0.2">
      <c r="A1550" t="s">
        <v>5340</v>
      </c>
      <c r="B1550" t="s">
        <v>405</v>
      </c>
      <c r="C1550" t="s">
        <v>1464</v>
      </c>
      <c r="D1550" t="s">
        <v>1599</v>
      </c>
      <c r="E1550" t="s">
        <v>406</v>
      </c>
      <c r="F1550" t="s">
        <v>1587</v>
      </c>
      <c r="N1550" t="s">
        <v>209</v>
      </c>
      <c r="O1550" t="s">
        <v>5341</v>
      </c>
      <c r="P1550" t="s">
        <v>5342</v>
      </c>
      <c r="Q1550" t="str">
        <f>IF($C1550="","",IFERROR(VLOOKUP($C1550,sources!$A$2:$N$200,2,FALSE()),"?"))</f>
        <v>Newspaper</v>
      </c>
      <c r="S1550" t="str">
        <f>IF($C1550="","",IFERROR(VLOOKUP($C1550,sources!$A$2:$N$200,9,FALSE()),"?"))</f>
        <v>Panamanian</v>
      </c>
    </row>
    <row r="1551" spans="1:19" x14ac:dyDescent="0.2">
      <c r="A1551" t="s">
        <v>5343</v>
      </c>
      <c r="B1551" t="s">
        <v>230</v>
      </c>
      <c r="C1551" t="s">
        <v>1464</v>
      </c>
      <c r="D1551" t="s">
        <v>1599</v>
      </c>
      <c r="E1551" t="s">
        <v>231</v>
      </c>
      <c r="F1551" t="s">
        <v>1587</v>
      </c>
      <c r="N1551" t="s">
        <v>209</v>
      </c>
      <c r="O1551" t="s">
        <v>5344</v>
      </c>
      <c r="P1551" t="s">
        <v>5345</v>
      </c>
      <c r="Q1551" t="str">
        <f>IF($C1551="","",IFERROR(VLOOKUP($C1551,sources!$A$2:$N$200,2,FALSE()),"?"))</f>
        <v>Newspaper</v>
      </c>
      <c r="S1551" t="str">
        <f>IF($C1551="","",IFERROR(VLOOKUP($C1551,sources!$A$2:$N$200,9,FALSE()),"?"))</f>
        <v>Panamanian</v>
      </c>
    </row>
    <row r="1552" spans="1:19" x14ac:dyDescent="0.2">
      <c r="A1552" t="s">
        <v>5346</v>
      </c>
      <c r="B1552" t="s">
        <v>484</v>
      </c>
      <c r="C1552" t="s">
        <v>1464</v>
      </c>
      <c r="D1552" t="s">
        <v>1599</v>
      </c>
      <c r="E1552" t="s">
        <v>485</v>
      </c>
      <c r="F1552" t="s">
        <v>1587</v>
      </c>
      <c r="N1552" t="s">
        <v>209</v>
      </c>
      <c r="O1552" t="s">
        <v>5347</v>
      </c>
      <c r="P1552" t="s">
        <v>5348</v>
      </c>
      <c r="Q1552" t="str">
        <f>IF($C1552="","",IFERROR(VLOOKUP($C1552,sources!$A$2:$N$200,2,FALSE()),"?"))</f>
        <v>Newspaper</v>
      </c>
      <c r="S1552" t="str">
        <f>IF($C1552="","",IFERROR(VLOOKUP($C1552,sources!$A$2:$N$200,9,FALSE()),"?"))</f>
        <v>Panamanian</v>
      </c>
    </row>
    <row r="1553" spans="1:19" x14ac:dyDescent="0.2">
      <c r="A1553" t="s">
        <v>5349</v>
      </c>
      <c r="B1553" t="s">
        <v>417</v>
      </c>
      <c r="C1553" t="s">
        <v>1464</v>
      </c>
      <c r="D1553" t="s">
        <v>1599</v>
      </c>
      <c r="E1553" t="s">
        <v>418</v>
      </c>
      <c r="F1553" t="s">
        <v>1587</v>
      </c>
      <c r="K1553">
        <v>1906</v>
      </c>
      <c r="L1553">
        <v>1912</v>
      </c>
      <c r="M1553" t="s">
        <v>222</v>
      </c>
      <c r="N1553" t="s">
        <v>228</v>
      </c>
      <c r="O1553" t="s">
        <v>5350</v>
      </c>
      <c r="P1553" t="s">
        <v>5351</v>
      </c>
      <c r="Q1553" t="str">
        <f>IF($C1553="","",IFERROR(VLOOKUP($C1553,sources!$A$2:$N$200,2,FALSE()),"?"))</f>
        <v>Newspaper</v>
      </c>
      <c r="S1553" t="str">
        <f>IF($C1553="","",IFERROR(VLOOKUP($C1553,sources!$A$2:$N$200,9,FALSE()),"?"))</f>
        <v>Panamanian</v>
      </c>
    </row>
    <row r="1554" spans="1:19" x14ac:dyDescent="0.2">
      <c r="A1554" t="s">
        <v>5352</v>
      </c>
      <c r="B1554" t="s">
        <v>522</v>
      </c>
      <c r="C1554" t="s">
        <v>1464</v>
      </c>
      <c r="D1554" t="s">
        <v>1599</v>
      </c>
      <c r="E1554" t="s">
        <v>523</v>
      </c>
      <c r="F1554" t="s">
        <v>1587</v>
      </c>
      <c r="K1554">
        <v>1907</v>
      </c>
      <c r="L1554">
        <v>1911</v>
      </c>
      <c r="M1554" t="s">
        <v>222</v>
      </c>
      <c r="N1554" t="s">
        <v>228</v>
      </c>
      <c r="O1554" t="s">
        <v>5353</v>
      </c>
      <c r="P1554" t="s">
        <v>5354</v>
      </c>
      <c r="Q1554" t="str">
        <f>IF($C1554="","",IFERROR(VLOOKUP($C1554,sources!$A$2:$N$200,2,FALSE()),"?"))</f>
        <v>Newspaper</v>
      </c>
      <c r="S1554" t="str">
        <f>IF($C1554="","",IFERROR(VLOOKUP($C1554,sources!$A$2:$N$200,9,FALSE()),"?"))</f>
        <v>Panamanian</v>
      </c>
    </row>
    <row r="1555" spans="1:19" x14ac:dyDescent="0.2">
      <c r="A1555" t="s">
        <v>5355</v>
      </c>
      <c r="B1555" t="s">
        <v>462</v>
      </c>
      <c r="C1555" t="s">
        <v>1464</v>
      </c>
      <c r="D1555" t="s">
        <v>1599</v>
      </c>
      <c r="E1555" t="s">
        <v>463</v>
      </c>
      <c r="F1555" t="s">
        <v>1587</v>
      </c>
      <c r="N1555" t="s">
        <v>209</v>
      </c>
      <c r="O1555" t="s">
        <v>5356</v>
      </c>
      <c r="P1555" t="s">
        <v>5357</v>
      </c>
      <c r="Q1555" t="str">
        <f>IF($C1555="","",IFERROR(VLOOKUP($C1555,sources!$A$2:$N$200,2,FALSE()),"?"))</f>
        <v>Newspaper</v>
      </c>
      <c r="S1555" t="str">
        <f>IF($C1555="","",IFERROR(VLOOKUP($C1555,sources!$A$2:$N$200,9,FALSE()),"?"))</f>
        <v>Panamanian</v>
      </c>
    </row>
    <row r="1556" spans="1:19" x14ac:dyDescent="0.2">
      <c r="A1556" t="s">
        <v>5358</v>
      </c>
      <c r="B1556" t="s">
        <v>539</v>
      </c>
      <c r="C1556" t="s">
        <v>1464</v>
      </c>
      <c r="D1556" t="s">
        <v>1666</v>
      </c>
      <c r="E1556" t="s">
        <v>540</v>
      </c>
      <c r="F1556" t="s">
        <v>1587</v>
      </c>
      <c r="N1556" t="s">
        <v>228</v>
      </c>
      <c r="O1556" t="s">
        <v>5318</v>
      </c>
      <c r="P1556" t="s">
        <v>5319</v>
      </c>
      <c r="Q1556" t="str">
        <f>IF($C1556="","",IFERROR(VLOOKUP($C1556,sources!$A$2:$N$200,2,FALSE()),"?"))</f>
        <v>Newspaper</v>
      </c>
      <c r="S1556" t="str">
        <f>IF($C1556="","",IFERROR(VLOOKUP($C1556,sources!$A$2:$N$200,9,FALSE()),"?"))</f>
        <v>Panamanian</v>
      </c>
    </row>
    <row r="1557" spans="1:19" x14ac:dyDescent="0.2">
      <c r="A1557" t="s">
        <v>5359</v>
      </c>
      <c r="B1557" t="s">
        <v>529</v>
      </c>
      <c r="C1557" t="s">
        <v>1464</v>
      </c>
      <c r="D1557" t="s">
        <v>1599</v>
      </c>
      <c r="E1557" t="s">
        <v>530</v>
      </c>
      <c r="F1557" t="s">
        <v>1587</v>
      </c>
      <c r="K1557">
        <v>1904</v>
      </c>
      <c r="L1557">
        <v>1911</v>
      </c>
      <c r="M1557" t="s">
        <v>222</v>
      </c>
      <c r="N1557" t="s">
        <v>228</v>
      </c>
      <c r="O1557" t="s">
        <v>5360</v>
      </c>
      <c r="P1557" t="s">
        <v>5361</v>
      </c>
      <c r="Q1557" t="str">
        <f>IF($C1557="","",IFERROR(VLOOKUP($C1557,sources!$A$2:$N$200,2,FALSE()),"?"))</f>
        <v>Newspaper</v>
      </c>
      <c r="S1557" t="str">
        <f>IF($C1557="","",IFERROR(VLOOKUP($C1557,sources!$A$2:$N$200,9,FALSE()),"?"))</f>
        <v>Panamanian</v>
      </c>
    </row>
    <row r="1558" spans="1:19" x14ac:dyDescent="0.2">
      <c r="A1558" t="s">
        <v>5362</v>
      </c>
      <c r="B1558" t="s">
        <v>370</v>
      </c>
      <c r="C1558" t="s">
        <v>1464</v>
      </c>
      <c r="D1558" t="s">
        <v>1599</v>
      </c>
      <c r="E1558" t="s">
        <v>371</v>
      </c>
      <c r="F1558" t="s">
        <v>1587</v>
      </c>
      <c r="K1558">
        <v>1904</v>
      </c>
      <c r="L1558">
        <v>1914</v>
      </c>
      <c r="M1558" t="s">
        <v>222</v>
      </c>
      <c r="N1558" t="s">
        <v>228</v>
      </c>
      <c r="O1558" t="s">
        <v>5363</v>
      </c>
      <c r="P1558" t="s">
        <v>5364</v>
      </c>
      <c r="Q1558" t="str">
        <f>IF($C1558="","",IFERROR(VLOOKUP($C1558,sources!$A$2:$N$200,2,FALSE()),"?"))</f>
        <v>Newspaper</v>
      </c>
      <c r="S1558" t="str">
        <f>IF($C1558="","",IFERROR(VLOOKUP($C1558,sources!$A$2:$N$200,9,FALSE()),"?"))</f>
        <v>Panamanian</v>
      </c>
    </row>
    <row r="1559" spans="1:19" x14ac:dyDescent="0.2">
      <c r="A1559" t="s">
        <v>5365</v>
      </c>
      <c r="B1559" t="s">
        <v>218</v>
      </c>
      <c r="C1559" t="s">
        <v>1464</v>
      </c>
      <c r="D1559" t="s">
        <v>1599</v>
      </c>
      <c r="E1559" t="s">
        <v>219</v>
      </c>
      <c r="F1559" t="s">
        <v>1587</v>
      </c>
      <c r="N1559" t="s">
        <v>209</v>
      </c>
      <c r="O1559" t="s">
        <v>5366</v>
      </c>
      <c r="P1559" t="s">
        <v>5367</v>
      </c>
      <c r="Q1559" t="str">
        <f>IF($C1559="","",IFERROR(VLOOKUP($C1559,sources!$A$2:$N$200,2,FALSE()),"?"))</f>
        <v>Newspaper</v>
      </c>
      <c r="S1559" t="str">
        <f>IF($C1559="","",IFERROR(VLOOKUP($C1559,sources!$A$2:$N$200,9,FALSE()),"?"))</f>
        <v>Panamanian</v>
      </c>
    </row>
    <row r="1560" spans="1:19" x14ac:dyDescent="0.2">
      <c r="A1560" t="s">
        <v>5368</v>
      </c>
      <c r="B1560" t="s">
        <v>397</v>
      </c>
      <c r="C1560" t="s">
        <v>1464</v>
      </c>
      <c r="D1560" t="s">
        <v>1599</v>
      </c>
      <c r="E1560" t="s">
        <v>398</v>
      </c>
      <c r="F1560" t="s">
        <v>1587</v>
      </c>
      <c r="K1560">
        <v>1904</v>
      </c>
      <c r="L1560">
        <v>1914</v>
      </c>
      <c r="M1560" t="s">
        <v>222</v>
      </c>
      <c r="N1560" t="s">
        <v>228</v>
      </c>
      <c r="O1560" t="s">
        <v>5369</v>
      </c>
      <c r="P1560" t="s">
        <v>5370</v>
      </c>
      <c r="Q1560" t="str">
        <f>IF($C1560="","",IFERROR(VLOOKUP($C1560,sources!$A$2:$N$200,2,FALSE()),"?"))</f>
        <v>Newspaper</v>
      </c>
      <c r="S1560" t="str">
        <f>IF($C1560="","",IFERROR(VLOOKUP($C1560,sources!$A$2:$N$200,9,FALSE()),"?"))</f>
        <v>Panamanian</v>
      </c>
    </row>
    <row r="1561" spans="1:19" x14ac:dyDescent="0.2">
      <c r="A1561" t="s">
        <v>5371</v>
      </c>
      <c r="B1561" t="s">
        <v>266</v>
      </c>
      <c r="C1561" t="s">
        <v>1464</v>
      </c>
      <c r="D1561" t="s">
        <v>1599</v>
      </c>
      <c r="E1561" t="s">
        <v>267</v>
      </c>
      <c r="F1561" t="s">
        <v>1587</v>
      </c>
      <c r="K1561">
        <v>1904</v>
      </c>
      <c r="M1561" t="s">
        <v>222</v>
      </c>
      <c r="N1561" t="s">
        <v>228</v>
      </c>
      <c r="O1561" t="s">
        <v>5372</v>
      </c>
      <c r="P1561" t="s">
        <v>5373</v>
      </c>
      <c r="Q1561" t="str">
        <f>IF($C1561="","",IFERROR(VLOOKUP($C1561,sources!$A$2:$N$200,2,FALSE()),"?"))</f>
        <v>Newspaper</v>
      </c>
      <c r="S1561" t="str">
        <f>IF($C1561="","",IFERROR(VLOOKUP($C1561,sources!$A$2:$N$200,9,FALSE()),"?"))</f>
        <v>Panamanian</v>
      </c>
    </row>
    <row r="1562" spans="1:19" x14ac:dyDescent="0.2">
      <c r="A1562" t="s">
        <v>5374</v>
      </c>
      <c r="B1562" t="s">
        <v>599</v>
      </c>
      <c r="C1562" t="s">
        <v>1464</v>
      </c>
      <c r="D1562" t="s">
        <v>1666</v>
      </c>
      <c r="E1562" t="s">
        <v>600</v>
      </c>
      <c r="F1562" t="s">
        <v>1587</v>
      </c>
      <c r="N1562" t="s">
        <v>228</v>
      </c>
      <c r="O1562" t="s">
        <v>5318</v>
      </c>
      <c r="P1562" t="s">
        <v>5319</v>
      </c>
      <c r="Q1562" t="str">
        <f>IF($C1562="","",IFERROR(VLOOKUP($C1562,sources!$A$2:$N$200,2,FALSE()),"?"))</f>
        <v>Newspaper</v>
      </c>
      <c r="S1562" t="str">
        <f>IF($C1562="","",IFERROR(VLOOKUP($C1562,sources!$A$2:$N$200,9,FALSE()),"?"))</f>
        <v>Panamanian</v>
      </c>
    </row>
    <row r="1563" spans="1:19" x14ac:dyDescent="0.2">
      <c r="A1563" t="s">
        <v>5375</v>
      </c>
      <c r="B1563" t="s">
        <v>471</v>
      </c>
      <c r="C1563" t="s">
        <v>1464</v>
      </c>
      <c r="D1563" t="s">
        <v>1599</v>
      </c>
      <c r="E1563" t="s">
        <v>472</v>
      </c>
      <c r="F1563" t="s">
        <v>1587</v>
      </c>
      <c r="N1563" t="s">
        <v>209</v>
      </c>
      <c r="O1563" t="s">
        <v>5376</v>
      </c>
      <c r="P1563" t="s">
        <v>5377</v>
      </c>
      <c r="Q1563" t="str">
        <f>IF($C1563="","",IFERROR(VLOOKUP($C1563,sources!$A$2:$N$200,2,FALSE()),"?"))</f>
        <v>Newspaper</v>
      </c>
      <c r="S1563" t="str">
        <f>IF($C1563="","",IFERROR(VLOOKUP($C1563,sources!$A$2:$N$200,9,FALSE()),"?"))</f>
        <v>Panamanian</v>
      </c>
    </row>
    <row r="1564" spans="1:19" x14ac:dyDescent="0.2">
      <c r="A1564" t="s">
        <v>5378</v>
      </c>
      <c r="B1564" t="s">
        <v>491</v>
      </c>
      <c r="C1564" t="s">
        <v>1464</v>
      </c>
      <c r="D1564" t="s">
        <v>1599</v>
      </c>
      <c r="E1564" t="s">
        <v>492</v>
      </c>
      <c r="F1564" t="s">
        <v>1587</v>
      </c>
      <c r="K1564">
        <v>1913</v>
      </c>
      <c r="L1564">
        <v>1913</v>
      </c>
      <c r="M1564" t="s">
        <v>222</v>
      </c>
      <c r="N1564" t="s">
        <v>209</v>
      </c>
      <c r="O1564" t="s">
        <v>5312</v>
      </c>
      <c r="P1564" t="s">
        <v>5379</v>
      </c>
      <c r="Q1564" t="str">
        <f>IF($C1564="","",IFERROR(VLOOKUP($C1564,sources!$A$2:$N$200,2,FALSE()),"?"))</f>
        <v>Newspaper</v>
      </c>
      <c r="S1564" t="str">
        <f>IF($C1564="","",IFERROR(VLOOKUP($C1564,sources!$A$2:$N$200,9,FALSE()),"?"))</f>
        <v>Panamanian</v>
      </c>
    </row>
    <row r="1565" spans="1:19" x14ac:dyDescent="0.2">
      <c r="A1565" t="s">
        <v>5380</v>
      </c>
      <c r="B1565" t="s">
        <v>252</v>
      </c>
      <c r="C1565" t="s">
        <v>1464</v>
      </c>
      <c r="D1565" t="s">
        <v>1599</v>
      </c>
      <c r="E1565" t="s">
        <v>324</v>
      </c>
      <c r="F1565" t="s">
        <v>1587</v>
      </c>
      <c r="N1565" t="s">
        <v>209</v>
      </c>
      <c r="O1565" t="s">
        <v>5381</v>
      </c>
      <c r="P1565" t="s">
        <v>5382</v>
      </c>
      <c r="Q1565" t="str">
        <f>IF($C1565="","",IFERROR(VLOOKUP($C1565,sources!$A$2:$N$200,2,FALSE()),"?"))</f>
        <v>Newspaper</v>
      </c>
      <c r="S1565" t="str">
        <f>IF($C1565="","",IFERROR(VLOOKUP($C1565,sources!$A$2:$N$200,9,FALSE()),"?"))</f>
        <v>Panamanian</v>
      </c>
    </row>
    <row r="1566" spans="1:19" x14ac:dyDescent="0.2">
      <c r="A1566" t="s">
        <v>5383</v>
      </c>
      <c r="B1566" t="s">
        <v>506</v>
      </c>
      <c r="C1566" t="s">
        <v>1464</v>
      </c>
      <c r="D1566" t="s">
        <v>1599</v>
      </c>
      <c r="E1566" t="s">
        <v>507</v>
      </c>
      <c r="F1566" t="s">
        <v>1587</v>
      </c>
      <c r="N1566" t="s">
        <v>209</v>
      </c>
      <c r="O1566" t="s">
        <v>5384</v>
      </c>
      <c r="P1566" t="s">
        <v>5385</v>
      </c>
      <c r="Q1566" t="str">
        <f>IF($C1566="","",IFERROR(VLOOKUP($C1566,sources!$A$2:$N$200,2,FALSE()),"?"))</f>
        <v>Newspaper</v>
      </c>
      <c r="S1566" t="str">
        <f>IF($C1566="","",IFERROR(VLOOKUP($C1566,sources!$A$2:$N$200,9,FALSE()),"?"))</f>
        <v>Panamanian</v>
      </c>
    </row>
    <row r="1567" spans="1:19" x14ac:dyDescent="0.2">
      <c r="A1567" t="s">
        <v>5386</v>
      </c>
      <c r="B1567" t="s">
        <v>557</v>
      </c>
      <c r="C1567" t="s">
        <v>1464</v>
      </c>
      <c r="D1567" t="s">
        <v>1599</v>
      </c>
      <c r="E1567" t="s">
        <v>558</v>
      </c>
      <c r="F1567" t="s">
        <v>1587</v>
      </c>
      <c r="N1567" t="s">
        <v>209</v>
      </c>
      <c r="O1567" t="s">
        <v>5312</v>
      </c>
      <c r="P1567" t="s">
        <v>5387</v>
      </c>
      <c r="Q1567" t="str">
        <f>IF($C1567="","",IFERROR(VLOOKUP($C1567,sources!$A$2:$N$200,2,FALSE()),"?"))</f>
        <v>Newspaper</v>
      </c>
      <c r="S1567" t="str">
        <f>IF($C1567="","",IFERROR(VLOOKUP($C1567,sources!$A$2:$N$200,9,FALSE()),"?"))</f>
        <v>Panamanian</v>
      </c>
    </row>
    <row r="1568" spans="1:19" x14ac:dyDescent="0.2">
      <c r="A1568" t="s">
        <v>5388</v>
      </c>
      <c r="B1568" t="s">
        <v>544</v>
      </c>
      <c r="C1568" t="s">
        <v>1464</v>
      </c>
      <c r="D1568" t="s">
        <v>1666</v>
      </c>
      <c r="E1568" t="s">
        <v>545</v>
      </c>
      <c r="F1568" t="s">
        <v>1587</v>
      </c>
      <c r="N1568" t="s">
        <v>228</v>
      </c>
      <c r="O1568" t="s">
        <v>5318</v>
      </c>
      <c r="P1568" t="s">
        <v>5319</v>
      </c>
      <c r="Q1568" t="str">
        <f>IF($C1568="","",IFERROR(VLOOKUP($C1568,sources!$A$2:$N$200,2,FALSE()),"?"))</f>
        <v>Newspaper</v>
      </c>
      <c r="S1568" t="str">
        <f>IF($C1568="","",IFERROR(VLOOKUP($C1568,sources!$A$2:$N$200,9,FALSE()),"?"))</f>
        <v>Panamanian</v>
      </c>
    </row>
    <row r="1569" spans="1:19" x14ac:dyDescent="0.2">
      <c r="A1569" t="s">
        <v>5389</v>
      </c>
      <c r="B1569" t="s">
        <v>549</v>
      </c>
      <c r="C1569" t="s">
        <v>1464</v>
      </c>
      <c r="D1569" t="s">
        <v>1666</v>
      </c>
      <c r="E1569" t="s">
        <v>550</v>
      </c>
      <c r="F1569" t="s">
        <v>1587</v>
      </c>
      <c r="N1569" t="s">
        <v>228</v>
      </c>
      <c r="O1569" t="s">
        <v>5318</v>
      </c>
      <c r="P1569" t="s">
        <v>5319</v>
      </c>
      <c r="Q1569" t="str">
        <f>IF($C1569="","",IFERROR(VLOOKUP($C1569,sources!$A$2:$N$200,2,FALSE()),"?"))</f>
        <v>Newspaper</v>
      </c>
      <c r="S1569" t="str">
        <f>IF($C1569="","",IFERROR(VLOOKUP($C1569,sources!$A$2:$N$200,9,FALSE()),"?"))</f>
        <v>Panamanian</v>
      </c>
    </row>
    <row r="1570" spans="1:19" x14ac:dyDescent="0.2">
      <c r="A1570" t="s">
        <v>5390</v>
      </c>
      <c r="B1570" t="s">
        <v>553</v>
      </c>
      <c r="C1570" t="s">
        <v>1464</v>
      </c>
      <c r="D1570" t="s">
        <v>1666</v>
      </c>
      <c r="E1570" t="s">
        <v>554</v>
      </c>
      <c r="F1570" t="s">
        <v>1587</v>
      </c>
      <c r="N1570" t="s">
        <v>228</v>
      </c>
      <c r="O1570" t="s">
        <v>5318</v>
      </c>
      <c r="P1570" t="s">
        <v>5319</v>
      </c>
      <c r="Q1570" t="str">
        <f>IF($C1570="","",IFERROR(VLOOKUP($C1570,sources!$A$2:$N$200,2,FALSE()),"?"))</f>
        <v>Newspaper</v>
      </c>
      <c r="S1570" t="str">
        <f>IF($C1570="","",IFERROR(VLOOKUP($C1570,sources!$A$2:$N$200,9,FALSE()),"?"))</f>
        <v>Panamanian</v>
      </c>
    </row>
    <row r="1571" spans="1:19" x14ac:dyDescent="0.2">
      <c r="A1571" t="s">
        <v>5391</v>
      </c>
      <c r="B1571" t="s">
        <v>388</v>
      </c>
      <c r="C1571" t="s">
        <v>1464</v>
      </c>
      <c r="D1571" t="s">
        <v>1599</v>
      </c>
      <c r="E1571" t="s">
        <v>389</v>
      </c>
      <c r="F1571" t="s">
        <v>1587</v>
      </c>
      <c r="N1571" t="s">
        <v>209</v>
      </c>
      <c r="O1571" t="s">
        <v>5392</v>
      </c>
      <c r="P1571" t="s">
        <v>5393</v>
      </c>
      <c r="Q1571" t="str">
        <f>IF($C1571="","",IFERROR(VLOOKUP($C1571,sources!$A$2:$N$200,2,FALSE()),"?"))</f>
        <v>Newspaper</v>
      </c>
      <c r="S1571" t="str">
        <f>IF($C1571="","",IFERROR(VLOOKUP($C1571,sources!$A$2:$N$200,9,FALSE()),"?"))</f>
        <v>Panamanian</v>
      </c>
    </row>
    <row r="1572" spans="1:19" x14ac:dyDescent="0.2">
      <c r="A1572" t="s">
        <v>5394</v>
      </c>
      <c r="B1572" t="s">
        <v>455</v>
      </c>
      <c r="C1572" t="s">
        <v>1464</v>
      </c>
      <c r="D1572" t="s">
        <v>1599</v>
      </c>
      <c r="E1572" t="s">
        <v>456</v>
      </c>
      <c r="F1572" t="s">
        <v>1587</v>
      </c>
      <c r="K1572">
        <v>1904</v>
      </c>
      <c r="L1572">
        <v>1904</v>
      </c>
      <c r="M1572" t="s">
        <v>222</v>
      </c>
      <c r="N1572" t="s">
        <v>209</v>
      </c>
      <c r="O1572" t="s">
        <v>5312</v>
      </c>
      <c r="P1572" t="s">
        <v>5395</v>
      </c>
      <c r="Q1572" t="str">
        <f>IF($C1572="","",IFERROR(VLOOKUP($C1572,sources!$A$2:$N$200,2,FALSE()),"?"))</f>
        <v>Newspaper</v>
      </c>
      <c r="S1572" t="str">
        <f>IF($C1572="","",IFERROR(VLOOKUP($C1572,sources!$A$2:$N$200,9,FALSE()),"?"))</f>
        <v>Panamanian</v>
      </c>
    </row>
    <row r="1573" spans="1:19" x14ac:dyDescent="0.2">
      <c r="A1573" t="s">
        <v>5396</v>
      </c>
      <c r="B1573" t="s">
        <v>238</v>
      </c>
      <c r="C1573" t="s">
        <v>1464</v>
      </c>
      <c r="D1573" t="s">
        <v>1599</v>
      </c>
      <c r="E1573" t="s">
        <v>5397</v>
      </c>
      <c r="F1573" t="s">
        <v>1587</v>
      </c>
      <c r="K1573">
        <v>1904</v>
      </c>
      <c r="M1573" t="s">
        <v>222</v>
      </c>
      <c r="N1573" t="s">
        <v>228</v>
      </c>
      <c r="O1573" t="s">
        <v>5398</v>
      </c>
      <c r="P1573" t="s">
        <v>5399</v>
      </c>
      <c r="Q1573" t="str">
        <f>IF($C1573="","",IFERROR(VLOOKUP($C1573,sources!$A$2:$N$200,2,FALSE()),"?"))</f>
        <v>Newspaper</v>
      </c>
      <c r="S1573" t="str">
        <f>IF($C1573="","",IFERROR(VLOOKUP($C1573,sources!$A$2:$N$200,9,FALSE()),"?"))</f>
        <v>Panamanian</v>
      </c>
    </row>
    <row r="1574" spans="1:19" x14ac:dyDescent="0.2">
      <c r="A1574" t="s">
        <v>5400</v>
      </c>
      <c r="B1574" t="s">
        <v>261</v>
      </c>
      <c r="C1574" t="s">
        <v>1464</v>
      </c>
      <c r="D1574" t="s">
        <v>1599</v>
      </c>
      <c r="E1574" t="s">
        <v>262</v>
      </c>
      <c r="F1574" t="s">
        <v>1587</v>
      </c>
      <c r="K1574">
        <v>1904</v>
      </c>
      <c r="M1574" t="s">
        <v>222</v>
      </c>
      <c r="N1574" t="s">
        <v>228</v>
      </c>
      <c r="O1574" t="s">
        <v>5401</v>
      </c>
      <c r="P1574" t="s">
        <v>5402</v>
      </c>
      <c r="Q1574" t="str">
        <f>IF($C1574="","",IFERROR(VLOOKUP($C1574,sources!$A$2:$N$200,2,FALSE()),"?"))</f>
        <v>Newspaper</v>
      </c>
      <c r="S1574" t="str">
        <f>IF($C1574="","",IFERROR(VLOOKUP($C1574,sources!$A$2:$N$200,9,FALSE()),"?"))</f>
        <v>Panamanian</v>
      </c>
    </row>
    <row r="1575" spans="1:19" x14ac:dyDescent="0.2">
      <c r="A1575" t="s">
        <v>5403</v>
      </c>
      <c r="B1575" t="s">
        <v>584</v>
      </c>
      <c r="C1575" t="s">
        <v>1464</v>
      </c>
      <c r="D1575" t="s">
        <v>1666</v>
      </c>
      <c r="E1575" t="s">
        <v>585</v>
      </c>
      <c r="F1575" t="s">
        <v>1587</v>
      </c>
      <c r="N1575" t="s">
        <v>228</v>
      </c>
      <c r="O1575" t="s">
        <v>5318</v>
      </c>
      <c r="P1575" t="s">
        <v>5319</v>
      </c>
      <c r="Q1575" t="str">
        <f>IF($C1575="","",IFERROR(VLOOKUP($C1575,sources!$A$2:$N$200,2,FALSE()),"?"))</f>
        <v>Newspaper</v>
      </c>
      <c r="S1575" t="str">
        <f>IF($C1575="","",IFERROR(VLOOKUP($C1575,sources!$A$2:$N$200,9,FALSE()),"?"))</f>
        <v>Panamanian</v>
      </c>
    </row>
    <row r="1576" spans="1:19" x14ac:dyDescent="0.2">
      <c r="A1576" t="s">
        <v>5404</v>
      </c>
      <c r="B1576" t="s">
        <v>236</v>
      </c>
      <c r="C1576" t="s">
        <v>1464</v>
      </c>
      <c r="D1576" t="s">
        <v>1666</v>
      </c>
      <c r="E1576" t="s">
        <v>5405</v>
      </c>
      <c r="F1576" t="s">
        <v>1587</v>
      </c>
      <c r="N1576" t="s">
        <v>228</v>
      </c>
      <c r="O1576" t="s">
        <v>5318</v>
      </c>
      <c r="P1576" t="s">
        <v>5319</v>
      </c>
      <c r="Q1576" t="str">
        <f>IF($C1576="","",IFERROR(VLOOKUP($C1576,sources!$A$2:$N$200,2,FALSE()),"?"))</f>
        <v>Newspaper</v>
      </c>
      <c r="S1576" t="str">
        <f>IF($C1576="","",IFERROR(VLOOKUP($C1576,sources!$A$2:$N$200,9,FALSE()),"?"))</f>
        <v>Panamanian</v>
      </c>
    </row>
    <row r="1577" spans="1:19" x14ac:dyDescent="0.2">
      <c r="A1577" t="s">
        <v>5406</v>
      </c>
      <c r="B1577" t="s">
        <v>452</v>
      </c>
      <c r="C1577" t="s">
        <v>1464</v>
      </c>
      <c r="D1577" t="s">
        <v>1599</v>
      </c>
      <c r="E1577" t="s">
        <v>453</v>
      </c>
      <c r="F1577" t="s">
        <v>1587</v>
      </c>
      <c r="K1577">
        <v>1904</v>
      </c>
      <c r="L1577">
        <v>1913</v>
      </c>
      <c r="M1577" t="s">
        <v>222</v>
      </c>
      <c r="N1577" t="s">
        <v>228</v>
      </c>
      <c r="O1577" t="s">
        <v>5407</v>
      </c>
      <c r="P1577" t="s">
        <v>5408</v>
      </c>
      <c r="Q1577" t="str">
        <f>IF($C1577="","",IFERROR(VLOOKUP($C1577,sources!$A$2:$N$200,2,FALSE()),"?"))</f>
        <v>Newspaper</v>
      </c>
      <c r="S1577" t="str">
        <f>IF($C1577="","",IFERROR(VLOOKUP($C1577,sources!$A$2:$N$200,9,FALSE()),"?"))</f>
        <v>Panamanian</v>
      </c>
    </row>
    <row r="1578" spans="1:19" x14ac:dyDescent="0.2">
      <c r="A1578" t="s">
        <v>5409</v>
      </c>
      <c r="B1578" t="s">
        <v>503</v>
      </c>
      <c r="C1578" t="s">
        <v>1464</v>
      </c>
      <c r="D1578" t="s">
        <v>1599</v>
      </c>
      <c r="E1578" t="s">
        <v>504</v>
      </c>
      <c r="F1578" t="s">
        <v>1587</v>
      </c>
      <c r="K1578">
        <v>1904</v>
      </c>
      <c r="L1578">
        <v>1913</v>
      </c>
      <c r="M1578" t="s">
        <v>222</v>
      </c>
      <c r="N1578" t="s">
        <v>228</v>
      </c>
      <c r="O1578" t="s">
        <v>5353</v>
      </c>
      <c r="P1578" t="s">
        <v>5410</v>
      </c>
      <c r="Q1578" t="str">
        <f>IF($C1578="","",IFERROR(VLOOKUP($C1578,sources!$A$2:$N$200,2,FALSE()),"?"))</f>
        <v>Newspaper</v>
      </c>
      <c r="S1578" t="str">
        <f>IF($C1578="","",IFERROR(VLOOKUP($C1578,sources!$A$2:$N$200,9,FALSE()),"?"))</f>
        <v>Panamanian</v>
      </c>
    </row>
    <row r="1579" spans="1:19" x14ac:dyDescent="0.2">
      <c r="A1579" t="s">
        <v>5411</v>
      </c>
      <c r="B1579" t="s">
        <v>367</v>
      </c>
      <c r="C1579" t="s">
        <v>1464</v>
      </c>
      <c r="D1579" t="s">
        <v>1599</v>
      </c>
      <c r="E1579" t="s">
        <v>368</v>
      </c>
      <c r="F1579" t="s">
        <v>1587</v>
      </c>
      <c r="N1579" t="s">
        <v>209</v>
      </c>
      <c r="O1579" t="s">
        <v>5412</v>
      </c>
      <c r="P1579" t="s">
        <v>5413</v>
      </c>
      <c r="Q1579" t="str">
        <f>IF($C1579="","",IFERROR(VLOOKUP($C1579,sources!$A$2:$N$200,2,FALSE()),"?"))</f>
        <v>Newspaper</v>
      </c>
      <c r="S1579" t="str">
        <f>IF($C1579="","",IFERROR(VLOOKUP($C1579,sources!$A$2:$N$200,9,FALSE()),"?"))</f>
        <v>Panamanian</v>
      </c>
    </row>
    <row r="1580" spans="1:19" x14ac:dyDescent="0.2">
      <c r="A1580" t="s">
        <v>5414</v>
      </c>
      <c r="B1580" t="s">
        <v>280</v>
      </c>
      <c r="C1580" t="s">
        <v>1464</v>
      </c>
      <c r="D1580" t="s">
        <v>1599</v>
      </c>
      <c r="E1580" t="s">
        <v>281</v>
      </c>
      <c r="F1580" t="s">
        <v>1587</v>
      </c>
      <c r="K1580">
        <v>1904</v>
      </c>
      <c r="M1580" t="s">
        <v>222</v>
      </c>
      <c r="N1580" t="s">
        <v>228</v>
      </c>
      <c r="O1580" t="s">
        <v>5415</v>
      </c>
      <c r="P1580" t="s">
        <v>5416</v>
      </c>
      <c r="Q1580" t="str">
        <f>IF($C1580="","",IFERROR(VLOOKUP($C1580,sources!$A$2:$N$200,2,FALSE()),"?"))</f>
        <v>Newspaper</v>
      </c>
      <c r="S1580" t="str">
        <f>IF($C1580="","",IFERROR(VLOOKUP($C1580,sources!$A$2:$N$200,9,FALSE()),"?"))</f>
        <v>Panamanian</v>
      </c>
    </row>
    <row r="1581" spans="1:19" x14ac:dyDescent="0.2">
      <c r="A1581" t="s">
        <v>5417</v>
      </c>
      <c r="B1581" t="s">
        <v>408</v>
      </c>
      <c r="C1581" t="s">
        <v>1464</v>
      </c>
      <c r="D1581" t="s">
        <v>1599</v>
      </c>
      <c r="E1581" t="s">
        <v>409</v>
      </c>
      <c r="F1581" t="s">
        <v>1587</v>
      </c>
      <c r="K1581">
        <v>1904</v>
      </c>
      <c r="L1581">
        <v>1907</v>
      </c>
      <c r="M1581" t="s">
        <v>222</v>
      </c>
      <c r="N1581" t="s">
        <v>228</v>
      </c>
      <c r="O1581" t="s">
        <v>5418</v>
      </c>
      <c r="P1581" t="s">
        <v>5419</v>
      </c>
      <c r="Q1581" t="str">
        <f>IF($C1581="","",IFERROR(VLOOKUP($C1581,sources!$A$2:$N$200,2,FALSE()),"?"))</f>
        <v>Newspaper</v>
      </c>
      <c r="S1581" t="str">
        <f>IF($C1581="","",IFERROR(VLOOKUP($C1581,sources!$A$2:$N$200,9,FALSE()),"?"))</f>
        <v>Panamanian</v>
      </c>
    </row>
    <row r="1582" spans="1:19" x14ac:dyDescent="0.2">
      <c r="A1582" t="s">
        <v>5420</v>
      </c>
      <c r="B1582" t="s">
        <v>414</v>
      </c>
      <c r="C1582" t="s">
        <v>1464</v>
      </c>
      <c r="D1582" t="s">
        <v>1599</v>
      </c>
      <c r="E1582" t="s">
        <v>415</v>
      </c>
      <c r="F1582" t="s">
        <v>1587</v>
      </c>
      <c r="K1582">
        <v>1904</v>
      </c>
      <c r="L1582">
        <v>1913</v>
      </c>
      <c r="M1582" t="s">
        <v>222</v>
      </c>
      <c r="N1582" t="s">
        <v>228</v>
      </c>
      <c r="O1582" t="s">
        <v>5407</v>
      </c>
      <c r="P1582" t="s">
        <v>5421</v>
      </c>
      <c r="Q1582" t="str">
        <f>IF($C1582="","",IFERROR(VLOOKUP($C1582,sources!$A$2:$N$200,2,FALSE()),"?"))</f>
        <v>Newspaper</v>
      </c>
      <c r="S1582" t="str">
        <f>IF($C1582="","",IFERROR(VLOOKUP($C1582,sources!$A$2:$N$200,9,FALSE()),"?"))</f>
        <v>Panamanian</v>
      </c>
    </row>
    <row r="1583" spans="1:19" x14ac:dyDescent="0.2">
      <c r="A1583" t="s">
        <v>5422</v>
      </c>
      <c r="B1583" t="s">
        <v>393</v>
      </c>
      <c r="C1583" t="s">
        <v>1464</v>
      </c>
      <c r="D1583" t="s">
        <v>1599</v>
      </c>
      <c r="E1583" t="s">
        <v>394</v>
      </c>
      <c r="F1583" t="s">
        <v>1587</v>
      </c>
      <c r="N1583" t="s">
        <v>209</v>
      </c>
      <c r="O1583" t="s">
        <v>5423</v>
      </c>
      <c r="P1583" t="s">
        <v>5424</v>
      </c>
      <c r="Q1583" t="str">
        <f>IF($C1583="","",IFERROR(VLOOKUP($C1583,sources!$A$2:$N$200,2,FALSE()),"?"))</f>
        <v>Newspaper</v>
      </c>
      <c r="S1583" t="str">
        <f>IF($C1583="","",IFERROR(VLOOKUP($C1583,sources!$A$2:$N$200,9,FALSE()),"?"))</f>
        <v>Panamanian</v>
      </c>
    </row>
    <row r="1584" spans="1:19" x14ac:dyDescent="0.2">
      <c r="A1584" t="s">
        <v>5425</v>
      </c>
      <c r="B1584" t="s">
        <v>422</v>
      </c>
      <c r="C1584" t="s">
        <v>1464</v>
      </c>
      <c r="D1584" t="s">
        <v>1599</v>
      </c>
      <c r="E1584" t="s">
        <v>423</v>
      </c>
      <c r="F1584" t="s">
        <v>1587</v>
      </c>
      <c r="K1584">
        <v>1909</v>
      </c>
      <c r="L1584">
        <v>1909</v>
      </c>
      <c r="M1584" t="s">
        <v>222</v>
      </c>
      <c r="N1584" t="s">
        <v>209</v>
      </c>
      <c r="O1584" t="s">
        <v>5312</v>
      </c>
      <c r="P1584" t="s">
        <v>5426</v>
      </c>
      <c r="Q1584" t="str">
        <f>IF($C1584="","",IFERROR(VLOOKUP($C1584,sources!$A$2:$N$200,2,FALSE()),"?"))</f>
        <v>Newspaper</v>
      </c>
      <c r="S1584" t="str">
        <f>IF($C1584="","",IFERROR(VLOOKUP($C1584,sources!$A$2:$N$200,9,FALSE()),"?"))</f>
        <v>Panamanian</v>
      </c>
    </row>
    <row r="1585" spans="1:19" x14ac:dyDescent="0.2">
      <c r="A1585" t="s">
        <v>5427</v>
      </c>
      <c r="B1585" t="s">
        <v>434</v>
      </c>
      <c r="C1585" t="s">
        <v>1464</v>
      </c>
      <c r="D1585" t="s">
        <v>1599</v>
      </c>
      <c r="E1585" t="s">
        <v>435</v>
      </c>
      <c r="F1585" t="s">
        <v>1587</v>
      </c>
      <c r="K1585">
        <v>1904</v>
      </c>
      <c r="L1585">
        <v>1914</v>
      </c>
      <c r="M1585" t="s">
        <v>222</v>
      </c>
      <c r="N1585" t="s">
        <v>228</v>
      </c>
      <c r="O1585" t="s">
        <v>5428</v>
      </c>
      <c r="P1585" t="s">
        <v>5429</v>
      </c>
      <c r="Q1585" t="str">
        <f>IF($C1585="","",IFERROR(VLOOKUP($C1585,sources!$A$2:$N$200,2,FALSE()),"?"))</f>
        <v>Newspaper</v>
      </c>
      <c r="S1585" t="str">
        <f>IF($C1585="","",IFERROR(VLOOKUP($C1585,sources!$A$2:$N$200,9,FALSE()),"?"))</f>
        <v>Panamanian</v>
      </c>
    </row>
    <row r="1586" spans="1:19" x14ac:dyDescent="0.2">
      <c r="A1586" t="s">
        <v>5430</v>
      </c>
      <c r="B1586" t="s">
        <v>487</v>
      </c>
      <c r="C1586" t="s">
        <v>1464</v>
      </c>
      <c r="D1586" t="s">
        <v>1599</v>
      </c>
      <c r="E1586" t="s">
        <v>488</v>
      </c>
      <c r="F1586" t="s">
        <v>1587</v>
      </c>
      <c r="K1586">
        <v>1911</v>
      </c>
      <c r="L1586">
        <v>1912</v>
      </c>
      <c r="M1586" t="s">
        <v>222</v>
      </c>
      <c r="N1586" t="s">
        <v>228</v>
      </c>
      <c r="O1586" t="s">
        <v>5407</v>
      </c>
      <c r="P1586" t="s">
        <v>5431</v>
      </c>
      <c r="Q1586" t="str">
        <f>IF($C1586="","",IFERROR(VLOOKUP($C1586,sources!$A$2:$N$200,2,FALSE()),"?"))</f>
        <v>Newspaper</v>
      </c>
      <c r="S1586" t="str">
        <f>IF($C1586="","",IFERROR(VLOOKUP($C1586,sources!$A$2:$N$200,9,FALSE()),"?"))</f>
        <v>Panamanian</v>
      </c>
    </row>
    <row r="1587" spans="1:19" x14ac:dyDescent="0.2">
      <c r="A1587" t="s">
        <v>5432</v>
      </c>
      <c r="B1587" t="s">
        <v>245</v>
      </c>
      <c r="C1587" t="s">
        <v>1464</v>
      </c>
      <c r="D1587" t="s">
        <v>1599</v>
      </c>
      <c r="E1587" t="s">
        <v>246</v>
      </c>
      <c r="F1587" t="s">
        <v>1587</v>
      </c>
      <c r="K1587">
        <v>1911</v>
      </c>
      <c r="L1587">
        <v>1912</v>
      </c>
      <c r="M1587" t="s">
        <v>222</v>
      </c>
      <c r="N1587" t="s">
        <v>228</v>
      </c>
      <c r="O1587" t="s">
        <v>5315</v>
      </c>
      <c r="P1587" t="s">
        <v>5433</v>
      </c>
      <c r="Q1587" t="str">
        <f>IF($C1587="","",IFERROR(VLOOKUP($C1587,sources!$A$2:$N$200,2,FALSE()),"?"))</f>
        <v>Newspaper</v>
      </c>
      <c r="S1587" t="str">
        <f>IF($C1587="","",IFERROR(VLOOKUP($C1587,sources!$A$2:$N$200,9,FALSE()),"?"))</f>
        <v>Panamanian</v>
      </c>
    </row>
    <row r="1588" spans="1:19" x14ac:dyDescent="0.2">
      <c r="A1588" t="s">
        <v>5434</v>
      </c>
      <c r="B1588" t="s">
        <v>526</v>
      </c>
      <c r="C1588" t="s">
        <v>1464</v>
      </c>
      <c r="D1588" t="s">
        <v>1599</v>
      </c>
      <c r="E1588" t="s">
        <v>527</v>
      </c>
      <c r="F1588" t="s">
        <v>1587</v>
      </c>
      <c r="N1588" t="s">
        <v>209</v>
      </c>
      <c r="O1588" t="s">
        <v>5321</v>
      </c>
      <c r="P1588" t="s">
        <v>5435</v>
      </c>
      <c r="Q1588" t="str">
        <f>IF($C1588="","",IFERROR(VLOOKUP($C1588,sources!$A$2:$N$200,2,FALSE()),"?"))</f>
        <v>Newspaper</v>
      </c>
      <c r="S1588" t="str">
        <f>IF($C1588="","",IFERROR(VLOOKUP($C1588,sources!$A$2:$N$200,9,FALSE()),"?"))</f>
        <v>Panamanian</v>
      </c>
    </row>
    <row r="1589" spans="1:19" x14ac:dyDescent="0.2">
      <c r="A1589" t="s">
        <v>5436</v>
      </c>
      <c r="B1589" t="s">
        <v>376</v>
      </c>
      <c r="C1589" t="s">
        <v>1464</v>
      </c>
      <c r="D1589" t="s">
        <v>1599</v>
      </c>
      <c r="E1589" t="s">
        <v>377</v>
      </c>
      <c r="F1589" t="s">
        <v>1587</v>
      </c>
      <c r="K1589">
        <v>1904</v>
      </c>
      <c r="M1589" t="s">
        <v>222</v>
      </c>
      <c r="N1589" t="s">
        <v>228</v>
      </c>
      <c r="O1589" t="s">
        <v>5437</v>
      </c>
      <c r="P1589" t="s">
        <v>5438</v>
      </c>
      <c r="Q1589" t="str">
        <f>IF($C1589="","",IFERROR(VLOOKUP($C1589,sources!$A$2:$N$200,2,FALSE()),"?"))</f>
        <v>Newspaper</v>
      </c>
      <c r="S1589" t="str">
        <f>IF($C1589="","",IFERROR(VLOOKUP($C1589,sources!$A$2:$N$200,9,FALSE()),"?"))</f>
        <v>Panamanian</v>
      </c>
    </row>
    <row r="1590" spans="1:19" x14ac:dyDescent="0.2">
      <c r="A1590" t="s">
        <v>5439</v>
      </c>
      <c r="B1590" t="s">
        <v>517</v>
      </c>
      <c r="C1590" t="s">
        <v>1464</v>
      </c>
      <c r="D1590" t="s">
        <v>1599</v>
      </c>
      <c r="E1590" t="s">
        <v>518</v>
      </c>
      <c r="F1590" t="s">
        <v>1587</v>
      </c>
      <c r="K1590">
        <v>1904</v>
      </c>
      <c r="L1590">
        <v>1913</v>
      </c>
      <c r="M1590" t="s">
        <v>222</v>
      </c>
      <c r="N1590" t="s">
        <v>228</v>
      </c>
      <c r="O1590" t="s">
        <v>5353</v>
      </c>
      <c r="P1590" t="s">
        <v>5440</v>
      </c>
      <c r="Q1590" t="str">
        <f>IF($C1590="","",IFERROR(VLOOKUP($C1590,sources!$A$2:$N$200,2,FALSE()),"?"))</f>
        <v>Newspaper</v>
      </c>
      <c r="S1590" t="str">
        <f>IF($C1590="","",IFERROR(VLOOKUP($C1590,sources!$A$2:$N$200,9,FALSE()),"?"))</f>
        <v>Panamanian</v>
      </c>
    </row>
    <row r="1591" spans="1:19" x14ac:dyDescent="0.2">
      <c r="A1591" t="s">
        <v>5441</v>
      </c>
      <c r="B1591" t="s">
        <v>443</v>
      </c>
      <c r="C1591" t="s">
        <v>1464</v>
      </c>
      <c r="D1591" t="s">
        <v>1599</v>
      </c>
      <c r="E1591" t="s">
        <v>444</v>
      </c>
      <c r="F1591" t="s">
        <v>1587</v>
      </c>
      <c r="K1591">
        <v>1908</v>
      </c>
      <c r="L1591">
        <v>1914</v>
      </c>
      <c r="M1591" t="s">
        <v>222</v>
      </c>
      <c r="N1591" t="s">
        <v>228</v>
      </c>
      <c r="O1591" t="s">
        <v>5418</v>
      </c>
      <c r="P1591" t="s">
        <v>5442</v>
      </c>
      <c r="Q1591" t="str">
        <f>IF($C1591="","",IFERROR(VLOOKUP($C1591,sources!$A$2:$N$200,2,FALSE()),"?"))</f>
        <v>Newspaper</v>
      </c>
      <c r="S1591" t="str">
        <f>IF($C1591="","",IFERROR(VLOOKUP($C1591,sources!$A$2:$N$200,9,FALSE()),"?"))</f>
        <v>Panamanian</v>
      </c>
    </row>
    <row r="1592" spans="1:19" x14ac:dyDescent="0.2">
      <c r="A1592" t="s">
        <v>5443</v>
      </c>
      <c r="B1592" t="s">
        <v>566</v>
      </c>
      <c r="C1592" t="s">
        <v>1464</v>
      </c>
      <c r="D1592" t="s">
        <v>1666</v>
      </c>
      <c r="E1592" t="s">
        <v>567</v>
      </c>
      <c r="F1592" t="s">
        <v>1587</v>
      </c>
      <c r="N1592" t="s">
        <v>228</v>
      </c>
      <c r="O1592" t="s">
        <v>5318</v>
      </c>
      <c r="P1592" t="s">
        <v>5319</v>
      </c>
      <c r="Q1592" t="str">
        <f>IF($C1592="","",IFERROR(VLOOKUP($C1592,sources!$A$2:$N$200,2,FALSE()),"?"))</f>
        <v>Newspaper</v>
      </c>
      <c r="S1592" t="str">
        <f>IF($C1592="","",IFERROR(VLOOKUP($C1592,sources!$A$2:$N$200,9,FALSE()),"?"))</f>
        <v>Panamanian</v>
      </c>
    </row>
    <row r="1593" spans="1:19" x14ac:dyDescent="0.2">
      <c r="A1593" t="s">
        <v>5444</v>
      </c>
      <c r="B1593" t="s">
        <v>480</v>
      </c>
      <c r="C1593" t="s">
        <v>1464</v>
      </c>
      <c r="D1593" t="s">
        <v>1666</v>
      </c>
      <c r="E1593" t="s">
        <v>481</v>
      </c>
      <c r="F1593" t="s">
        <v>1587</v>
      </c>
      <c r="N1593" t="s">
        <v>228</v>
      </c>
      <c r="O1593" t="s">
        <v>5318</v>
      </c>
      <c r="P1593" t="s">
        <v>5319</v>
      </c>
      <c r="Q1593" t="str">
        <f>IF($C1593="","",IFERROR(VLOOKUP($C1593,sources!$A$2:$N$200,2,FALSE()),"?"))</f>
        <v>Newspaper</v>
      </c>
      <c r="S1593" t="str">
        <f>IF($C1593="","",IFERROR(VLOOKUP($C1593,sources!$A$2:$N$200,9,FALSE()),"?"))</f>
        <v>Panamanian</v>
      </c>
    </row>
    <row r="1594" spans="1:19" x14ac:dyDescent="0.2">
      <c r="A1594" t="s">
        <v>5445</v>
      </c>
      <c r="B1594" t="s">
        <v>359</v>
      </c>
      <c r="C1594" t="s">
        <v>1464</v>
      </c>
      <c r="D1594" t="s">
        <v>1599</v>
      </c>
      <c r="E1594" t="s">
        <v>360</v>
      </c>
      <c r="F1594" t="s">
        <v>1587</v>
      </c>
      <c r="N1594" t="s">
        <v>209</v>
      </c>
      <c r="O1594" t="s">
        <v>5446</v>
      </c>
      <c r="P1594" t="s">
        <v>5447</v>
      </c>
      <c r="Q1594" t="str">
        <f>IF($C1594="","",IFERROR(VLOOKUP($C1594,sources!$A$2:$N$200,2,FALSE()),"?"))</f>
        <v>Newspaper</v>
      </c>
      <c r="S1594" t="str">
        <f>IF($C1594="","",IFERROR(VLOOKUP($C1594,sources!$A$2:$N$200,9,FALSE()),"?"))</f>
        <v>Panamanian</v>
      </c>
    </row>
    <row r="1595" spans="1:19" x14ac:dyDescent="0.2">
      <c r="A1595" t="s">
        <v>5448</v>
      </c>
      <c r="B1595" t="s">
        <v>379</v>
      </c>
      <c r="C1595" t="s">
        <v>1464</v>
      </c>
      <c r="D1595" t="s">
        <v>1599</v>
      </c>
      <c r="E1595" t="s">
        <v>380</v>
      </c>
      <c r="F1595" t="s">
        <v>1587</v>
      </c>
      <c r="K1595">
        <v>1904</v>
      </c>
      <c r="M1595" t="s">
        <v>222</v>
      </c>
      <c r="N1595" t="s">
        <v>228</v>
      </c>
      <c r="O1595" t="s">
        <v>5449</v>
      </c>
      <c r="P1595" t="s">
        <v>5450</v>
      </c>
      <c r="Q1595" t="str">
        <f>IF($C1595="","",IFERROR(VLOOKUP($C1595,sources!$A$2:$N$200,2,FALSE()),"?"))</f>
        <v>Newspaper</v>
      </c>
      <c r="S1595" t="str">
        <f>IF($C1595="","",IFERROR(VLOOKUP($C1595,sources!$A$2:$N$200,9,FALSE()),"?"))</f>
        <v>Panamanian</v>
      </c>
    </row>
    <row r="1596" spans="1:19" x14ac:dyDescent="0.2">
      <c r="A1596" t="s">
        <v>5451</v>
      </c>
      <c r="B1596" t="s">
        <v>232</v>
      </c>
      <c r="C1596" t="s">
        <v>1464</v>
      </c>
      <c r="D1596" t="s">
        <v>1599</v>
      </c>
      <c r="E1596" t="s">
        <v>233</v>
      </c>
      <c r="F1596" t="s">
        <v>1587</v>
      </c>
      <c r="N1596" t="s">
        <v>209</v>
      </c>
      <c r="O1596" t="s">
        <v>5452</v>
      </c>
      <c r="P1596" t="s">
        <v>5453</v>
      </c>
      <c r="Q1596" t="str">
        <f>IF($C1596="","",IFERROR(VLOOKUP($C1596,sources!$A$2:$N$200,2,FALSE()),"?"))</f>
        <v>Newspaper</v>
      </c>
      <c r="S1596" t="str">
        <f>IF($C1596="","",IFERROR(VLOOKUP($C1596,sources!$A$2:$N$200,9,FALSE()),"?"))</f>
        <v>Panamanian</v>
      </c>
    </row>
    <row r="1597" spans="1:19" x14ac:dyDescent="0.2">
      <c r="A1597" t="s">
        <v>5454</v>
      </c>
      <c r="B1597" t="s">
        <v>475</v>
      </c>
      <c r="C1597" t="s">
        <v>1464</v>
      </c>
      <c r="D1597" t="s">
        <v>1599</v>
      </c>
      <c r="E1597" t="s">
        <v>476</v>
      </c>
      <c r="F1597" t="s">
        <v>1587</v>
      </c>
      <c r="N1597" t="s">
        <v>209</v>
      </c>
      <c r="O1597" t="s">
        <v>5353</v>
      </c>
      <c r="P1597" t="s">
        <v>5455</v>
      </c>
      <c r="Q1597" t="str">
        <f>IF($C1597="","",IFERROR(VLOOKUP($C1597,sources!$A$2:$N$200,2,FALSE()),"?"))</f>
        <v>Newspaper</v>
      </c>
      <c r="S1597" t="str">
        <f>IF($C1597="","",IFERROR(VLOOKUP($C1597,sources!$A$2:$N$200,9,FALSE()),"?"))</f>
        <v>Panamanian</v>
      </c>
    </row>
    <row r="1598" spans="1:19" x14ac:dyDescent="0.2">
      <c r="A1598" t="s">
        <v>5456</v>
      </c>
      <c r="B1598" t="s">
        <v>382</v>
      </c>
      <c r="C1598" t="s">
        <v>1464</v>
      </c>
      <c r="D1598" t="s">
        <v>1599</v>
      </c>
      <c r="E1598" t="s">
        <v>383</v>
      </c>
      <c r="F1598" t="s">
        <v>1587</v>
      </c>
      <c r="K1598">
        <v>1904</v>
      </c>
      <c r="L1598">
        <v>1913</v>
      </c>
      <c r="M1598" t="s">
        <v>222</v>
      </c>
      <c r="N1598" t="s">
        <v>228</v>
      </c>
      <c r="O1598" t="s">
        <v>5457</v>
      </c>
      <c r="P1598" t="s">
        <v>5458</v>
      </c>
      <c r="Q1598" t="str">
        <f>IF($C1598="","",IFERROR(VLOOKUP($C1598,sources!$A$2:$N$200,2,FALSE()),"?"))</f>
        <v>Newspaper</v>
      </c>
      <c r="S1598" t="str">
        <f>IF($C1598="","",IFERROR(VLOOKUP($C1598,sources!$A$2:$N$200,9,FALSE()),"?"))</f>
        <v>Panamanian</v>
      </c>
    </row>
    <row r="1599" spans="1:19" x14ac:dyDescent="0.2">
      <c r="A1599" t="s">
        <v>5459</v>
      </c>
      <c r="B1599" t="s">
        <v>439</v>
      </c>
      <c r="C1599" t="s">
        <v>1464</v>
      </c>
      <c r="D1599" t="s">
        <v>1599</v>
      </c>
      <c r="E1599" t="s">
        <v>440</v>
      </c>
      <c r="F1599" t="s">
        <v>1587</v>
      </c>
      <c r="K1599">
        <v>1904</v>
      </c>
      <c r="M1599" t="s">
        <v>222</v>
      </c>
      <c r="N1599" t="s">
        <v>228</v>
      </c>
      <c r="O1599" t="s">
        <v>5460</v>
      </c>
      <c r="P1599" t="s">
        <v>5461</v>
      </c>
      <c r="Q1599" t="str">
        <f>IF($C1599="","",IFERROR(VLOOKUP($C1599,sources!$A$2:$N$200,2,FALSE()),"?"))</f>
        <v>Newspaper</v>
      </c>
      <c r="S1599" t="str">
        <f>IF($C1599="","",IFERROR(VLOOKUP($C1599,sources!$A$2:$N$200,9,FALSE()),"?"))</f>
        <v>Panamanian</v>
      </c>
    </row>
    <row r="1600" spans="1:19" x14ac:dyDescent="0.2">
      <c r="A1600" t="s">
        <v>5462</v>
      </c>
      <c r="B1600" t="s">
        <v>426</v>
      </c>
      <c r="C1600" t="s">
        <v>1464</v>
      </c>
      <c r="D1600" t="s">
        <v>1599</v>
      </c>
      <c r="E1600" t="s">
        <v>427</v>
      </c>
      <c r="F1600" t="s">
        <v>1587</v>
      </c>
      <c r="K1600">
        <v>1911</v>
      </c>
      <c r="L1600">
        <v>1914</v>
      </c>
      <c r="M1600" t="s">
        <v>222</v>
      </c>
      <c r="N1600" t="s">
        <v>228</v>
      </c>
      <c r="O1600" t="s">
        <v>5350</v>
      </c>
      <c r="P1600" t="s">
        <v>5463</v>
      </c>
      <c r="Q1600" t="str">
        <f>IF($C1600="","",IFERROR(VLOOKUP($C1600,sources!$A$2:$N$200,2,FALSE()),"?"))</f>
        <v>Newspaper</v>
      </c>
      <c r="S1600" t="str">
        <f>IF($C1600="","",IFERROR(VLOOKUP($C1600,sources!$A$2:$N$200,9,FALSE()),"?"))</f>
        <v>Panamanian</v>
      </c>
    </row>
    <row r="1601" spans="1:19" x14ac:dyDescent="0.2">
      <c r="A1601" t="s">
        <v>5464</v>
      </c>
      <c r="B1601" t="s">
        <v>514</v>
      </c>
      <c r="C1601" t="s">
        <v>1464</v>
      </c>
      <c r="D1601" t="s">
        <v>1599</v>
      </c>
      <c r="E1601" t="s">
        <v>515</v>
      </c>
      <c r="F1601" t="s">
        <v>1587</v>
      </c>
      <c r="K1601">
        <v>1913</v>
      </c>
      <c r="L1601">
        <v>1913</v>
      </c>
      <c r="M1601" t="s">
        <v>222</v>
      </c>
      <c r="N1601" t="s">
        <v>228</v>
      </c>
      <c r="O1601" t="s">
        <v>5353</v>
      </c>
      <c r="P1601" t="s">
        <v>5465</v>
      </c>
      <c r="Q1601" t="str">
        <f>IF($C1601="","",IFERROR(VLOOKUP($C1601,sources!$A$2:$N$200,2,FALSE()),"?"))</f>
        <v>Newspaper</v>
      </c>
      <c r="S1601" t="str">
        <f>IF($C1601="","",IFERROR(VLOOKUP($C1601,sources!$A$2:$N$200,9,FALSE()),"?"))</f>
        <v>Panamanian</v>
      </c>
    </row>
    <row r="1602" spans="1:19" x14ac:dyDescent="0.2">
      <c r="A1602" t="s">
        <v>5466</v>
      </c>
      <c r="B1602" t="s">
        <v>509</v>
      </c>
      <c r="C1602" t="s">
        <v>1464</v>
      </c>
      <c r="D1602" t="s">
        <v>1599</v>
      </c>
      <c r="E1602" t="s">
        <v>510</v>
      </c>
      <c r="F1602" t="s">
        <v>1587</v>
      </c>
      <c r="N1602" t="s">
        <v>209</v>
      </c>
      <c r="O1602" t="s">
        <v>5321</v>
      </c>
      <c r="P1602" t="s">
        <v>5467</v>
      </c>
      <c r="Q1602" t="str">
        <f>IF($C1602="","",IFERROR(VLOOKUP($C1602,sources!$A$2:$N$200,2,FALSE()),"?"))</f>
        <v>Newspaper</v>
      </c>
      <c r="S1602" t="str">
        <f>IF($C1602="","",IFERROR(VLOOKUP($C1602,sources!$A$2:$N$200,9,FALSE()),"?"))</f>
        <v>Panamanian</v>
      </c>
    </row>
    <row r="1603" spans="1:19" x14ac:dyDescent="0.2">
      <c r="A1603" t="s">
        <v>5468</v>
      </c>
      <c r="B1603" t="s">
        <v>993</v>
      </c>
      <c r="C1603" t="s">
        <v>1330</v>
      </c>
      <c r="D1603" t="s">
        <v>1585</v>
      </c>
      <c r="E1603" t="s">
        <v>994</v>
      </c>
      <c r="F1603" t="s">
        <v>1612</v>
      </c>
      <c r="I1603" t="s">
        <v>1077</v>
      </c>
      <c r="K1603">
        <v>1910</v>
      </c>
      <c r="L1603">
        <v>1910</v>
      </c>
      <c r="M1603" t="s">
        <v>222</v>
      </c>
      <c r="N1603" t="s">
        <v>228</v>
      </c>
      <c r="O1603" t="s">
        <v>154</v>
      </c>
      <c r="P1603" t="s">
        <v>5469</v>
      </c>
      <c r="Q1603" t="str">
        <f>IF($C1603="","",IFERROR(VLOOKUP($C1603,sources!$A$2:$N$200,2,FALSE()),"?"))</f>
        <v>Map</v>
      </c>
      <c r="S1603" t="str">
        <f>IF($C1603="","",IFERROR(VLOOKUP($C1603,sources!$A$2:$N$200,9,FALSE()),"?"))</f>
        <v>US official</v>
      </c>
    </row>
    <row r="1604" spans="1:19" x14ac:dyDescent="0.2">
      <c r="A1604" t="s">
        <v>5470</v>
      </c>
      <c r="B1604" t="s">
        <v>990</v>
      </c>
      <c r="C1604" t="s">
        <v>1354</v>
      </c>
      <c r="D1604" t="s">
        <v>1594</v>
      </c>
      <c r="E1604" t="s">
        <v>5471</v>
      </c>
      <c r="F1604" t="s">
        <v>1612</v>
      </c>
      <c r="G1604">
        <v>8.9630759999999992</v>
      </c>
      <c r="H1604">
        <v>-79.544825000000003</v>
      </c>
      <c r="I1604" t="s">
        <v>4813</v>
      </c>
      <c r="J1604">
        <v>200</v>
      </c>
      <c r="K1604">
        <v>1906</v>
      </c>
      <c r="L1604">
        <v>1906</v>
      </c>
      <c r="M1604" t="s">
        <v>222</v>
      </c>
      <c r="N1604" t="s">
        <v>222</v>
      </c>
      <c r="O1604" t="s">
        <v>156</v>
      </c>
      <c r="P1604" t="s">
        <v>5472</v>
      </c>
      <c r="Q1604" t="str">
        <f>IF($C1604="","",IFERROR(VLOOKUP($C1604,sources!$A$2:$N$200,2,FALSE()),"?"))</f>
        <v>Map</v>
      </c>
      <c r="S1604" t="str">
        <f>IF($C1604="","",IFERROR(VLOOKUP($C1604,sources!$A$2:$N$200,9,FALSE()),"?"))</f>
        <v>US official</v>
      </c>
    </row>
    <row r="1605" spans="1:19" x14ac:dyDescent="0.2">
      <c r="A1605" t="s">
        <v>5473</v>
      </c>
      <c r="B1605" t="s">
        <v>990</v>
      </c>
      <c r="C1605" t="s">
        <v>1420</v>
      </c>
      <c r="D1605" t="s">
        <v>1594</v>
      </c>
      <c r="E1605" t="s">
        <v>5474</v>
      </c>
      <c r="F1605" t="s">
        <v>1612</v>
      </c>
      <c r="G1605">
        <v>8.9646000000000008</v>
      </c>
      <c r="H1605">
        <v>-79.546400000000006</v>
      </c>
      <c r="I1605" t="s">
        <v>4813</v>
      </c>
      <c r="J1605">
        <v>100</v>
      </c>
      <c r="K1605">
        <v>1947</v>
      </c>
      <c r="L1605">
        <v>1947</v>
      </c>
      <c r="M1605" t="s">
        <v>222</v>
      </c>
      <c r="N1605" t="s">
        <v>222</v>
      </c>
      <c r="O1605" t="s">
        <v>69</v>
      </c>
      <c r="P1605" t="s">
        <v>5475</v>
      </c>
      <c r="Q1605" t="str">
        <f>IF($C1605="","",IFERROR(VLOOKUP($C1605,sources!$A$2:$N$200,2,FALSE()),"?"))</f>
        <v>Map</v>
      </c>
      <c r="S1605" t="str">
        <f>IF($C1605="","",IFERROR(VLOOKUP($C1605,sources!$A$2:$N$200,9,FALSE()),"?"))</f>
        <v>US military</v>
      </c>
    </row>
    <row r="1606" spans="1:19" x14ac:dyDescent="0.2">
      <c r="A1606" t="s">
        <v>5476</v>
      </c>
      <c r="B1606" t="s">
        <v>993</v>
      </c>
      <c r="C1606" t="s">
        <v>1330</v>
      </c>
      <c r="D1606" t="s">
        <v>1594</v>
      </c>
      <c r="E1606" t="s">
        <v>994</v>
      </c>
      <c r="F1606" t="s">
        <v>1612</v>
      </c>
      <c r="G1606">
        <v>9.035736</v>
      </c>
      <c r="H1606">
        <v>-79.649771000000001</v>
      </c>
      <c r="I1606" t="s">
        <v>4813</v>
      </c>
      <c r="J1606">
        <v>250</v>
      </c>
      <c r="K1606">
        <v>1910</v>
      </c>
      <c r="L1606">
        <v>1910</v>
      </c>
      <c r="M1606" t="s">
        <v>222</v>
      </c>
      <c r="N1606" t="s">
        <v>222</v>
      </c>
      <c r="O1606" t="s">
        <v>154</v>
      </c>
      <c r="P1606" t="s">
        <v>5477</v>
      </c>
      <c r="Q1606" t="str">
        <f>IF($C1606="","",IFERROR(VLOOKUP($C1606,sources!$A$2:$N$200,2,FALSE()),"?"))</f>
        <v>Map</v>
      </c>
      <c r="S1606" t="str">
        <f>IF($C1606="","",IFERROR(VLOOKUP($C1606,sources!$A$2:$N$200,9,FALSE()),"?"))</f>
        <v>US official</v>
      </c>
    </row>
    <row r="1607" spans="1:19" x14ac:dyDescent="0.2">
      <c r="A1607" t="s">
        <v>5478</v>
      </c>
      <c r="B1607" t="s">
        <v>998</v>
      </c>
      <c r="C1607" t="s">
        <v>1354</v>
      </c>
      <c r="D1607" t="s">
        <v>1594</v>
      </c>
      <c r="E1607" t="s">
        <v>5479</v>
      </c>
      <c r="F1607" t="s">
        <v>1612</v>
      </c>
      <c r="G1607">
        <v>8.9533419999999992</v>
      </c>
      <c r="H1607">
        <v>-79.568161000000003</v>
      </c>
      <c r="I1607" t="s">
        <v>4813</v>
      </c>
      <c r="J1607">
        <v>300</v>
      </c>
      <c r="K1607">
        <v>1906</v>
      </c>
      <c r="L1607">
        <v>1906</v>
      </c>
      <c r="M1607" t="s">
        <v>222</v>
      </c>
      <c r="N1607" t="s">
        <v>222</v>
      </c>
      <c r="O1607" t="s">
        <v>156</v>
      </c>
      <c r="P1607" t="s">
        <v>5480</v>
      </c>
      <c r="Q1607" t="str">
        <f>IF($C1607="","",IFERROR(VLOOKUP($C1607,sources!$A$2:$N$200,2,FALSE()),"?"))</f>
        <v>Map</v>
      </c>
      <c r="S1607" t="str">
        <f>IF($C1607="","",IFERROR(VLOOKUP($C1607,sources!$A$2:$N$200,9,FALSE()),"?"))</f>
        <v>US official</v>
      </c>
    </row>
    <row r="1608" spans="1:19" x14ac:dyDescent="0.2">
      <c r="A1608" t="s">
        <v>5481</v>
      </c>
      <c r="B1608" t="s">
        <v>1002</v>
      </c>
      <c r="C1608" t="s">
        <v>1187</v>
      </c>
      <c r="D1608" t="s">
        <v>1594</v>
      </c>
      <c r="E1608" t="s">
        <v>1003</v>
      </c>
      <c r="F1608" t="s">
        <v>1612</v>
      </c>
      <c r="G1608">
        <v>9.0494800000000009</v>
      </c>
      <c r="H1608">
        <v>-79.659139999999994</v>
      </c>
      <c r="I1608" t="s">
        <v>4813</v>
      </c>
      <c r="J1608">
        <v>400</v>
      </c>
      <c r="K1608">
        <v>1911</v>
      </c>
      <c r="L1608">
        <v>1911</v>
      </c>
      <c r="M1608" t="s">
        <v>222</v>
      </c>
      <c r="N1608" t="s">
        <v>209</v>
      </c>
      <c r="O1608" t="s">
        <v>158</v>
      </c>
      <c r="P1608" t="s">
        <v>5482</v>
      </c>
      <c r="Q1608" t="str">
        <f>IF($C1608="","",IFERROR(VLOOKUP($C1608,sources!$A$2:$N$200,2,FALSE()),"?"))</f>
        <v>Map</v>
      </c>
      <c r="S1608" t="str">
        <f>IF($C1608="","",IFERROR(VLOOKUP($C1608,sources!$A$2:$N$200,9,FALSE()),"?"))</f>
        <v>US official</v>
      </c>
    </row>
    <row r="1609" spans="1:19" x14ac:dyDescent="0.2">
      <c r="A1609" t="s">
        <v>5483</v>
      </c>
      <c r="B1609" t="s">
        <v>947</v>
      </c>
      <c r="C1609" t="s">
        <v>1453</v>
      </c>
      <c r="D1609" t="s">
        <v>1594</v>
      </c>
      <c r="E1609" t="s">
        <v>394</v>
      </c>
      <c r="F1609" t="s">
        <v>1587</v>
      </c>
      <c r="G1609">
        <v>9.2539999999999996</v>
      </c>
      <c r="H1609">
        <v>-79.935000000000002</v>
      </c>
      <c r="I1609" t="s">
        <v>4813</v>
      </c>
      <c r="J1609">
        <v>800</v>
      </c>
      <c r="K1609">
        <v>1857</v>
      </c>
      <c r="L1609">
        <v>1857</v>
      </c>
      <c r="M1609" t="s">
        <v>222</v>
      </c>
      <c r="N1609" t="s">
        <v>228</v>
      </c>
      <c r="O1609" t="s">
        <v>60</v>
      </c>
      <c r="P1609" t="s">
        <v>5484</v>
      </c>
      <c r="Q1609" t="str">
        <f>IF($C1609="","",IFERROR(VLOOKUP($C1609,sources!$A$2:$N$200,2,FALSE()),"?"))</f>
        <v>Map</v>
      </c>
      <c r="S1609" t="str">
        <f>IF($C1609="","",IFERROR(VLOOKUP($C1609,sources!$A$2:$N$200,9,FALSE()),"?"))</f>
        <v>US corporate (PRR)</v>
      </c>
    </row>
    <row r="1610" spans="1:19" x14ac:dyDescent="0.2">
      <c r="A1610" t="s">
        <v>5485</v>
      </c>
      <c r="B1610" t="s">
        <v>730</v>
      </c>
      <c r="C1610" t="s">
        <v>1330</v>
      </c>
      <c r="D1610" t="s">
        <v>1594</v>
      </c>
      <c r="E1610" t="s">
        <v>5486</v>
      </c>
      <c r="F1610" t="s">
        <v>1612</v>
      </c>
      <c r="G1610">
        <v>9.0420879999999997</v>
      </c>
      <c r="H1610">
        <v>-79.650688000000002</v>
      </c>
      <c r="I1610" t="s">
        <v>4813</v>
      </c>
      <c r="J1610">
        <v>250</v>
      </c>
      <c r="K1610">
        <v>1910</v>
      </c>
      <c r="L1610">
        <v>1910</v>
      </c>
      <c r="M1610" t="s">
        <v>222</v>
      </c>
      <c r="N1610" t="s">
        <v>222</v>
      </c>
      <c r="O1610" t="s">
        <v>154</v>
      </c>
      <c r="P1610" t="s">
        <v>5487</v>
      </c>
      <c r="Q1610" t="str">
        <f>IF($C1610="","",IFERROR(VLOOKUP($C1610,sources!$A$2:$N$200,2,FALSE()),"?"))</f>
        <v>Map</v>
      </c>
      <c r="S1610" t="str">
        <f>IF($C1610="","",IFERROR(VLOOKUP($C1610,sources!$A$2:$N$200,9,FALSE()),"?"))</f>
        <v>US official</v>
      </c>
    </row>
    <row r="1611" spans="1:19" x14ac:dyDescent="0.2">
      <c r="A1611" t="s">
        <v>5488</v>
      </c>
      <c r="B1611" t="s">
        <v>733</v>
      </c>
      <c r="C1611" t="s">
        <v>1330</v>
      </c>
      <c r="D1611" t="s">
        <v>1594</v>
      </c>
      <c r="E1611" t="s">
        <v>5489</v>
      </c>
      <c r="F1611" t="s">
        <v>1612</v>
      </c>
      <c r="G1611">
        <v>9.0403140000000004</v>
      </c>
      <c r="H1611">
        <v>-79.649321999999998</v>
      </c>
      <c r="I1611" t="s">
        <v>4813</v>
      </c>
      <c r="J1611">
        <v>250</v>
      </c>
      <c r="K1611">
        <v>1910</v>
      </c>
      <c r="L1611">
        <v>1910</v>
      </c>
      <c r="M1611" t="s">
        <v>222</v>
      </c>
      <c r="N1611" t="s">
        <v>222</v>
      </c>
      <c r="O1611" t="s">
        <v>154</v>
      </c>
      <c r="P1611" t="s">
        <v>5490</v>
      </c>
      <c r="Q1611" t="str">
        <f>IF($C1611="","",IFERROR(VLOOKUP($C1611,sources!$A$2:$N$200,2,FALSE()),"?"))</f>
        <v>Map</v>
      </c>
      <c r="S1611" t="str">
        <f>IF($C1611="","",IFERROR(VLOOKUP($C1611,sources!$A$2:$N$200,9,FALSE()),"?"))</f>
        <v>US official</v>
      </c>
    </row>
    <row r="1612" spans="1:19" x14ac:dyDescent="0.2">
      <c r="A1612" t="s">
        <v>5491</v>
      </c>
      <c r="B1612" t="s">
        <v>736</v>
      </c>
      <c r="C1612" t="s">
        <v>1330</v>
      </c>
      <c r="D1612" t="s">
        <v>1594</v>
      </c>
      <c r="E1612" t="s">
        <v>5492</v>
      </c>
      <c r="F1612" t="s">
        <v>1612</v>
      </c>
      <c r="G1612">
        <v>9.0400569999999991</v>
      </c>
      <c r="H1612">
        <v>-79.648325</v>
      </c>
      <c r="I1612" t="s">
        <v>4813</v>
      </c>
      <c r="J1612">
        <v>250</v>
      </c>
      <c r="K1612">
        <v>1910</v>
      </c>
      <c r="L1612">
        <v>1910</v>
      </c>
      <c r="M1612" t="s">
        <v>222</v>
      </c>
      <c r="N1612" t="s">
        <v>222</v>
      </c>
      <c r="O1612" t="s">
        <v>154</v>
      </c>
      <c r="P1612" t="s">
        <v>5493</v>
      </c>
      <c r="Q1612" t="str">
        <f>IF($C1612="","",IFERROR(VLOOKUP($C1612,sources!$A$2:$N$200,2,FALSE()),"?"))</f>
        <v>Map</v>
      </c>
      <c r="S1612" t="str">
        <f>IF($C1612="","",IFERROR(VLOOKUP($C1612,sources!$A$2:$N$200,9,FALSE()),"?"))</f>
        <v>US official</v>
      </c>
    </row>
    <row r="1613" spans="1:19" x14ac:dyDescent="0.2">
      <c r="A1613" t="s">
        <v>5494</v>
      </c>
      <c r="B1613" t="s">
        <v>739</v>
      </c>
      <c r="C1613" t="s">
        <v>1330</v>
      </c>
      <c r="D1613" t="s">
        <v>1594</v>
      </c>
      <c r="E1613" t="s">
        <v>5495</v>
      </c>
      <c r="F1613" t="s">
        <v>1612</v>
      </c>
      <c r="G1613">
        <v>9.039631</v>
      </c>
      <c r="H1613">
        <v>-79.648622000000003</v>
      </c>
      <c r="I1613" t="s">
        <v>4813</v>
      </c>
      <c r="J1613">
        <v>250</v>
      </c>
      <c r="K1613">
        <v>1910</v>
      </c>
      <c r="L1613">
        <v>1910</v>
      </c>
      <c r="M1613" t="s">
        <v>222</v>
      </c>
      <c r="N1613" t="s">
        <v>222</v>
      </c>
      <c r="O1613" t="s">
        <v>154</v>
      </c>
      <c r="P1613" t="s">
        <v>5496</v>
      </c>
      <c r="Q1613" t="str">
        <f>IF($C1613="","",IFERROR(VLOOKUP($C1613,sources!$A$2:$N$200,2,FALSE()),"?"))</f>
        <v>Map</v>
      </c>
      <c r="S1613" t="str">
        <f>IF($C1613="","",IFERROR(VLOOKUP($C1613,sources!$A$2:$N$200,9,FALSE()),"?"))</f>
        <v>US official</v>
      </c>
    </row>
    <row r="1614" spans="1:19" x14ac:dyDescent="0.2">
      <c r="A1614" t="s">
        <v>5497</v>
      </c>
      <c r="B1614" t="s">
        <v>759</v>
      </c>
      <c r="C1614" t="s">
        <v>1330</v>
      </c>
      <c r="D1614" t="s">
        <v>1594</v>
      </c>
      <c r="E1614" t="s">
        <v>5498</v>
      </c>
      <c r="F1614" t="s">
        <v>1612</v>
      </c>
      <c r="G1614">
        <v>9.0382739999999995</v>
      </c>
      <c r="H1614">
        <v>-79.65137</v>
      </c>
      <c r="I1614" t="s">
        <v>4813</v>
      </c>
      <c r="J1614">
        <v>250</v>
      </c>
      <c r="K1614">
        <v>1910</v>
      </c>
      <c r="L1614">
        <v>1910</v>
      </c>
      <c r="M1614" t="s">
        <v>222</v>
      </c>
      <c r="N1614" t="s">
        <v>222</v>
      </c>
      <c r="O1614" t="s">
        <v>154</v>
      </c>
      <c r="P1614" t="s">
        <v>5499</v>
      </c>
      <c r="Q1614" t="str">
        <f>IF($C1614="","",IFERROR(VLOOKUP($C1614,sources!$A$2:$N$200,2,FALSE()),"?"))</f>
        <v>Map</v>
      </c>
      <c r="S1614" t="str">
        <f>IF($C1614="","",IFERROR(VLOOKUP($C1614,sources!$A$2:$N$200,9,FALSE()),"?"))</f>
        <v>US official</v>
      </c>
    </row>
    <row r="1615" spans="1:19" x14ac:dyDescent="0.2">
      <c r="A1615" t="s">
        <v>5500</v>
      </c>
      <c r="B1615" t="s">
        <v>266</v>
      </c>
      <c r="C1615" t="s">
        <v>1330</v>
      </c>
      <c r="D1615" t="s">
        <v>1594</v>
      </c>
      <c r="E1615" t="s">
        <v>5501</v>
      </c>
      <c r="F1615" t="s">
        <v>1612</v>
      </c>
      <c r="G1615">
        <v>9.0359999999999996</v>
      </c>
      <c r="H1615">
        <v>-79.646500000000003</v>
      </c>
      <c r="I1615" t="s">
        <v>4813</v>
      </c>
      <c r="J1615">
        <v>250</v>
      </c>
      <c r="K1615">
        <v>1910</v>
      </c>
      <c r="L1615">
        <v>1910</v>
      </c>
      <c r="M1615" t="s">
        <v>222</v>
      </c>
      <c r="N1615" t="s">
        <v>228</v>
      </c>
      <c r="O1615" t="s">
        <v>154</v>
      </c>
      <c r="P1615" t="s">
        <v>5502</v>
      </c>
      <c r="Q1615" t="str">
        <f>IF($C1615="","",IFERROR(VLOOKUP($C1615,sources!$A$2:$N$200,2,FALSE()),"?"))</f>
        <v>Map</v>
      </c>
      <c r="S1615" t="str">
        <f>IF($C1615="","",IFERROR(VLOOKUP($C1615,sources!$A$2:$N$200,9,FALSE()),"?"))</f>
        <v>US official</v>
      </c>
    </row>
    <row r="1616" spans="1:19" x14ac:dyDescent="0.2">
      <c r="A1616" t="s">
        <v>5503</v>
      </c>
      <c r="B1616" t="s">
        <v>742</v>
      </c>
      <c r="C1616" t="s">
        <v>1330</v>
      </c>
      <c r="D1616" t="s">
        <v>1594</v>
      </c>
      <c r="E1616" t="s">
        <v>5504</v>
      </c>
      <c r="F1616" t="s">
        <v>1612</v>
      </c>
      <c r="G1616">
        <v>9.0464269999999996</v>
      </c>
      <c r="H1616">
        <v>-79.654343999999995</v>
      </c>
      <c r="I1616" t="s">
        <v>4813</v>
      </c>
      <c r="J1616">
        <v>250</v>
      </c>
      <c r="K1616">
        <v>1910</v>
      </c>
      <c r="L1616">
        <v>1910</v>
      </c>
      <c r="M1616" t="s">
        <v>222</v>
      </c>
      <c r="N1616" t="s">
        <v>222</v>
      </c>
      <c r="O1616" t="s">
        <v>154</v>
      </c>
      <c r="P1616" t="s">
        <v>5505</v>
      </c>
      <c r="Q1616" t="str">
        <f>IF($C1616="","",IFERROR(VLOOKUP($C1616,sources!$A$2:$N$200,2,FALSE()),"?"))</f>
        <v>Map</v>
      </c>
      <c r="S1616" t="str">
        <f>IF($C1616="","",IFERROR(VLOOKUP($C1616,sources!$A$2:$N$200,9,FALSE()),"?"))</f>
        <v>US official</v>
      </c>
    </row>
    <row r="1617" spans="1:19" x14ac:dyDescent="0.2">
      <c r="A1617" t="s">
        <v>5506</v>
      </c>
      <c r="B1617" t="s">
        <v>322</v>
      </c>
      <c r="C1617" t="s">
        <v>1403</v>
      </c>
      <c r="D1617" t="s">
        <v>1599</v>
      </c>
      <c r="E1617" t="s">
        <v>5507</v>
      </c>
      <c r="F1617" t="s">
        <v>1587</v>
      </c>
      <c r="N1617" t="s">
        <v>228</v>
      </c>
      <c r="O1617" t="s">
        <v>5508</v>
      </c>
      <c r="P1617" t="s">
        <v>5509</v>
      </c>
      <c r="Q1617" t="str">
        <f>IF($C1617="","",IFERROR(VLOOKUP($C1617,sources!$A$2:$N$200,2,FALSE()),"?"))</f>
        <v>Newspaper</v>
      </c>
      <c r="S1617" t="str">
        <f>IF($C1617="","",IFERROR(VLOOKUP($C1617,sources!$A$2:$N$200,9,FALSE()),"?"))</f>
        <v>Caribbean community</v>
      </c>
    </row>
    <row r="1618" spans="1:19" x14ac:dyDescent="0.2">
      <c r="A1618" t="s">
        <v>5510</v>
      </c>
      <c r="B1618" t="s">
        <v>805</v>
      </c>
      <c r="C1618" t="s">
        <v>1473</v>
      </c>
      <c r="D1618" t="s">
        <v>1594</v>
      </c>
      <c r="E1618" t="s">
        <v>5511</v>
      </c>
      <c r="F1618" t="s">
        <v>1612</v>
      </c>
      <c r="G1618">
        <v>9.3454359999999994</v>
      </c>
      <c r="H1618">
        <v>-79.898892000000004</v>
      </c>
      <c r="I1618" t="s">
        <v>4813</v>
      </c>
      <c r="J1618">
        <v>150</v>
      </c>
      <c r="K1618">
        <v>1947</v>
      </c>
      <c r="L1618">
        <v>1947</v>
      </c>
      <c r="M1618" t="s">
        <v>222</v>
      </c>
      <c r="N1618" t="s">
        <v>222</v>
      </c>
      <c r="O1618" t="s">
        <v>5512</v>
      </c>
      <c r="P1618" t="s">
        <v>5513</v>
      </c>
      <c r="Q1618" t="str">
        <f>IF($C1618="","",IFERROR(VLOOKUP($C1618,sources!$A$2:$N$200,2,FALSE()),"?"))</f>
        <v>Map</v>
      </c>
      <c r="S1618" t="str">
        <f>IF($C1618="","",IFERROR(VLOOKUP($C1618,sources!$A$2:$N$200,9,FALSE()),"?"))</f>
        <v>US military</v>
      </c>
    </row>
    <row r="1619" spans="1:19" x14ac:dyDescent="0.2">
      <c r="A1619" t="s">
        <v>5514</v>
      </c>
      <c r="B1619" t="s">
        <v>1013</v>
      </c>
      <c r="C1619" t="s">
        <v>1473</v>
      </c>
      <c r="D1619" t="s">
        <v>1594</v>
      </c>
      <c r="E1619" t="s">
        <v>5515</v>
      </c>
      <c r="F1619" t="s">
        <v>1612</v>
      </c>
      <c r="G1619">
        <v>9.348122</v>
      </c>
      <c r="H1619">
        <v>-79.902413999999993</v>
      </c>
      <c r="I1619" t="s">
        <v>4813</v>
      </c>
      <c r="J1619">
        <v>200</v>
      </c>
      <c r="K1619">
        <v>1947</v>
      </c>
      <c r="L1619">
        <v>1947</v>
      </c>
      <c r="M1619" t="s">
        <v>222</v>
      </c>
      <c r="N1619" t="s">
        <v>222</v>
      </c>
      <c r="O1619" t="s">
        <v>5512</v>
      </c>
      <c r="P1619" t="s">
        <v>5516</v>
      </c>
      <c r="Q1619" t="str">
        <f>IF($C1619="","",IFERROR(VLOOKUP($C1619,sources!$A$2:$N$200,2,FALSE()),"?"))</f>
        <v>Map</v>
      </c>
      <c r="S1619" t="str">
        <f>IF($C1619="","",IFERROR(VLOOKUP($C1619,sources!$A$2:$N$200,9,FALSE()),"?"))</f>
        <v>US military</v>
      </c>
    </row>
    <row r="1620" spans="1:19" x14ac:dyDescent="0.2">
      <c r="A1620" t="s">
        <v>5517</v>
      </c>
      <c r="B1620" t="s">
        <v>1016</v>
      </c>
      <c r="C1620" t="s">
        <v>1473</v>
      </c>
      <c r="D1620" t="s">
        <v>1594</v>
      </c>
      <c r="E1620" t="s">
        <v>5518</v>
      </c>
      <c r="F1620" t="s">
        <v>1612</v>
      </c>
      <c r="G1620">
        <v>9.3375830000000004</v>
      </c>
      <c r="H1620">
        <v>-79.898343999999994</v>
      </c>
      <c r="I1620" t="s">
        <v>4813</v>
      </c>
      <c r="J1620">
        <v>200</v>
      </c>
      <c r="K1620">
        <v>1947</v>
      </c>
      <c r="L1620">
        <v>1947</v>
      </c>
      <c r="M1620" t="s">
        <v>222</v>
      </c>
      <c r="N1620" t="s">
        <v>222</v>
      </c>
      <c r="O1620" t="s">
        <v>5512</v>
      </c>
      <c r="P1620" t="s">
        <v>5519</v>
      </c>
      <c r="Q1620" t="str">
        <f>IF($C1620="","",IFERROR(VLOOKUP($C1620,sources!$A$2:$N$200,2,FALSE()),"?"))</f>
        <v>Map</v>
      </c>
      <c r="S1620" t="str">
        <f>IF($C1620="","",IFERROR(VLOOKUP($C1620,sources!$A$2:$N$200,9,FALSE()),"?"))</f>
        <v>US military</v>
      </c>
    </row>
    <row r="1621" spans="1:19" x14ac:dyDescent="0.2">
      <c r="A1621" t="s">
        <v>5520</v>
      </c>
      <c r="B1621" t="s">
        <v>1021</v>
      </c>
      <c r="C1621" t="s">
        <v>1473</v>
      </c>
      <c r="D1621" t="s">
        <v>1594</v>
      </c>
      <c r="E1621" t="s">
        <v>5521</v>
      </c>
      <c r="F1621" t="s">
        <v>1612</v>
      </c>
      <c r="G1621">
        <v>9.3659800000000004</v>
      </c>
      <c r="H1621">
        <v>-79.911299999999997</v>
      </c>
      <c r="I1621" t="s">
        <v>4813</v>
      </c>
      <c r="J1621">
        <v>250</v>
      </c>
      <c r="K1621">
        <v>1947</v>
      </c>
      <c r="L1621">
        <v>1947</v>
      </c>
      <c r="M1621" t="s">
        <v>222</v>
      </c>
      <c r="N1621" t="s">
        <v>222</v>
      </c>
      <c r="O1621" t="s">
        <v>5512</v>
      </c>
      <c r="P1621" t="s">
        <v>5522</v>
      </c>
      <c r="Q1621" t="str">
        <f>IF($C1621="","",IFERROR(VLOOKUP($C1621,sources!$A$2:$N$200,2,FALSE()),"?"))</f>
        <v>Map</v>
      </c>
      <c r="S1621" t="str">
        <f>IF($C1621="","",IFERROR(VLOOKUP($C1621,sources!$A$2:$N$200,9,FALSE()),"?"))</f>
        <v>US military</v>
      </c>
    </row>
    <row r="1622" spans="1:19" x14ac:dyDescent="0.2">
      <c r="A1622" t="s">
        <v>5523</v>
      </c>
      <c r="B1622" t="s">
        <v>349</v>
      </c>
      <c r="C1622" t="s">
        <v>1473</v>
      </c>
      <c r="D1622" t="s">
        <v>1594</v>
      </c>
      <c r="E1622" t="s">
        <v>5524</v>
      </c>
      <c r="F1622" t="s">
        <v>1612</v>
      </c>
      <c r="G1622">
        <v>9.3634740000000001</v>
      </c>
      <c r="H1622">
        <v>-79.901390000000006</v>
      </c>
      <c r="I1622" t="s">
        <v>4813</v>
      </c>
      <c r="J1622">
        <v>300</v>
      </c>
      <c r="K1622">
        <v>1947</v>
      </c>
      <c r="L1622">
        <v>1947</v>
      </c>
      <c r="M1622" t="s">
        <v>222</v>
      </c>
      <c r="N1622" t="s">
        <v>222</v>
      </c>
      <c r="O1622" t="s">
        <v>5512</v>
      </c>
      <c r="P1622" t="s">
        <v>5525</v>
      </c>
      <c r="Q1622" t="str">
        <f>IF($C1622="","",IFERROR(VLOOKUP($C1622,sources!$A$2:$N$200,2,FALSE()),"?"))</f>
        <v>Map</v>
      </c>
      <c r="S1622" t="str">
        <f>IF($C1622="","",IFERROR(VLOOKUP($C1622,sources!$A$2:$N$200,9,FALSE()),"?"))</f>
        <v>US military</v>
      </c>
    </row>
    <row r="1623" spans="1:19" x14ac:dyDescent="0.2">
      <c r="A1623" t="s">
        <v>5526</v>
      </c>
      <c r="B1623" t="s">
        <v>434</v>
      </c>
      <c r="C1623" t="s">
        <v>1473</v>
      </c>
      <c r="D1623" t="s">
        <v>1594</v>
      </c>
      <c r="E1623" t="s">
        <v>5527</v>
      </c>
      <c r="F1623" t="s">
        <v>1612</v>
      </c>
      <c r="G1623">
        <v>9.3401350000000001</v>
      </c>
      <c r="H1623">
        <v>-79.896996999999999</v>
      </c>
      <c r="I1623" t="s">
        <v>4813</v>
      </c>
      <c r="J1623">
        <v>250</v>
      </c>
      <c r="K1623">
        <v>1947</v>
      </c>
      <c r="L1623">
        <v>1947</v>
      </c>
      <c r="M1623" t="s">
        <v>222</v>
      </c>
      <c r="N1623" t="s">
        <v>222</v>
      </c>
      <c r="O1623" t="s">
        <v>5512</v>
      </c>
      <c r="P1623" t="s">
        <v>5528</v>
      </c>
      <c r="Q1623" t="str">
        <f>IF($C1623="","",IFERROR(VLOOKUP($C1623,sources!$A$2:$N$200,2,FALSE()),"?"))</f>
        <v>Map</v>
      </c>
      <c r="S1623" t="str">
        <f>IF($C1623="","",IFERROR(VLOOKUP($C1623,sources!$A$2:$N$200,9,FALSE()),"?"))</f>
        <v>US military</v>
      </c>
    </row>
    <row r="1624" spans="1:19" x14ac:dyDescent="0.2">
      <c r="A1624" t="s">
        <v>5529</v>
      </c>
      <c r="B1624" t="s">
        <v>534</v>
      </c>
      <c r="C1624" t="s">
        <v>1473</v>
      </c>
      <c r="D1624" t="s">
        <v>1594</v>
      </c>
      <c r="E1624" t="s">
        <v>5530</v>
      </c>
      <c r="F1624" t="s">
        <v>1612</v>
      </c>
      <c r="G1624">
        <v>9.3369440000000008</v>
      </c>
      <c r="H1624">
        <v>-79.892505</v>
      </c>
      <c r="I1624" t="s">
        <v>4813</v>
      </c>
      <c r="J1624">
        <v>400</v>
      </c>
      <c r="K1624">
        <v>1947</v>
      </c>
      <c r="L1624">
        <v>1947</v>
      </c>
      <c r="M1624" t="s">
        <v>222</v>
      </c>
      <c r="N1624" t="s">
        <v>228</v>
      </c>
      <c r="O1624" t="s">
        <v>5512</v>
      </c>
      <c r="P1624" t="s">
        <v>5531</v>
      </c>
      <c r="Q1624" t="str">
        <f>IF($C1624="","",IFERROR(VLOOKUP($C1624,sources!$A$2:$N$200,2,FALSE()),"?"))</f>
        <v>Map</v>
      </c>
      <c r="S1624" t="str">
        <f>IF($C1624="","",IFERROR(VLOOKUP($C1624,sources!$A$2:$N$200,9,FALSE()),"?"))</f>
        <v>US military</v>
      </c>
    </row>
    <row r="1625" spans="1:19" x14ac:dyDescent="0.2">
      <c r="A1625" t="s">
        <v>5532</v>
      </c>
      <c r="B1625" t="s">
        <v>491</v>
      </c>
      <c r="C1625" t="s">
        <v>1480</v>
      </c>
      <c r="D1625" t="s">
        <v>1599</v>
      </c>
      <c r="E1625" t="s">
        <v>492</v>
      </c>
      <c r="F1625" t="s">
        <v>1612</v>
      </c>
      <c r="I1625" t="s">
        <v>1077</v>
      </c>
      <c r="K1625">
        <v>1927</v>
      </c>
      <c r="L1625">
        <v>1927</v>
      </c>
      <c r="M1625" t="s">
        <v>209</v>
      </c>
      <c r="N1625" t="s">
        <v>228</v>
      </c>
      <c r="O1625" t="s">
        <v>5533</v>
      </c>
      <c r="P1625" t="s">
        <v>5534</v>
      </c>
      <c r="Q1625" t="str">
        <f>IF($C1625="","",IFERROR(VLOOKUP($C1625,sources!$A$2:$N$200,2,FALSE()),"?"))</f>
        <v>Map</v>
      </c>
      <c r="S1625" t="str">
        <f>IF($C1625="","",IFERROR(VLOOKUP($C1625,sources!$A$2:$N$200,9,FALSE()),"?"))</f>
        <v>US commercial</v>
      </c>
    </row>
    <row r="1626" spans="1:19" x14ac:dyDescent="0.2">
      <c r="A1626" t="s">
        <v>5535</v>
      </c>
      <c r="B1626" t="s">
        <v>662</v>
      </c>
      <c r="C1626" t="s">
        <v>1480</v>
      </c>
      <c r="D1626" t="s">
        <v>1599</v>
      </c>
      <c r="E1626" t="s">
        <v>663</v>
      </c>
      <c r="F1626" t="s">
        <v>1612</v>
      </c>
      <c r="I1626" t="s">
        <v>1077</v>
      </c>
      <c r="K1626">
        <v>1927</v>
      </c>
      <c r="L1626">
        <v>1927</v>
      </c>
      <c r="M1626" t="s">
        <v>209</v>
      </c>
      <c r="N1626" t="s">
        <v>228</v>
      </c>
      <c r="O1626" t="s">
        <v>5533</v>
      </c>
      <c r="P1626" t="s">
        <v>5536</v>
      </c>
      <c r="Q1626" t="str">
        <f>IF($C1626="","",IFERROR(VLOOKUP($C1626,sources!$A$2:$N$200,2,FALSE()),"?"))</f>
        <v>Map</v>
      </c>
      <c r="S1626" t="str">
        <f>IF($C1626="","",IFERROR(VLOOKUP($C1626,sources!$A$2:$N$200,9,FALSE()),"?"))</f>
        <v>US commercial</v>
      </c>
    </row>
    <row r="1627" spans="1:19" x14ac:dyDescent="0.2">
      <c r="A1627" t="s">
        <v>5537</v>
      </c>
      <c r="B1627" t="s">
        <v>658</v>
      </c>
      <c r="C1627" t="s">
        <v>1480</v>
      </c>
      <c r="D1627" t="s">
        <v>1599</v>
      </c>
      <c r="E1627" t="s">
        <v>659</v>
      </c>
      <c r="F1627" t="s">
        <v>1612</v>
      </c>
      <c r="I1627" t="s">
        <v>1077</v>
      </c>
      <c r="K1627">
        <v>1927</v>
      </c>
      <c r="L1627">
        <v>1927</v>
      </c>
      <c r="M1627" t="s">
        <v>209</v>
      </c>
      <c r="N1627" t="s">
        <v>228</v>
      </c>
      <c r="O1627" t="s">
        <v>5533</v>
      </c>
      <c r="P1627" t="s">
        <v>5538</v>
      </c>
      <c r="Q1627" t="str">
        <f>IF($C1627="","",IFERROR(VLOOKUP($C1627,sources!$A$2:$N$200,2,FALSE()),"?"))</f>
        <v>Map</v>
      </c>
      <c r="S1627" t="str">
        <f>IF($C1627="","",IFERROR(VLOOKUP($C1627,sources!$A$2:$N$200,9,FALSE()),"?"))</f>
        <v>US commercial</v>
      </c>
    </row>
    <row r="1628" spans="1:19" x14ac:dyDescent="0.2">
      <c r="A1628" t="s">
        <v>5539</v>
      </c>
      <c r="B1628" t="s">
        <v>668</v>
      </c>
      <c r="C1628" t="s">
        <v>1480</v>
      </c>
      <c r="D1628" t="s">
        <v>1599</v>
      </c>
      <c r="E1628" t="s">
        <v>5540</v>
      </c>
      <c r="F1628" t="s">
        <v>1612</v>
      </c>
      <c r="I1628" t="s">
        <v>1077</v>
      </c>
      <c r="K1628">
        <v>1927</v>
      </c>
      <c r="L1628">
        <v>1927</v>
      </c>
      <c r="M1628" t="s">
        <v>209</v>
      </c>
      <c r="N1628" t="s">
        <v>228</v>
      </c>
      <c r="O1628" t="s">
        <v>5533</v>
      </c>
      <c r="P1628" t="s">
        <v>5541</v>
      </c>
      <c r="Q1628" t="str">
        <f>IF($C1628="","",IFERROR(VLOOKUP($C1628,sources!$A$2:$N$200,2,FALSE()),"?"))</f>
        <v>Map</v>
      </c>
      <c r="S1628" t="str">
        <f>IF($C1628="","",IFERROR(VLOOKUP($C1628,sources!$A$2:$N$200,9,FALSE()),"?"))</f>
        <v>US commercial</v>
      </c>
    </row>
    <row r="1629" spans="1:19" x14ac:dyDescent="0.2">
      <c r="A1629" t="s">
        <v>5542</v>
      </c>
      <c r="B1629" t="s">
        <v>654</v>
      </c>
      <c r="C1629" t="s">
        <v>1480</v>
      </c>
      <c r="D1629" t="s">
        <v>1599</v>
      </c>
      <c r="E1629" t="s">
        <v>655</v>
      </c>
      <c r="F1629" t="s">
        <v>1612</v>
      </c>
      <c r="I1629" t="s">
        <v>1077</v>
      </c>
      <c r="K1629">
        <v>1927</v>
      </c>
      <c r="L1629">
        <v>1927</v>
      </c>
      <c r="M1629" t="s">
        <v>209</v>
      </c>
      <c r="N1629" t="s">
        <v>228</v>
      </c>
      <c r="O1629" t="s">
        <v>5533</v>
      </c>
      <c r="P1629" t="s">
        <v>5543</v>
      </c>
      <c r="Q1629" t="str">
        <f>IF($C1629="","",IFERROR(VLOOKUP($C1629,sources!$A$2:$N$200,2,FALSE()),"?"))</f>
        <v>Map</v>
      </c>
      <c r="S1629" t="str">
        <f>IF($C1629="","",IFERROR(VLOOKUP($C1629,sources!$A$2:$N$200,9,FALSE()),"?"))</f>
        <v>US commercial</v>
      </c>
    </row>
    <row r="1630" spans="1:19" x14ac:dyDescent="0.2">
      <c r="A1630" t="s">
        <v>5544</v>
      </c>
      <c r="B1630" t="s">
        <v>503</v>
      </c>
      <c r="C1630" t="s">
        <v>1480</v>
      </c>
      <c r="D1630" t="s">
        <v>1599</v>
      </c>
      <c r="E1630" t="s">
        <v>504</v>
      </c>
      <c r="F1630" t="s">
        <v>1612</v>
      </c>
      <c r="I1630" t="s">
        <v>1077</v>
      </c>
      <c r="K1630">
        <v>1927</v>
      </c>
      <c r="L1630">
        <v>1927</v>
      </c>
      <c r="M1630" t="s">
        <v>209</v>
      </c>
      <c r="N1630" t="s">
        <v>228</v>
      </c>
      <c r="O1630" t="s">
        <v>5533</v>
      </c>
      <c r="P1630" t="s">
        <v>5545</v>
      </c>
      <c r="Q1630" t="str">
        <f>IF($C1630="","",IFERROR(VLOOKUP($C1630,sources!$A$2:$N$200,2,FALSE()),"?"))</f>
        <v>Map</v>
      </c>
      <c r="S1630" t="str">
        <f>IF($C1630="","",IFERROR(VLOOKUP($C1630,sources!$A$2:$N$200,9,FALSE()),"?"))</f>
        <v>US commercial</v>
      </c>
    </row>
    <row r="1631" spans="1:19" x14ac:dyDescent="0.2">
      <c r="A1631" t="s">
        <v>5546</v>
      </c>
      <c r="B1631" t="s">
        <v>526</v>
      </c>
      <c r="C1631" t="s">
        <v>1480</v>
      </c>
      <c r="D1631" t="s">
        <v>1599</v>
      </c>
      <c r="E1631" t="s">
        <v>527</v>
      </c>
      <c r="F1631" t="s">
        <v>1612</v>
      </c>
      <c r="I1631" t="s">
        <v>1077</v>
      </c>
      <c r="K1631">
        <v>1927</v>
      </c>
      <c r="L1631">
        <v>1927</v>
      </c>
      <c r="M1631" t="s">
        <v>209</v>
      </c>
      <c r="N1631" t="s">
        <v>228</v>
      </c>
      <c r="O1631" t="s">
        <v>5533</v>
      </c>
      <c r="P1631" t="s">
        <v>5545</v>
      </c>
      <c r="Q1631" t="str">
        <f>IF($C1631="","",IFERROR(VLOOKUP($C1631,sources!$A$2:$N$200,2,FALSE()),"?"))</f>
        <v>Map</v>
      </c>
      <c r="S1631" t="str">
        <f>IF($C1631="","",IFERROR(VLOOKUP($C1631,sources!$A$2:$N$200,9,FALSE()),"?"))</f>
        <v>US commercial</v>
      </c>
    </row>
    <row r="1632" spans="1:19" x14ac:dyDescent="0.2">
      <c r="A1632" t="s">
        <v>5547</v>
      </c>
      <c r="B1632" t="s">
        <v>218</v>
      </c>
      <c r="C1632" t="s">
        <v>1480</v>
      </c>
      <c r="D1632" t="s">
        <v>1599</v>
      </c>
      <c r="E1632" t="s">
        <v>219</v>
      </c>
      <c r="F1632" t="s">
        <v>1612</v>
      </c>
      <c r="I1632" t="s">
        <v>1077</v>
      </c>
      <c r="M1632" t="s">
        <v>209</v>
      </c>
      <c r="N1632" t="s">
        <v>228</v>
      </c>
      <c r="O1632" t="s">
        <v>5533</v>
      </c>
      <c r="P1632" t="s">
        <v>5548</v>
      </c>
      <c r="Q1632" t="str">
        <f>IF($C1632="","",IFERROR(VLOOKUP($C1632,sources!$A$2:$N$200,2,FALSE()),"?"))</f>
        <v>Map</v>
      </c>
      <c r="S1632" t="str">
        <f>IF($C1632="","",IFERROR(VLOOKUP($C1632,sources!$A$2:$N$200,9,FALSE()),"?"))</f>
        <v>US commercial</v>
      </c>
    </row>
    <row r="1633" spans="1:19" x14ac:dyDescent="0.2">
      <c r="A1633" t="s">
        <v>5549</v>
      </c>
      <c r="B1633" t="s">
        <v>466</v>
      </c>
      <c r="C1633" t="s">
        <v>1480</v>
      </c>
      <c r="D1633" t="s">
        <v>1599</v>
      </c>
      <c r="E1633" t="s">
        <v>5550</v>
      </c>
      <c r="F1633" t="s">
        <v>1612</v>
      </c>
      <c r="I1633" t="s">
        <v>1077</v>
      </c>
      <c r="K1633">
        <v>1927</v>
      </c>
      <c r="L1633">
        <v>1927</v>
      </c>
      <c r="M1633" t="s">
        <v>209</v>
      </c>
      <c r="N1633" t="s">
        <v>228</v>
      </c>
      <c r="O1633" t="s">
        <v>5533</v>
      </c>
      <c r="P1633" t="s">
        <v>5551</v>
      </c>
      <c r="Q1633" t="str">
        <f>IF($C1633="","",IFERROR(VLOOKUP($C1633,sources!$A$2:$N$200,2,FALSE()),"?"))</f>
        <v>Map</v>
      </c>
      <c r="S1633" t="str">
        <f>IF($C1633="","",IFERROR(VLOOKUP($C1633,sources!$A$2:$N$200,9,FALSE()),"?"))</f>
        <v>US commercial</v>
      </c>
    </row>
    <row r="1634" spans="1:19" x14ac:dyDescent="0.2">
      <c r="A1634" t="s">
        <v>5552</v>
      </c>
      <c r="B1634" t="s">
        <v>417</v>
      </c>
      <c r="C1634" t="s">
        <v>1480</v>
      </c>
      <c r="D1634" t="s">
        <v>1599</v>
      </c>
      <c r="E1634" t="s">
        <v>418</v>
      </c>
      <c r="F1634" t="s">
        <v>1612</v>
      </c>
      <c r="I1634" t="s">
        <v>1077</v>
      </c>
      <c r="M1634" t="s">
        <v>209</v>
      </c>
      <c r="N1634" t="s">
        <v>228</v>
      </c>
      <c r="O1634" t="s">
        <v>5533</v>
      </c>
      <c r="P1634" t="s">
        <v>5553</v>
      </c>
      <c r="Q1634" t="str">
        <f>IF($C1634="","",IFERROR(VLOOKUP($C1634,sources!$A$2:$N$200,2,FALSE()),"?"))</f>
        <v>Map</v>
      </c>
      <c r="S1634" t="str">
        <f>IF($C1634="","",IFERROR(VLOOKUP($C1634,sources!$A$2:$N$200,9,FALSE()),"?"))</f>
        <v>US commercial</v>
      </c>
    </row>
    <row r="1635" spans="1:19" x14ac:dyDescent="0.2">
      <c r="A1635" t="s">
        <v>5554</v>
      </c>
      <c r="B1635" t="s">
        <v>599</v>
      </c>
      <c r="C1635" t="s">
        <v>1480</v>
      </c>
      <c r="D1635" t="s">
        <v>1599</v>
      </c>
      <c r="E1635" t="s">
        <v>600</v>
      </c>
      <c r="F1635" t="s">
        <v>1612</v>
      </c>
      <c r="I1635" t="s">
        <v>1077</v>
      </c>
      <c r="M1635" t="s">
        <v>209</v>
      </c>
      <c r="N1635" t="s">
        <v>228</v>
      </c>
      <c r="O1635" t="s">
        <v>5533</v>
      </c>
      <c r="P1635" t="s">
        <v>5555</v>
      </c>
      <c r="Q1635" t="str">
        <f>IF($C1635="","",IFERROR(VLOOKUP($C1635,sources!$A$2:$N$200,2,FALSE()),"?"))</f>
        <v>Map</v>
      </c>
      <c r="S1635" t="str">
        <f>IF($C1635="","",IFERROR(VLOOKUP($C1635,sources!$A$2:$N$200,9,FALSE()),"?"))</f>
        <v>US commercial</v>
      </c>
    </row>
    <row r="1636" spans="1:19" x14ac:dyDescent="0.2">
      <c r="A1636" t="s">
        <v>5556</v>
      </c>
      <c r="B1636" t="s">
        <v>448</v>
      </c>
      <c r="C1636" t="s">
        <v>1480</v>
      </c>
      <c r="D1636" t="s">
        <v>1599</v>
      </c>
      <c r="E1636" t="s">
        <v>449</v>
      </c>
      <c r="F1636" t="s">
        <v>1612</v>
      </c>
      <c r="I1636" t="s">
        <v>1077</v>
      </c>
      <c r="K1636">
        <v>1927</v>
      </c>
      <c r="L1636">
        <v>1927</v>
      </c>
      <c r="M1636" t="s">
        <v>209</v>
      </c>
      <c r="N1636" t="s">
        <v>228</v>
      </c>
      <c r="O1636" t="s">
        <v>5533</v>
      </c>
      <c r="P1636" t="s">
        <v>5557</v>
      </c>
      <c r="Q1636" t="str">
        <f>IF($C1636="","",IFERROR(VLOOKUP($C1636,sources!$A$2:$N$200,2,FALSE()),"?"))</f>
        <v>Map</v>
      </c>
      <c r="S1636" t="str">
        <f>IF($C1636="","",IFERROR(VLOOKUP($C1636,sources!$A$2:$N$200,9,FALSE()),"?"))</f>
        <v>US commercial</v>
      </c>
    </row>
    <row r="1637" spans="1:19" x14ac:dyDescent="0.2">
      <c r="A1637" t="s">
        <v>5558</v>
      </c>
      <c r="B1637" t="s">
        <v>805</v>
      </c>
      <c r="C1637" t="s">
        <v>1488</v>
      </c>
      <c r="D1637" t="s">
        <v>1585</v>
      </c>
      <c r="E1637" t="s">
        <v>4960</v>
      </c>
      <c r="F1637" t="s">
        <v>1612</v>
      </c>
      <c r="I1637" t="s">
        <v>1077</v>
      </c>
      <c r="K1637">
        <v>1973</v>
      </c>
      <c r="L1637">
        <v>1973</v>
      </c>
      <c r="M1637" t="s">
        <v>222</v>
      </c>
      <c r="N1637" t="s">
        <v>222</v>
      </c>
      <c r="O1637" t="s">
        <v>5559</v>
      </c>
      <c r="P1637" t="s">
        <v>5560</v>
      </c>
      <c r="Q1637" t="str">
        <f>IF($C1637="","",IFERROR(VLOOKUP($C1637,sources!$A$2:$N$200,2,FALSE()),"?"))</f>
        <v>Map</v>
      </c>
      <c r="S1637" t="str">
        <f>IF($C1637="","",IFERROR(VLOOKUP($C1637,sources!$A$2:$N$200,9,FALSE()),"?"))</f>
        <v>US official</v>
      </c>
    </row>
    <row r="1638" spans="1:19" x14ac:dyDescent="0.2">
      <c r="A1638" t="s">
        <v>5561</v>
      </c>
      <c r="B1638" t="s">
        <v>534</v>
      </c>
      <c r="C1638" t="s">
        <v>1488</v>
      </c>
      <c r="D1638" t="s">
        <v>1599</v>
      </c>
      <c r="E1638" t="s">
        <v>535</v>
      </c>
      <c r="F1638" t="s">
        <v>1612</v>
      </c>
      <c r="I1638" t="s">
        <v>1077</v>
      </c>
      <c r="K1638">
        <v>1973</v>
      </c>
      <c r="L1638">
        <v>1973</v>
      </c>
      <c r="M1638" t="s">
        <v>222</v>
      </c>
      <c r="N1638" t="s">
        <v>222</v>
      </c>
      <c r="O1638" t="s">
        <v>5559</v>
      </c>
      <c r="P1638" t="s">
        <v>5562</v>
      </c>
      <c r="Q1638" t="str">
        <f>IF($C1638="","",IFERROR(VLOOKUP($C1638,sources!$A$2:$N$200,2,FALSE()),"?"))</f>
        <v>Map</v>
      </c>
      <c r="S1638" t="str">
        <f>IF($C1638="","",IFERROR(VLOOKUP($C1638,sources!$A$2:$N$200,9,FALSE()),"?"))</f>
        <v>US official</v>
      </c>
    </row>
    <row r="1639" spans="1:19" x14ac:dyDescent="0.2">
      <c r="A1639" t="s">
        <v>5563</v>
      </c>
      <c r="B1639" t="s">
        <v>539</v>
      </c>
      <c r="C1639" t="s">
        <v>1488</v>
      </c>
      <c r="D1639" t="s">
        <v>1599</v>
      </c>
      <c r="E1639" t="s">
        <v>5564</v>
      </c>
      <c r="F1639" t="s">
        <v>1612</v>
      </c>
      <c r="I1639" t="s">
        <v>1077</v>
      </c>
      <c r="K1639">
        <v>1973</v>
      </c>
      <c r="L1639">
        <v>1973</v>
      </c>
      <c r="M1639" t="s">
        <v>222</v>
      </c>
      <c r="N1639" t="s">
        <v>222</v>
      </c>
      <c r="O1639" t="s">
        <v>5559</v>
      </c>
      <c r="P1639" t="s">
        <v>5565</v>
      </c>
      <c r="Q1639" t="str">
        <f>IF($C1639="","",IFERROR(VLOOKUP($C1639,sources!$A$2:$N$200,2,FALSE()),"?"))</f>
        <v>Map</v>
      </c>
      <c r="S1639" t="str">
        <f>IF($C1639="","",IFERROR(VLOOKUP($C1639,sources!$A$2:$N$200,9,FALSE()),"?"))</f>
        <v>US official</v>
      </c>
    </row>
    <row r="1640" spans="1:19" x14ac:dyDescent="0.2">
      <c r="A1640" t="s">
        <v>5566</v>
      </c>
      <c r="B1640" t="s">
        <v>238</v>
      </c>
      <c r="C1640" t="s">
        <v>1494</v>
      </c>
      <c r="D1640" t="s">
        <v>1599</v>
      </c>
      <c r="E1640" t="s">
        <v>5567</v>
      </c>
      <c r="F1640" t="s">
        <v>3285</v>
      </c>
      <c r="I1640" t="s">
        <v>1077</v>
      </c>
      <c r="K1640">
        <v>1844</v>
      </c>
      <c r="L1640">
        <v>1844</v>
      </c>
      <c r="M1640" t="s">
        <v>222</v>
      </c>
      <c r="N1640" t="s">
        <v>222</v>
      </c>
      <c r="O1640" t="s">
        <v>5568</v>
      </c>
      <c r="P1640" t="s">
        <v>5569</v>
      </c>
      <c r="Q1640" t="str">
        <f>IF($C1640="","",IFERROR(VLOOKUP($C1640,sources!$A$2:$N$200,2,FALSE()),"?"))</f>
        <v>Map</v>
      </c>
      <c r="S1640" t="str">
        <f>IF($C1640="","",IFERROR(VLOOKUP($C1640,sources!$A$2:$N$200,9,FALSE()),"?"))</f>
        <v>French state survey</v>
      </c>
    </row>
    <row r="1641" spans="1:19" x14ac:dyDescent="0.2">
      <c r="A1641" t="s">
        <v>5570</v>
      </c>
      <c r="B1641" t="s">
        <v>947</v>
      </c>
      <c r="C1641" t="s">
        <v>1494</v>
      </c>
      <c r="D1641" t="s">
        <v>1599</v>
      </c>
      <c r="E1641" t="s">
        <v>394</v>
      </c>
      <c r="F1641" t="s">
        <v>1587</v>
      </c>
      <c r="I1641" t="s">
        <v>1077</v>
      </c>
      <c r="K1641">
        <v>1844</v>
      </c>
      <c r="L1641">
        <v>1844</v>
      </c>
      <c r="M1641" t="s">
        <v>222</v>
      </c>
      <c r="N1641" t="s">
        <v>222</v>
      </c>
      <c r="O1641" t="s">
        <v>5568</v>
      </c>
      <c r="P1641" t="s">
        <v>5571</v>
      </c>
      <c r="Q1641" t="str">
        <f>IF($C1641="","",IFERROR(VLOOKUP($C1641,sources!$A$2:$N$200,2,FALSE()),"?"))</f>
        <v>Map</v>
      </c>
      <c r="S1641" t="str">
        <f>IF($C1641="","",IFERROR(VLOOKUP($C1641,sources!$A$2:$N$200,9,FALSE()),"?"))</f>
        <v>French state survey</v>
      </c>
    </row>
    <row r="1642" spans="1:19" x14ac:dyDescent="0.2">
      <c r="A1642" t="s">
        <v>5572</v>
      </c>
      <c r="B1642" t="s">
        <v>514</v>
      </c>
      <c r="C1642" t="s">
        <v>1494</v>
      </c>
      <c r="D1642" t="s">
        <v>1599</v>
      </c>
      <c r="E1642" t="s">
        <v>5573</v>
      </c>
      <c r="F1642" t="s">
        <v>1587</v>
      </c>
      <c r="I1642" t="s">
        <v>1077</v>
      </c>
      <c r="K1642">
        <v>1844</v>
      </c>
      <c r="L1642">
        <v>1844</v>
      </c>
      <c r="M1642" t="s">
        <v>222</v>
      </c>
      <c r="N1642" t="s">
        <v>222</v>
      </c>
      <c r="O1642" t="s">
        <v>5568</v>
      </c>
      <c r="P1642" t="s">
        <v>5574</v>
      </c>
      <c r="Q1642" t="str">
        <f>IF($C1642="","",IFERROR(VLOOKUP($C1642,sources!$A$2:$N$200,2,FALSE()),"?"))</f>
        <v>Map</v>
      </c>
      <c r="S1642" t="str">
        <f>IF($C1642="","",IFERROR(VLOOKUP($C1642,sources!$A$2:$N$200,9,FALSE()),"?"))</f>
        <v>French state survey</v>
      </c>
    </row>
    <row r="1643" spans="1:19" x14ac:dyDescent="0.2">
      <c r="A1643" t="s">
        <v>5575</v>
      </c>
      <c r="B1643" t="s">
        <v>284</v>
      </c>
      <c r="C1643" t="s">
        <v>1494</v>
      </c>
      <c r="D1643" t="s">
        <v>1585</v>
      </c>
      <c r="E1643" t="s">
        <v>5576</v>
      </c>
      <c r="F1643" t="s">
        <v>1587</v>
      </c>
      <c r="I1643" t="s">
        <v>1077</v>
      </c>
      <c r="K1643">
        <v>1844</v>
      </c>
      <c r="L1643">
        <v>1844</v>
      </c>
      <c r="M1643" t="s">
        <v>222</v>
      </c>
      <c r="N1643" t="s">
        <v>222</v>
      </c>
      <c r="O1643" t="s">
        <v>5568</v>
      </c>
      <c r="P1643" t="s">
        <v>5577</v>
      </c>
      <c r="Q1643" t="str">
        <f>IF($C1643="","",IFERROR(VLOOKUP($C1643,sources!$A$2:$N$200,2,FALSE()),"?"))</f>
        <v>Map</v>
      </c>
      <c r="S1643" t="str">
        <f>IF($C1643="","",IFERROR(VLOOKUP($C1643,sources!$A$2:$N$200,9,FALSE()),"?"))</f>
        <v>French state survey</v>
      </c>
    </row>
    <row r="1644" spans="1:19" x14ac:dyDescent="0.2">
      <c r="A1644" t="s">
        <v>5578</v>
      </c>
      <c r="B1644" t="s">
        <v>382</v>
      </c>
      <c r="C1644" t="s">
        <v>1494</v>
      </c>
      <c r="D1644" t="s">
        <v>1599</v>
      </c>
      <c r="E1644" t="s">
        <v>383</v>
      </c>
      <c r="F1644" t="s">
        <v>1587</v>
      </c>
      <c r="I1644" t="s">
        <v>1077</v>
      </c>
      <c r="K1644">
        <v>1844</v>
      </c>
      <c r="L1644">
        <v>1844</v>
      </c>
      <c r="M1644" t="s">
        <v>222</v>
      </c>
      <c r="N1644" t="s">
        <v>222</v>
      </c>
      <c r="O1644" t="s">
        <v>5568</v>
      </c>
      <c r="P1644" t="s">
        <v>5579</v>
      </c>
      <c r="Q1644" t="str">
        <f>IF($C1644="","",IFERROR(VLOOKUP($C1644,sources!$A$2:$N$200,2,FALSE()),"?"))</f>
        <v>Map</v>
      </c>
      <c r="S1644" t="str">
        <f>IF($C1644="","",IFERROR(VLOOKUP($C1644,sources!$A$2:$N$200,9,FALSE()),"?"))</f>
        <v>French state survey</v>
      </c>
    </row>
    <row r="1645" spans="1:19" x14ac:dyDescent="0.2">
      <c r="A1645" t="s">
        <v>5580</v>
      </c>
      <c r="B1645" t="s">
        <v>213</v>
      </c>
      <c r="C1645" t="s">
        <v>1494</v>
      </c>
      <c r="D1645" t="s">
        <v>1599</v>
      </c>
      <c r="E1645" t="s">
        <v>5581</v>
      </c>
      <c r="F1645" t="s">
        <v>1587</v>
      </c>
      <c r="I1645" t="s">
        <v>1077</v>
      </c>
      <c r="K1645">
        <v>1844</v>
      </c>
      <c r="L1645">
        <v>1844</v>
      </c>
      <c r="M1645" t="s">
        <v>222</v>
      </c>
      <c r="N1645" t="s">
        <v>222</v>
      </c>
      <c r="O1645" t="s">
        <v>5568</v>
      </c>
      <c r="P1645" t="s">
        <v>5582</v>
      </c>
      <c r="Q1645" t="str">
        <f>IF($C1645="","",IFERROR(VLOOKUP($C1645,sources!$A$2:$N$200,2,FALSE()),"?"))</f>
        <v>Map</v>
      </c>
      <c r="S1645" t="str">
        <f>IF($C1645="","",IFERROR(VLOOKUP($C1645,sources!$A$2:$N$200,9,FALSE()),"?"))</f>
        <v>French state survey</v>
      </c>
    </row>
    <row r="1646" spans="1:19" x14ac:dyDescent="0.2">
      <c r="A1646" t="s">
        <v>5583</v>
      </c>
      <c r="B1646" t="s">
        <v>234</v>
      </c>
      <c r="C1646" t="s">
        <v>1494</v>
      </c>
      <c r="D1646" t="s">
        <v>1599</v>
      </c>
      <c r="E1646" t="s">
        <v>5584</v>
      </c>
      <c r="F1646" t="s">
        <v>1587</v>
      </c>
      <c r="I1646" t="s">
        <v>1077</v>
      </c>
      <c r="K1646">
        <v>1844</v>
      </c>
      <c r="L1646">
        <v>1844</v>
      </c>
      <c r="M1646" t="s">
        <v>222</v>
      </c>
      <c r="N1646" t="s">
        <v>222</v>
      </c>
      <c r="O1646" t="s">
        <v>5568</v>
      </c>
      <c r="P1646" t="s">
        <v>5585</v>
      </c>
      <c r="Q1646" t="str">
        <f>IF($C1646="","",IFERROR(VLOOKUP($C1646,sources!$A$2:$N$200,2,FALSE()),"?"))</f>
        <v>Map</v>
      </c>
      <c r="S1646" t="str">
        <f>IF($C1646="","",IFERROR(VLOOKUP($C1646,sources!$A$2:$N$200,9,FALSE()),"?"))</f>
        <v>French state survey</v>
      </c>
    </row>
    <row r="1647" spans="1:19" x14ac:dyDescent="0.2">
      <c r="A1647" t="s">
        <v>5586</v>
      </c>
      <c r="B1647" t="s">
        <v>452</v>
      </c>
      <c r="C1647" t="s">
        <v>1494</v>
      </c>
      <c r="D1647" t="s">
        <v>1599</v>
      </c>
      <c r="E1647" t="s">
        <v>453</v>
      </c>
      <c r="F1647" t="s">
        <v>1587</v>
      </c>
      <c r="I1647" t="s">
        <v>1077</v>
      </c>
      <c r="K1647">
        <v>1844</v>
      </c>
      <c r="L1647">
        <v>1844</v>
      </c>
      <c r="M1647" t="s">
        <v>222</v>
      </c>
      <c r="N1647" t="s">
        <v>222</v>
      </c>
      <c r="O1647" t="s">
        <v>5568</v>
      </c>
      <c r="P1647" t="s">
        <v>5587</v>
      </c>
      <c r="Q1647" t="str">
        <f>IF($C1647="","",IFERROR(VLOOKUP($C1647,sources!$A$2:$N$200,2,FALSE()),"?"))</f>
        <v>Map</v>
      </c>
      <c r="S1647" t="str">
        <f>IF($C1647="","",IFERROR(VLOOKUP($C1647,sources!$A$2:$N$200,9,FALSE()),"?"))</f>
        <v>French state survey</v>
      </c>
    </row>
    <row r="1648" spans="1:19" x14ac:dyDescent="0.2">
      <c r="A1648" t="s">
        <v>5588</v>
      </c>
      <c r="B1648" t="s">
        <v>218</v>
      </c>
      <c r="C1648" t="s">
        <v>1494</v>
      </c>
      <c r="D1648" t="s">
        <v>1599</v>
      </c>
      <c r="E1648" t="s">
        <v>219</v>
      </c>
      <c r="F1648" t="s">
        <v>1587</v>
      </c>
      <c r="I1648" t="s">
        <v>1077</v>
      </c>
      <c r="K1648">
        <v>1844</v>
      </c>
      <c r="L1648">
        <v>1844</v>
      </c>
      <c r="M1648" t="s">
        <v>222</v>
      </c>
      <c r="N1648" t="s">
        <v>222</v>
      </c>
      <c r="O1648" t="s">
        <v>5568</v>
      </c>
      <c r="P1648" t="s">
        <v>5589</v>
      </c>
      <c r="Q1648" t="str">
        <f>IF($C1648="","",IFERROR(VLOOKUP($C1648,sources!$A$2:$N$200,2,FALSE()),"?"))</f>
        <v>Map</v>
      </c>
      <c r="S1648" t="str">
        <f>IF($C1648="","",IFERROR(VLOOKUP($C1648,sources!$A$2:$N$200,9,FALSE()),"?"))</f>
        <v>French state survey</v>
      </c>
    </row>
    <row r="1649" spans="1:19" x14ac:dyDescent="0.2">
      <c r="A1649" t="s">
        <v>5590</v>
      </c>
      <c r="B1649" t="s">
        <v>921</v>
      </c>
      <c r="C1649" t="s">
        <v>1494</v>
      </c>
      <c r="D1649" t="s">
        <v>1599</v>
      </c>
      <c r="E1649" t="s">
        <v>923</v>
      </c>
      <c r="F1649" t="s">
        <v>1587</v>
      </c>
      <c r="I1649" t="s">
        <v>1077</v>
      </c>
      <c r="K1649">
        <v>1844</v>
      </c>
      <c r="L1649">
        <v>1844</v>
      </c>
      <c r="M1649" t="s">
        <v>222</v>
      </c>
      <c r="N1649" t="s">
        <v>228</v>
      </c>
      <c r="O1649" t="s">
        <v>5568</v>
      </c>
      <c r="P1649" t="s">
        <v>5591</v>
      </c>
      <c r="Q1649" t="str">
        <f>IF($C1649="","",IFERROR(VLOOKUP($C1649,sources!$A$2:$N$200,2,FALSE()),"?"))</f>
        <v>Map</v>
      </c>
      <c r="S1649" t="str">
        <f>IF($C1649="","",IFERROR(VLOOKUP($C1649,sources!$A$2:$N$200,9,FALSE()),"?"))</f>
        <v>French state survey</v>
      </c>
    </row>
    <row r="1650" spans="1:19" x14ac:dyDescent="0.2">
      <c r="A1650" t="s">
        <v>5592</v>
      </c>
      <c r="B1650" t="s">
        <v>499</v>
      </c>
      <c r="C1650" t="s">
        <v>1494</v>
      </c>
      <c r="D1650" t="s">
        <v>1585</v>
      </c>
      <c r="E1650" t="s">
        <v>5593</v>
      </c>
      <c r="F1650" t="s">
        <v>3285</v>
      </c>
      <c r="I1650" t="s">
        <v>1077</v>
      </c>
      <c r="K1650">
        <v>1844</v>
      </c>
      <c r="L1650">
        <v>1844</v>
      </c>
      <c r="M1650" t="s">
        <v>222</v>
      </c>
      <c r="N1650" t="s">
        <v>228</v>
      </c>
      <c r="O1650" t="s">
        <v>5568</v>
      </c>
      <c r="P1650" t="s">
        <v>5594</v>
      </c>
      <c r="Q1650" t="str">
        <f>IF($C1650="","",IFERROR(VLOOKUP($C1650,sources!$A$2:$N$200,2,FALSE()),"?"))</f>
        <v>Map</v>
      </c>
      <c r="S1650" t="str">
        <f>IF($C1650="","",IFERROR(VLOOKUP($C1650,sources!$A$2:$N$200,9,FALSE()),"?"))</f>
        <v>French state survey</v>
      </c>
    </row>
    <row r="1651" spans="1:19" x14ac:dyDescent="0.2">
      <c r="A1651" t="s">
        <v>5595</v>
      </c>
      <c r="B1651" t="s">
        <v>649</v>
      </c>
      <c r="C1651" t="s">
        <v>1494</v>
      </c>
      <c r="D1651" t="s">
        <v>1585</v>
      </c>
      <c r="E1651" t="s">
        <v>5596</v>
      </c>
      <c r="F1651" t="s">
        <v>1587</v>
      </c>
      <c r="I1651" t="s">
        <v>1077</v>
      </c>
      <c r="K1651">
        <v>1844</v>
      </c>
      <c r="L1651">
        <v>1844</v>
      </c>
      <c r="M1651" t="s">
        <v>222</v>
      </c>
      <c r="N1651" t="s">
        <v>228</v>
      </c>
      <c r="O1651" t="s">
        <v>5568</v>
      </c>
      <c r="P1651" t="s">
        <v>5597</v>
      </c>
      <c r="Q1651" t="str">
        <f>IF($C1651="","",IFERROR(VLOOKUP($C1651,sources!$A$2:$N$200,2,FALSE()),"?"))</f>
        <v>Map</v>
      </c>
      <c r="S1651" t="str">
        <f>IF($C1651="","",IFERROR(VLOOKUP($C1651,sources!$A$2:$N$200,9,FALSE()),"?"))</f>
        <v>French state survey</v>
      </c>
    </row>
    <row r="1652" spans="1:19" x14ac:dyDescent="0.2">
      <c r="A1652" t="s">
        <v>5598</v>
      </c>
      <c r="B1652" t="s">
        <v>376</v>
      </c>
      <c r="C1652" t="s">
        <v>1494</v>
      </c>
      <c r="D1652" t="s">
        <v>1585</v>
      </c>
      <c r="E1652" t="s">
        <v>5599</v>
      </c>
      <c r="F1652" t="s">
        <v>3285</v>
      </c>
      <c r="I1652" t="s">
        <v>1077</v>
      </c>
      <c r="K1652">
        <v>1844</v>
      </c>
      <c r="L1652">
        <v>1844</v>
      </c>
      <c r="M1652" t="s">
        <v>222</v>
      </c>
      <c r="N1652" t="s">
        <v>228</v>
      </c>
      <c r="O1652" t="s">
        <v>5568</v>
      </c>
      <c r="P1652" t="s">
        <v>5600</v>
      </c>
      <c r="Q1652" t="str">
        <f>IF($C1652="","",IFERROR(VLOOKUP($C1652,sources!$A$2:$N$200,2,FALSE()),"?"))</f>
        <v>Map</v>
      </c>
      <c r="S1652" t="str">
        <f>IF($C1652="","",IFERROR(VLOOKUP($C1652,sources!$A$2:$N$200,9,FALSE()),"?"))</f>
        <v>French state survey</v>
      </c>
    </row>
    <row r="1653" spans="1:19" x14ac:dyDescent="0.2">
      <c r="A1653" t="s">
        <v>5601</v>
      </c>
      <c r="B1653" t="s">
        <v>402</v>
      </c>
      <c r="C1653" t="s">
        <v>1494</v>
      </c>
      <c r="D1653" t="s">
        <v>1585</v>
      </c>
      <c r="E1653" t="s">
        <v>5602</v>
      </c>
      <c r="F1653" t="s">
        <v>3285</v>
      </c>
      <c r="I1653" t="s">
        <v>1077</v>
      </c>
      <c r="K1653">
        <v>1844</v>
      </c>
      <c r="L1653">
        <v>1844</v>
      </c>
      <c r="M1653" t="s">
        <v>222</v>
      </c>
      <c r="N1653" t="s">
        <v>228</v>
      </c>
      <c r="O1653" t="s">
        <v>5568</v>
      </c>
      <c r="P1653" t="s">
        <v>5603</v>
      </c>
      <c r="Q1653" t="str">
        <f>IF($C1653="","",IFERROR(VLOOKUP($C1653,sources!$A$2:$N$200,2,FALSE()),"?"))</f>
        <v>Map</v>
      </c>
      <c r="S1653" t="str">
        <f>IF($C1653="","",IFERROR(VLOOKUP($C1653,sources!$A$2:$N$200,9,FALSE()),"?"))</f>
        <v>French state survey</v>
      </c>
    </row>
    <row r="1654" spans="1:19" x14ac:dyDescent="0.2">
      <c r="A1654" t="s">
        <v>5604</v>
      </c>
      <c r="B1654" t="s">
        <v>261</v>
      </c>
      <c r="C1654" t="s">
        <v>1494</v>
      </c>
      <c r="D1654" t="s">
        <v>1599</v>
      </c>
      <c r="E1654" t="s">
        <v>262</v>
      </c>
      <c r="F1654" t="s">
        <v>1587</v>
      </c>
      <c r="I1654" t="s">
        <v>1077</v>
      </c>
      <c r="K1654">
        <v>1844</v>
      </c>
      <c r="L1654">
        <v>1844</v>
      </c>
      <c r="M1654" t="s">
        <v>222</v>
      </c>
      <c r="N1654" t="s">
        <v>228</v>
      </c>
      <c r="O1654" t="s">
        <v>5568</v>
      </c>
      <c r="P1654" t="s">
        <v>5605</v>
      </c>
      <c r="Q1654" t="str">
        <f>IF($C1654="","",IFERROR(VLOOKUP($C1654,sources!$A$2:$N$200,2,FALSE()),"?"))</f>
        <v>Map</v>
      </c>
      <c r="S1654" t="str">
        <f>IF($C1654="","",IFERROR(VLOOKUP($C1654,sources!$A$2:$N$200,9,FALSE()),"?"))</f>
        <v>French state survey</v>
      </c>
    </row>
    <row r="1655" spans="1:19" x14ac:dyDescent="0.2">
      <c r="A1655" t="s">
        <v>5606</v>
      </c>
      <c r="B1655" t="s">
        <v>795</v>
      </c>
      <c r="C1655" t="s">
        <v>1347</v>
      </c>
      <c r="D1655" t="s">
        <v>1594</v>
      </c>
      <c r="E1655" t="s">
        <v>5607</v>
      </c>
      <c r="F1655" t="s">
        <v>3285</v>
      </c>
      <c r="G1655">
        <v>8.9621999999999993</v>
      </c>
      <c r="H1655">
        <v>-79.540599999999998</v>
      </c>
      <c r="I1655" t="s">
        <v>4813</v>
      </c>
      <c r="J1655">
        <v>80</v>
      </c>
      <c r="K1655">
        <v>1890</v>
      </c>
      <c r="L1655">
        <v>1890</v>
      </c>
      <c r="M1655" t="s">
        <v>222</v>
      </c>
      <c r="N1655" t="s">
        <v>222</v>
      </c>
      <c r="O1655" t="s">
        <v>5608</v>
      </c>
      <c r="P1655" t="s">
        <v>5609</v>
      </c>
      <c r="Q1655" t="str">
        <f>IF($C1655="","",IFERROR(VLOOKUP($C1655,sources!$A$2:$N$200,2,FALSE()),"?"))</f>
        <v>Map</v>
      </c>
      <c r="S1655" t="str">
        <f>IF($C1655="","",IFERROR(VLOOKUP($C1655,sources!$A$2:$N$200,9,FALSE()),"?"))</f>
        <v>French company</v>
      </c>
    </row>
    <row r="1656" spans="1:19" x14ac:dyDescent="0.2">
      <c r="A1656" t="s">
        <v>5610</v>
      </c>
      <c r="B1656" t="s">
        <v>349</v>
      </c>
      <c r="C1656" t="s">
        <v>1509</v>
      </c>
      <c r="D1656" t="s">
        <v>1599</v>
      </c>
      <c r="E1656" t="s">
        <v>5611</v>
      </c>
      <c r="F1656" t="s">
        <v>3285</v>
      </c>
      <c r="K1656" t="s">
        <v>1512</v>
      </c>
      <c r="L1656" t="s">
        <v>1512</v>
      </c>
      <c r="M1656" t="s">
        <v>222</v>
      </c>
      <c r="N1656" t="s">
        <v>222</v>
      </c>
      <c r="O1656" t="s">
        <v>5612</v>
      </c>
      <c r="P1656" t="s">
        <v>5613</v>
      </c>
      <c r="Q1656" t="str">
        <f>IF($C1656="","",IFERROR(VLOOKUP($C1656,sources!$A$2:$N$200,2,FALSE()),"?"))</f>
        <v>Map</v>
      </c>
      <c r="S1656" t="str">
        <f>IF($C1656="","",IFERROR(VLOOKUP($C1656,sources!$A$2:$N$200,9,FALSE()),"?"))</f>
        <v>French company</v>
      </c>
    </row>
    <row r="1657" spans="1:19" x14ac:dyDescent="0.2">
      <c r="A1657" t="s">
        <v>5614</v>
      </c>
      <c r="B1657" t="s">
        <v>284</v>
      </c>
      <c r="C1657" t="s">
        <v>1509</v>
      </c>
      <c r="D1657" t="s">
        <v>1599</v>
      </c>
      <c r="E1657" t="s">
        <v>5025</v>
      </c>
      <c r="F1657" t="s">
        <v>3285</v>
      </c>
      <c r="K1657" t="s">
        <v>1512</v>
      </c>
      <c r="L1657" t="s">
        <v>1512</v>
      </c>
      <c r="M1657" t="s">
        <v>222</v>
      </c>
      <c r="N1657" t="s">
        <v>222</v>
      </c>
      <c r="O1657" t="s">
        <v>5615</v>
      </c>
      <c r="P1657" t="s">
        <v>5616</v>
      </c>
      <c r="Q1657" t="str">
        <f>IF($C1657="","",IFERROR(VLOOKUP($C1657,sources!$A$2:$N$200,2,FALSE()),"?"))</f>
        <v>Map</v>
      </c>
      <c r="S1657" t="str">
        <f>IF($C1657="","",IFERROR(VLOOKUP($C1657,sources!$A$2:$N$200,9,FALSE()),"?"))</f>
        <v>French company</v>
      </c>
    </row>
    <row r="1658" spans="1:19" x14ac:dyDescent="0.2">
      <c r="A1658" t="s">
        <v>5617</v>
      </c>
      <c r="B1658" t="s">
        <v>379</v>
      </c>
      <c r="C1658" t="s">
        <v>1509</v>
      </c>
      <c r="D1658" t="s">
        <v>1599</v>
      </c>
      <c r="E1658" t="s">
        <v>5012</v>
      </c>
      <c r="F1658" t="s">
        <v>3285</v>
      </c>
      <c r="K1658" t="s">
        <v>1512</v>
      </c>
      <c r="L1658" t="s">
        <v>1512</v>
      </c>
      <c r="M1658" t="s">
        <v>222</v>
      </c>
      <c r="N1658" t="s">
        <v>222</v>
      </c>
      <c r="O1658" t="s">
        <v>5618</v>
      </c>
      <c r="P1658" t="s">
        <v>5619</v>
      </c>
      <c r="Q1658" t="str">
        <f>IF($C1658="","",IFERROR(VLOOKUP($C1658,sources!$A$2:$N$200,2,FALSE()),"?"))</f>
        <v>Map</v>
      </c>
      <c r="S1658" t="str">
        <f>IF($C1658="","",IFERROR(VLOOKUP($C1658,sources!$A$2:$N$200,9,FALSE()),"?"))</f>
        <v>French company</v>
      </c>
    </row>
    <row r="1659" spans="1:19" x14ac:dyDescent="0.2">
      <c r="A1659" t="s">
        <v>5620</v>
      </c>
      <c r="B1659" t="s">
        <v>213</v>
      </c>
      <c r="C1659" t="s">
        <v>1509</v>
      </c>
      <c r="D1659" t="s">
        <v>1599</v>
      </c>
      <c r="E1659" t="s">
        <v>5621</v>
      </c>
      <c r="F1659" t="s">
        <v>3285</v>
      </c>
      <c r="K1659" t="s">
        <v>1512</v>
      </c>
      <c r="L1659" t="s">
        <v>1512</v>
      </c>
      <c r="M1659" t="s">
        <v>222</v>
      </c>
      <c r="N1659" t="s">
        <v>222</v>
      </c>
      <c r="O1659" t="s">
        <v>5618</v>
      </c>
      <c r="P1659" t="s">
        <v>5622</v>
      </c>
      <c r="Q1659" t="str">
        <f>IF($C1659="","",IFERROR(VLOOKUP($C1659,sources!$A$2:$N$200,2,FALSE()),"?"))</f>
        <v>Map</v>
      </c>
      <c r="S1659" t="str">
        <f>IF($C1659="","",IFERROR(VLOOKUP($C1659,sources!$A$2:$N$200,9,FALSE()),"?"))</f>
        <v>French company</v>
      </c>
    </row>
    <row r="1660" spans="1:19" x14ac:dyDescent="0.2">
      <c r="A1660" t="s">
        <v>5623</v>
      </c>
      <c r="B1660" t="s">
        <v>234</v>
      </c>
      <c r="C1660" t="s">
        <v>1509</v>
      </c>
      <c r="D1660" t="s">
        <v>1599</v>
      </c>
      <c r="E1660" t="s">
        <v>5624</v>
      </c>
      <c r="F1660" t="s">
        <v>3285</v>
      </c>
      <c r="K1660" t="s">
        <v>1512</v>
      </c>
      <c r="L1660" t="s">
        <v>1512</v>
      </c>
      <c r="M1660" t="s">
        <v>222</v>
      </c>
      <c r="N1660" t="s">
        <v>222</v>
      </c>
      <c r="O1660" t="s">
        <v>5618</v>
      </c>
      <c r="P1660" t="s">
        <v>5625</v>
      </c>
      <c r="Q1660" t="str">
        <f>IF($C1660="","",IFERROR(VLOOKUP($C1660,sources!$A$2:$N$200,2,FALSE()),"?"))</f>
        <v>Map</v>
      </c>
      <c r="S1660" t="str">
        <f>IF($C1660="","",IFERROR(VLOOKUP($C1660,sources!$A$2:$N$200,9,FALSE()),"?"))</f>
        <v>French company</v>
      </c>
    </row>
    <row r="1661" spans="1:19" x14ac:dyDescent="0.2">
      <c r="A1661" t="s">
        <v>5626</v>
      </c>
      <c r="B1661" t="s">
        <v>261</v>
      </c>
      <c r="C1661" t="s">
        <v>1509</v>
      </c>
      <c r="D1661" t="s">
        <v>1599</v>
      </c>
      <c r="E1661" t="s">
        <v>262</v>
      </c>
      <c r="F1661" t="s">
        <v>3285</v>
      </c>
      <c r="K1661" t="s">
        <v>1512</v>
      </c>
      <c r="L1661" t="s">
        <v>1512</v>
      </c>
      <c r="M1661" t="s">
        <v>222</v>
      </c>
      <c r="N1661" t="s">
        <v>222</v>
      </c>
      <c r="O1661" t="s">
        <v>5627</v>
      </c>
      <c r="P1661" t="s">
        <v>5628</v>
      </c>
      <c r="Q1661" t="str">
        <f>IF($C1661="","",IFERROR(VLOOKUP($C1661,sources!$A$2:$N$200,2,FALSE()),"?"))</f>
        <v>Map</v>
      </c>
      <c r="S1661" t="str">
        <f>IF($C1661="","",IFERROR(VLOOKUP($C1661,sources!$A$2:$N$200,9,FALSE()),"?"))</f>
        <v>French company</v>
      </c>
    </row>
    <row r="1662" spans="1:19" x14ac:dyDescent="0.2">
      <c r="A1662" t="s">
        <v>5629</v>
      </c>
      <c r="B1662" t="s">
        <v>198</v>
      </c>
      <c r="C1662" t="s">
        <v>1509</v>
      </c>
      <c r="D1662" t="s">
        <v>1599</v>
      </c>
      <c r="E1662" t="s">
        <v>199</v>
      </c>
      <c r="F1662" t="s">
        <v>3285</v>
      </c>
      <c r="K1662" t="s">
        <v>1512</v>
      </c>
      <c r="L1662" t="s">
        <v>1512</v>
      </c>
      <c r="M1662" t="s">
        <v>222</v>
      </c>
      <c r="N1662" t="s">
        <v>222</v>
      </c>
      <c r="O1662" t="s">
        <v>5627</v>
      </c>
      <c r="P1662" t="s">
        <v>5630</v>
      </c>
      <c r="Q1662" t="str">
        <f>IF($C1662="","",IFERROR(VLOOKUP($C1662,sources!$A$2:$N$200,2,FALSE()),"?"))</f>
        <v>Map</v>
      </c>
      <c r="S1662" t="str">
        <f>IF($C1662="","",IFERROR(VLOOKUP($C1662,sources!$A$2:$N$200,9,FALSE()),"?"))</f>
        <v>French company</v>
      </c>
    </row>
    <row r="1663" spans="1:19" x14ac:dyDescent="0.2">
      <c r="A1663" t="s">
        <v>5631</v>
      </c>
      <c r="B1663" t="s">
        <v>272</v>
      </c>
      <c r="C1663" t="s">
        <v>1509</v>
      </c>
      <c r="D1663" t="s">
        <v>1599</v>
      </c>
      <c r="E1663" t="s">
        <v>5632</v>
      </c>
      <c r="F1663" t="s">
        <v>3285</v>
      </c>
      <c r="K1663" t="s">
        <v>1512</v>
      </c>
      <c r="L1663" t="s">
        <v>1512</v>
      </c>
      <c r="M1663" t="s">
        <v>222</v>
      </c>
      <c r="N1663" t="s">
        <v>222</v>
      </c>
      <c r="O1663" t="s">
        <v>5633</v>
      </c>
      <c r="P1663" t="s">
        <v>5634</v>
      </c>
      <c r="Q1663" t="str">
        <f>IF($C1663="","",IFERROR(VLOOKUP($C1663,sources!$A$2:$N$200,2,FALSE()),"?"))</f>
        <v>Map</v>
      </c>
      <c r="S1663" t="str">
        <f>IF($C1663="","",IFERROR(VLOOKUP($C1663,sources!$A$2:$N$200,9,FALSE()),"?"))</f>
        <v>French company</v>
      </c>
    </row>
    <row r="1664" spans="1:19" x14ac:dyDescent="0.2">
      <c r="A1664" t="s">
        <v>5635</v>
      </c>
      <c r="B1664" t="s">
        <v>594</v>
      </c>
      <c r="C1664" t="s">
        <v>1509</v>
      </c>
      <c r="D1664" t="s">
        <v>1585</v>
      </c>
      <c r="E1664" t="s">
        <v>5636</v>
      </c>
      <c r="F1664" t="s">
        <v>3285</v>
      </c>
      <c r="M1664" t="s">
        <v>222</v>
      </c>
      <c r="N1664" t="s">
        <v>222</v>
      </c>
      <c r="O1664" t="s">
        <v>5633</v>
      </c>
      <c r="P1664" t="s">
        <v>5637</v>
      </c>
      <c r="Q1664" t="str">
        <f>IF($C1664="","",IFERROR(VLOOKUP($C1664,sources!$A$2:$N$200,2,FALSE()),"?"))</f>
        <v>Map</v>
      </c>
      <c r="S1664" t="str">
        <f>IF($C1664="","",IFERROR(VLOOKUP($C1664,sources!$A$2:$N$200,9,FALSE()),"?"))</f>
        <v>French company</v>
      </c>
    </row>
    <row r="1665" spans="1:19" x14ac:dyDescent="0.2">
      <c r="A1665" t="s">
        <v>5638</v>
      </c>
      <c r="B1665" t="s">
        <v>252</v>
      </c>
      <c r="C1665" t="s">
        <v>1509</v>
      </c>
      <c r="D1665" t="s">
        <v>1599</v>
      </c>
      <c r="E1665" t="s">
        <v>324</v>
      </c>
      <c r="F1665" t="s">
        <v>3285</v>
      </c>
      <c r="K1665" t="s">
        <v>1512</v>
      </c>
      <c r="L1665" t="s">
        <v>1512</v>
      </c>
      <c r="M1665" t="s">
        <v>222</v>
      </c>
      <c r="N1665" t="s">
        <v>222</v>
      </c>
      <c r="O1665" t="s">
        <v>5639</v>
      </c>
      <c r="P1665" t="s">
        <v>5640</v>
      </c>
      <c r="Q1665" t="str">
        <f>IF($C1665="","",IFERROR(VLOOKUP($C1665,sources!$A$2:$N$200,2,FALSE()),"?"))</f>
        <v>Map</v>
      </c>
      <c r="S1665" t="str">
        <f>IF($C1665="","",IFERROR(VLOOKUP($C1665,sources!$A$2:$N$200,9,FALSE()),"?"))</f>
        <v>French company</v>
      </c>
    </row>
    <row r="1666" spans="1:19" x14ac:dyDescent="0.2">
      <c r="A1666" t="s">
        <v>5641</v>
      </c>
      <c r="B1666" t="s">
        <v>266</v>
      </c>
      <c r="C1666" t="s">
        <v>1509</v>
      </c>
      <c r="D1666" t="s">
        <v>1599</v>
      </c>
      <c r="E1666" t="s">
        <v>267</v>
      </c>
      <c r="F1666" t="s">
        <v>3285</v>
      </c>
      <c r="K1666" t="s">
        <v>1512</v>
      </c>
      <c r="L1666" t="s">
        <v>1512</v>
      </c>
      <c r="M1666" t="s">
        <v>222</v>
      </c>
      <c r="N1666" t="s">
        <v>222</v>
      </c>
      <c r="O1666" t="s">
        <v>5639</v>
      </c>
      <c r="P1666" t="s">
        <v>5642</v>
      </c>
      <c r="Q1666" t="str">
        <f>IF($C1666="","",IFERROR(VLOOKUP($C1666,sources!$A$2:$N$200,2,FALSE()),"?"))</f>
        <v>Map</v>
      </c>
      <c r="S1666" t="str">
        <f>IF($C1666="","",IFERROR(VLOOKUP($C1666,sources!$A$2:$N$200,9,FALSE()),"?"))</f>
        <v>French company</v>
      </c>
    </row>
    <row r="1667" spans="1:19" x14ac:dyDescent="0.2">
      <c r="A1667" t="s">
        <v>5643</v>
      </c>
      <c r="B1667" t="s">
        <v>607</v>
      </c>
      <c r="C1667" t="s">
        <v>1509</v>
      </c>
      <c r="D1667" t="s">
        <v>1585</v>
      </c>
      <c r="E1667" t="s">
        <v>5644</v>
      </c>
      <c r="F1667" t="s">
        <v>3285</v>
      </c>
      <c r="M1667" t="s">
        <v>222</v>
      </c>
      <c r="N1667" t="s">
        <v>222</v>
      </c>
      <c r="O1667" t="s">
        <v>5639</v>
      </c>
      <c r="P1667" t="s">
        <v>5645</v>
      </c>
      <c r="Q1667" t="str">
        <f>IF($C1667="","",IFERROR(VLOOKUP($C1667,sources!$A$2:$N$200,2,FALSE()),"?"))</f>
        <v>Map</v>
      </c>
      <c r="S1667" t="str">
        <f>IF($C1667="","",IFERROR(VLOOKUP($C1667,sources!$A$2:$N$200,9,FALSE()),"?"))</f>
        <v>French company</v>
      </c>
    </row>
    <row r="1668" spans="1:19" x14ac:dyDescent="0.2">
      <c r="A1668" t="s">
        <v>5646</v>
      </c>
      <c r="B1668" t="s">
        <v>1027</v>
      </c>
      <c r="C1668" t="s">
        <v>1412</v>
      </c>
      <c r="D1668" t="s">
        <v>1599</v>
      </c>
      <c r="E1668" t="s">
        <v>5647</v>
      </c>
      <c r="F1668" t="s">
        <v>1612</v>
      </c>
      <c r="N1668" t="s">
        <v>222</v>
      </c>
      <c r="O1668" t="s">
        <v>5648</v>
      </c>
      <c r="P1668" t="s">
        <v>5649</v>
      </c>
      <c r="Q1668" t="str">
        <f>IF($C1668="","",IFERROR(VLOOKUP($C1668,sources!$A$2:$N$200,2,FALSE()),"?"))</f>
        <v>Web compilation</v>
      </c>
      <c r="S1668" t="str">
        <f>IF($C1668="","",IFERROR(VLOOKUP($C1668,sources!$A$2:$N$200,9,FALSE()),"?"))</f>
        <v>Caribbean community</v>
      </c>
    </row>
    <row r="1669" spans="1:19" x14ac:dyDescent="0.2">
      <c r="A1669" t="s">
        <v>5650</v>
      </c>
      <c r="B1669" t="s">
        <v>1027</v>
      </c>
      <c r="C1669" t="s">
        <v>1412</v>
      </c>
      <c r="D1669" t="s">
        <v>1599</v>
      </c>
      <c r="E1669" t="s">
        <v>873</v>
      </c>
      <c r="F1669" t="s">
        <v>1612</v>
      </c>
      <c r="N1669" t="s">
        <v>222</v>
      </c>
      <c r="O1669" t="s">
        <v>5651</v>
      </c>
      <c r="P1669" t="s">
        <v>5652</v>
      </c>
      <c r="Q1669" t="str">
        <f>IF($C1669="","",IFERROR(VLOOKUP($C1669,sources!$A$2:$N$200,2,FALSE()),"?"))</f>
        <v>Web compilation</v>
      </c>
      <c r="S1669" t="str">
        <f>IF($C1669="","",IFERROR(VLOOKUP($C1669,sources!$A$2:$N$200,9,FALSE()),"?"))</f>
        <v>Caribbean community</v>
      </c>
    </row>
    <row r="1670" spans="1:19" x14ac:dyDescent="0.2">
      <c r="A1670" t="s">
        <v>5653</v>
      </c>
      <c r="B1670" t="s">
        <v>354</v>
      </c>
      <c r="C1670" t="s">
        <v>1464</v>
      </c>
      <c r="D1670" t="s">
        <v>1599</v>
      </c>
      <c r="E1670" t="s">
        <v>355</v>
      </c>
      <c r="F1670" t="s">
        <v>1587</v>
      </c>
      <c r="N1670" t="s">
        <v>209</v>
      </c>
      <c r="O1670" t="s">
        <v>5654</v>
      </c>
      <c r="P1670" t="s">
        <v>5655</v>
      </c>
      <c r="Q1670" t="str">
        <f>IF($C1670="","",IFERROR(VLOOKUP($C1670,sources!$A$2:$N$200,2,FALSE()),"?"))</f>
        <v>Newspaper</v>
      </c>
      <c r="S1670" t="str">
        <f>IF($C1670="","",IFERROR(VLOOKUP($C1670,sources!$A$2:$N$200,9,FALSE()),"?"))</f>
        <v>Panamanian</v>
      </c>
    </row>
    <row r="1671" spans="1:19" x14ac:dyDescent="0.2">
      <c r="A1671" t="s">
        <v>5656</v>
      </c>
      <c r="B1671" t="s">
        <v>611</v>
      </c>
      <c r="C1671" t="s">
        <v>1464</v>
      </c>
      <c r="D1671" t="s">
        <v>1666</v>
      </c>
      <c r="E1671" t="s">
        <v>612</v>
      </c>
      <c r="F1671" t="s">
        <v>1587</v>
      </c>
      <c r="N1671" t="s">
        <v>228</v>
      </c>
      <c r="O1671" t="s">
        <v>5318</v>
      </c>
      <c r="P1671" t="s">
        <v>5657</v>
      </c>
      <c r="Q1671" t="str">
        <f>IF($C1671="","",IFERROR(VLOOKUP($C1671,sources!$A$2:$N$200,2,FALSE()),"?"))</f>
        <v>Newspaper</v>
      </c>
      <c r="S1671" t="str">
        <f>IF($C1671="","",IFERROR(VLOOKUP($C1671,sources!$A$2:$N$200,9,FALSE()),"?"))</f>
        <v>Panamanian</v>
      </c>
    </row>
    <row r="1672" spans="1:19" x14ac:dyDescent="0.2">
      <c r="A1672" t="s">
        <v>5658</v>
      </c>
      <c r="B1672" t="s">
        <v>649</v>
      </c>
      <c r="C1672" t="s">
        <v>1464</v>
      </c>
      <c r="D1672" t="s">
        <v>1599</v>
      </c>
      <c r="E1672" t="s">
        <v>650</v>
      </c>
      <c r="F1672" t="s">
        <v>1587</v>
      </c>
      <c r="N1672" t="s">
        <v>209</v>
      </c>
      <c r="O1672" t="s">
        <v>5321</v>
      </c>
      <c r="P1672" t="s">
        <v>5659</v>
      </c>
      <c r="Q1672" t="str">
        <f>IF($C1672="","",IFERROR(VLOOKUP($C1672,sources!$A$2:$N$200,2,FALSE()),"?"))</f>
        <v>Newspaper</v>
      </c>
      <c r="S1672" t="str">
        <f>IF($C1672="","",IFERROR(VLOOKUP($C1672,sources!$A$2:$N$200,9,FALSE()),"?"))</f>
        <v>Panamanian</v>
      </c>
    </row>
    <row r="1673" spans="1:19" x14ac:dyDescent="0.2">
      <c r="A1673" t="s">
        <v>5660</v>
      </c>
      <c r="B1673" t="s">
        <v>614</v>
      </c>
      <c r="C1673" t="s">
        <v>1464</v>
      </c>
      <c r="D1673" t="s">
        <v>1666</v>
      </c>
      <c r="E1673" t="s">
        <v>615</v>
      </c>
      <c r="F1673" t="s">
        <v>1587</v>
      </c>
      <c r="N1673" t="s">
        <v>228</v>
      </c>
      <c r="O1673" t="s">
        <v>5318</v>
      </c>
      <c r="P1673" t="s">
        <v>5657</v>
      </c>
      <c r="Q1673" t="str">
        <f>IF($C1673="","",IFERROR(VLOOKUP($C1673,sources!$A$2:$N$200,2,FALSE()),"?"))</f>
        <v>Newspaper</v>
      </c>
      <c r="S1673" t="str">
        <f>IF($C1673="","",IFERROR(VLOOKUP($C1673,sources!$A$2:$N$200,9,FALSE()),"?"))</f>
        <v>Panamanian</v>
      </c>
    </row>
    <row r="1674" spans="1:19" x14ac:dyDescent="0.2">
      <c r="A1674" t="s">
        <v>5661</v>
      </c>
      <c r="B1674" t="s">
        <v>349</v>
      </c>
      <c r="C1674" t="s">
        <v>1464</v>
      </c>
      <c r="D1674" t="s">
        <v>1599</v>
      </c>
      <c r="E1674" t="s">
        <v>350</v>
      </c>
      <c r="F1674" t="s">
        <v>1587</v>
      </c>
      <c r="N1674" t="s">
        <v>209</v>
      </c>
      <c r="O1674" t="s">
        <v>5662</v>
      </c>
      <c r="P1674" t="s">
        <v>5663</v>
      </c>
      <c r="Q1674" t="str">
        <f>IF($C1674="","",IFERROR(VLOOKUP($C1674,sources!$A$2:$N$200,2,FALSE()),"?"))</f>
        <v>Newspaper</v>
      </c>
      <c r="S1674" t="str">
        <f>IF($C1674="","",IFERROR(VLOOKUP($C1674,sources!$A$2:$N$200,9,FALSE()),"?"))</f>
        <v>Panamanian</v>
      </c>
    </row>
    <row r="1675" spans="1:19" x14ac:dyDescent="0.2">
      <c r="A1675" t="s">
        <v>5664</v>
      </c>
      <c r="B1675" t="s">
        <v>494</v>
      </c>
      <c r="C1675" t="s">
        <v>1464</v>
      </c>
      <c r="D1675" t="s">
        <v>1599</v>
      </c>
      <c r="E1675" t="s">
        <v>495</v>
      </c>
      <c r="F1675" t="s">
        <v>1587</v>
      </c>
      <c r="N1675" t="s">
        <v>209</v>
      </c>
      <c r="O1675" t="s">
        <v>5665</v>
      </c>
      <c r="P1675" t="s">
        <v>5666</v>
      </c>
      <c r="Q1675" t="str">
        <f>IF($C1675="","",IFERROR(VLOOKUP($C1675,sources!$A$2:$N$200,2,FALSE()),"?"))</f>
        <v>Newspaper</v>
      </c>
      <c r="S1675" t="str">
        <f>IF($C1675="","",IFERROR(VLOOKUP($C1675,sources!$A$2:$N$200,9,FALSE()),"?"))</f>
        <v>Panamanian</v>
      </c>
    </row>
    <row r="1676" spans="1:19" x14ac:dyDescent="0.2">
      <c r="A1676" t="s">
        <v>5667</v>
      </c>
      <c r="B1676" t="s">
        <v>708</v>
      </c>
      <c r="C1676" t="s">
        <v>1464</v>
      </c>
      <c r="D1676" t="s">
        <v>1599</v>
      </c>
      <c r="E1676" t="s">
        <v>709</v>
      </c>
      <c r="F1676" t="s">
        <v>1587</v>
      </c>
      <c r="K1676">
        <v>1908</v>
      </c>
      <c r="L1676">
        <v>1908</v>
      </c>
      <c r="M1676" t="s">
        <v>222</v>
      </c>
      <c r="N1676" t="s">
        <v>209</v>
      </c>
      <c r="O1676" t="s">
        <v>5312</v>
      </c>
      <c r="P1676" t="s">
        <v>5668</v>
      </c>
      <c r="Q1676" t="str">
        <f>IF($C1676="","",IFERROR(VLOOKUP($C1676,sources!$A$2:$N$200,2,FALSE()),"?"))</f>
        <v>Newspaper</v>
      </c>
      <c r="S1676" t="str">
        <f>IF($C1676="","",IFERROR(VLOOKUP($C1676,sources!$A$2:$N$200,9,FALSE()),"?"))</f>
        <v>Panamanian</v>
      </c>
    </row>
    <row r="1677" spans="1:19" x14ac:dyDescent="0.2">
      <c r="A1677" t="s">
        <v>5669</v>
      </c>
      <c r="B1677" t="s">
        <v>373</v>
      </c>
      <c r="C1677" t="s">
        <v>1464</v>
      </c>
      <c r="D1677" t="s">
        <v>1599</v>
      </c>
      <c r="E1677" t="s">
        <v>374</v>
      </c>
      <c r="F1677" t="s">
        <v>1587</v>
      </c>
      <c r="N1677" t="s">
        <v>209</v>
      </c>
      <c r="O1677" t="s">
        <v>5670</v>
      </c>
      <c r="P1677" t="s">
        <v>5671</v>
      </c>
      <c r="Q1677" t="str">
        <f>IF($C1677="","",IFERROR(VLOOKUP($C1677,sources!$A$2:$N$200,2,FALSE()),"?"))</f>
        <v>Newspaper</v>
      </c>
      <c r="S1677" t="str">
        <f>IF($C1677="","",IFERROR(VLOOKUP($C1677,sources!$A$2:$N$200,9,FALSE()),"?"))</f>
        <v>Panamanian</v>
      </c>
    </row>
    <row r="1678" spans="1:19" x14ac:dyDescent="0.2">
      <c r="A1678" t="s">
        <v>5672</v>
      </c>
      <c r="B1678" t="s">
        <v>644</v>
      </c>
      <c r="C1678" t="s">
        <v>1464</v>
      </c>
      <c r="D1678" t="s">
        <v>1599</v>
      </c>
      <c r="E1678" t="s">
        <v>645</v>
      </c>
      <c r="F1678" t="s">
        <v>1587</v>
      </c>
      <c r="K1678">
        <v>1910</v>
      </c>
      <c r="L1678">
        <v>1911</v>
      </c>
      <c r="M1678" t="s">
        <v>222</v>
      </c>
      <c r="N1678" t="s">
        <v>228</v>
      </c>
      <c r="O1678" t="s">
        <v>5407</v>
      </c>
      <c r="P1678" t="s">
        <v>5673</v>
      </c>
      <c r="Q1678" t="str">
        <f>IF($C1678="","",IFERROR(VLOOKUP($C1678,sources!$A$2:$N$200,2,FALSE()),"?"))</f>
        <v>Newspaper</v>
      </c>
      <c r="S1678" t="str">
        <f>IF($C1678="","",IFERROR(VLOOKUP($C1678,sources!$A$2:$N$200,9,FALSE()),"?"))</f>
        <v>Panamanian</v>
      </c>
    </row>
    <row r="1679" spans="1:19" x14ac:dyDescent="0.2">
      <c r="A1679" t="s">
        <v>5674</v>
      </c>
      <c r="B1679" t="s">
        <v>607</v>
      </c>
      <c r="C1679" t="s">
        <v>1464</v>
      </c>
      <c r="D1679" t="s">
        <v>1599</v>
      </c>
      <c r="E1679" t="s">
        <v>608</v>
      </c>
      <c r="F1679" t="s">
        <v>1587</v>
      </c>
      <c r="N1679" t="s">
        <v>209</v>
      </c>
      <c r="O1679" t="s">
        <v>5675</v>
      </c>
      <c r="P1679" t="s">
        <v>5676</v>
      </c>
      <c r="Q1679" t="str">
        <f>IF($C1679="","",IFERROR(VLOOKUP($C1679,sources!$A$2:$N$200,2,FALSE()),"?"))</f>
        <v>Newspaper</v>
      </c>
      <c r="S1679" t="str">
        <f>IF($C1679="","",IFERROR(VLOOKUP($C1679,sources!$A$2:$N$200,9,FALSE()),"?"))</f>
        <v>Panamanian</v>
      </c>
    </row>
    <row r="1680" spans="1:19" x14ac:dyDescent="0.2">
      <c r="A1680" t="s">
        <v>5677</v>
      </c>
      <c r="B1680" t="s">
        <v>534</v>
      </c>
      <c r="C1680" t="s">
        <v>1464</v>
      </c>
      <c r="D1680" t="s">
        <v>1599</v>
      </c>
      <c r="E1680" t="s">
        <v>535</v>
      </c>
      <c r="F1680" t="s">
        <v>1587</v>
      </c>
      <c r="N1680" t="s">
        <v>209</v>
      </c>
      <c r="O1680" t="s">
        <v>5678</v>
      </c>
      <c r="P1680" t="s">
        <v>5679</v>
      </c>
      <c r="Q1680" t="str">
        <f>IF($C1680="","",IFERROR(VLOOKUP($C1680,sources!$A$2:$N$200,2,FALSE()),"?"))</f>
        <v>Newspaper</v>
      </c>
      <c r="S1680" t="str">
        <f>IF($C1680="","",IFERROR(VLOOKUP($C1680,sources!$A$2:$N$200,9,FALSE()),"?"))</f>
        <v>Panamanian</v>
      </c>
    </row>
    <row r="1681" spans="1:19" x14ac:dyDescent="0.2">
      <c r="A1681" t="s">
        <v>5680</v>
      </c>
      <c r="B1681" t="s">
        <v>198</v>
      </c>
      <c r="C1681" t="s">
        <v>1464</v>
      </c>
      <c r="D1681" t="s">
        <v>1599</v>
      </c>
      <c r="E1681" t="s">
        <v>199</v>
      </c>
      <c r="F1681" t="s">
        <v>1587</v>
      </c>
      <c r="N1681" t="s">
        <v>209</v>
      </c>
      <c r="O1681" t="s">
        <v>5681</v>
      </c>
      <c r="P1681" t="s">
        <v>5682</v>
      </c>
      <c r="Q1681" t="str">
        <f>IF($C1681="","",IFERROR(VLOOKUP($C1681,sources!$A$2:$N$200,2,FALSE()),"?"))</f>
        <v>Newspaper</v>
      </c>
      <c r="S1681" t="str">
        <f>IF($C1681="","",IFERROR(VLOOKUP($C1681,sources!$A$2:$N$200,9,FALSE()),"?"))</f>
        <v>Panamanian</v>
      </c>
    </row>
    <row r="1682" spans="1:19" x14ac:dyDescent="0.2">
      <c r="A1682" t="s">
        <v>5683</v>
      </c>
      <c r="B1682" t="s">
        <v>402</v>
      </c>
      <c r="C1682" t="s">
        <v>1464</v>
      </c>
      <c r="D1682" t="s">
        <v>1599</v>
      </c>
      <c r="E1682" t="s">
        <v>403</v>
      </c>
      <c r="F1682" t="s">
        <v>1587</v>
      </c>
      <c r="N1682" t="s">
        <v>209</v>
      </c>
      <c r="O1682" t="s">
        <v>5418</v>
      </c>
      <c r="P1682" t="s">
        <v>5684</v>
      </c>
      <c r="Q1682" t="str">
        <f>IF($C1682="","",IFERROR(VLOOKUP($C1682,sources!$A$2:$N$200,2,FALSE()),"?"))</f>
        <v>Newspaper</v>
      </c>
      <c r="S1682" t="str">
        <f>IF($C1682="","",IFERROR(VLOOKUP($C1682,sources!$A$2:$N$200,9,FALSE()),"?"))</f>
        <v>Panamanian</v>
      </c>
    </row>
    <row r="1683" spans="1:19" x14ac:dyDescent="0.2">
      <c r="A1683" t="s">
        <v>5685</v>
      </c>
      <c r="B1683" t="s">
        <v>618</v>
      </c>
      <c r="C1683" t="s">
        <v>1464</v>
      </c>
      <c r="D1683" t="s">
        <v>1599</v>
      </c>
      <c r="E1683" t="s">
        <v>619</v>
      </c>
      <c r="F1683" t="s">
        <v>1587</v>
      </c>
      <c r="N1683" t="s">
        <v>209</v>
      </c>
      <c r="O1683" t="s">
        <v>5315</v>
      </c>
      <c r="P1683" t="s">
        <v>5686</v>
      </c>
      <c r="Q1683" t="str">
        <f>IF($C1683="","",IFERROR(VLOOKUP($C1683,sources!$A$2:$N$200,2,FALSE()),"?"))</f>
        <v>Newspaper</v>
      </c>
      <c r="S1683" t="str">
        <f>IF($C1683="","",IFERROR(VLOOKUP($C1683,sources!$A$2:$N$200,9,FALSE()),"?"))</f>
        <v>Panamanian</v>
      </c>
    </row>
    <row r="1684" spans="1:19" x14ac:dyDescent="0.2">
      <c r="A1684" t="s">
        <v>5687</v>
      </c>
      <c r="B1684" t="s">
        <v>466</v>
      </c>
      <c r="C1684" t="s">
        <v>1464</v>
      </c>
      <c r="D1684" t="s">
        <v>1599</v>
      </c>
      <c r="E1684" t="s">
        <v>467</v>
      </c>
      <c r="F1684" t="s">
        <v>1587</v>
      </c>
      <c r="N1684" t="s">
        <v>209</v>
      </c>
      <c r="O1684" t="s">
        <v>5325</v>
      </c>
      <c r="P1684" t="s">
        <v>5688</v>
      </c>
      <c r="Q1684" t="str">
        <f>IF($C1684="","",IFERROR(VLOOKUP($C1684,sources!$A$2:$N$200,2,FALSE()),"?"))</f>
        <v>Newspaper</v>
      </c>
      <c r="S1684" t="str">
        <f>IF($C1684="","",IFERROR(VLOOKUP($C1684,sources!$A$2:$N$200,9,FALSE()),"?"))</f>
        <v>Panamanian</v>
      </c>
    </row>
    <row r="1685" spans="1:19" x14ac:dyDescent="0.2">
      <c r="A1685" t="s">
        <v>5689</v>
      </c>
      <c r="B1685" t="s">
        <v>363</v>
      </c>
      <c r="C1685" t="s">
        <v>1464</v>
      </c>
      <c r="D1685" t="s">
        <v>1599</v>
      </c>
      <c r="E1685" t="s">
        <v>364</v>
      </c>
      <c r="F1685" t="s">
        <v>1587</v>
      </c>
      <c r="K1685">
        <v>1904</v>
      </c>
      <c r="M1685" t="s">
        <v>222</v>
      </c>
      <c r="N1685" t="s">
        <v>228</v>
      </c>
      <c r="O1685" t="s">
        <v>5678</v>
      </c>
      <c r="P1685" t="s">
        <v>5690</v>
      </c>
      <c r="Q1685" t="str">
        <f>IF($C1685="","",IFERROR(VLOOKUP($C1685,sources!$A$2:$N$200,2,FALSE()),"?"))</f>
        <v>Newspaper</v>
      </c>
      <c r="S1685" t="str">
        <f>IF($C1685="","",IFERROR(VLOOKUP($C1685,sources!$A$2:$N$200,9,FALSE()),"?"))</f>
        <v>Panamanian</v>
      </c>
    </row>
    <row r="1686" spans="1:19" x14ac:dyDescent="0.2">
      <c r="A1686" t="s">
        <v>5691</v>
      </c>
      <c r="B1686" t="s">
        <v>658</v>
      </c>
      <c r="C1686" t="s">
        <v>1464</v>
      </c>
      <c r="D1686" t="s">
        <v>1599</v>
      </c>
      <c r="E1686" t="s">
        <v>659</v>
      </c>
      <c r="F1686" t="s">
        <v>1587</v>
      </c>
      <c r="N1686" t="s">
        <v>209</v>
      </c>
      <c r="O1686" t="s">
        <v>5692</v>
      </c>
      <c r="P1686" t="s">
        <v>5693</v>
      </c>
      <c r="Q1686" t="str">
        <f>IF($C1686="","",IFERROR(VLOOKUP($C1686,sources!$A$2:$N$200,2,FALSE()),"?"))</f>
        <v>Newspaper</v>
      </c>
      <c r="S1686" t="str">
        <f>IF($C1686="","",IFERROR(VLOOKUP($C1686,sources!$A$2:$N$200,9,FALSE()),"?"))</f>
        <v>Panamanian</v>
      </c>
    </row>
    <row r="1687" spans="1:19" x14ac:dyDescent="0.2">
      <c r="A1687" t="s">
        <v>5694</v>
      </c>
      <c r="B1687" t="s">
        <v>411</v>
      </c>
      <c r="C1687" t="s">
        <v>1464</v>
      </c>
      <c r="D1687" t="s">
        <v>1599</v>
      </c>
      <c r="E1687" t="s">
        <v>412</v>
      </c>
      <c r="F1687" t="s">
        <v>1587</v>
      </c>
      <c r="K1687">
        <v>1904</v>
      </c>
      <c r="L1687">
        <v>1904</v>
      </c>
      <c r="M1687" t="s">
        <v>222</v>
      </c>
      <c r="N1687" t="s">
        <v>209</v>
      </c>
      <c r="O1687" t="s">
        <v>5312</v>
      </c>
      <c r="P1687" t="s">
        <v>5695</v>
      </c>
      <c r="Q1687" t="str">
        <f>IF($C1687="","",IFERROR(VLOOKUP($C1687,sources!$A$2:$N$200,2,FALSE()),"?"))</f>
        <v>Newspaper</v>
      </c>
      <c r="S1687" t="str">
        <f>IF($C1687="","",IFERROR(VLOOKUP($C1687,sources!$A$2:$N$200,9,FALSE()),"?"))</f>
        <v>Panamanian</v>
      </c>
    </row>
    <row r="1688" spans="1:19" x14ac:dyDescent="0.2">
      <c r="A1688" t="s">
        <v>5696</v>
      </c>
      <c r="B1688" t="s">
        <v>434</v>
      </c>
      <c r="C1688" t="s">
        <v>1516</v>
      </c>
      <c r="D1688" t="s">
        <v>1599</v>
      </c>
      <c r="E1688" t="s">
        <v>5019</v>
      </c>
      <c r="F1688" t="s">
        <v>3285</v>
      </c>
      <c r="K1688" t="s">
        <v>1450</v>
      </c>
      <c r="L1688" t="s">
        <v>1450</v>
      </c>
      <c r="M1688" t="s">
        <v>222</v>
      </c>
      <c r="N1688" t="s">
        <v>222</v>
      </c>
      <c r="O1688" t="s">
        <v>5697</v>
      </c>
      <c r="P1688" t="s">
        <v>5698</v>
      </c>
      <c r="Q1688" t="str">
        <f>IF($C1688="","",IFERROR(VLOOKUP($C1688,sources!$A$2:$N$200,2,FALSE()),"?"))</f>
        <v>Map</v>
      </c>
      <c r="S1688" t="str">
        <f>IF($C1688="","",IFERROR(VLOOKUP($C1688,sources!$A$2:$N$200,9,FALSE()),"?"))</f>
        <v>French company</v>
      </c>
    </row>
    <row r="1689" spans="1:19" x14ac:dyDescent="0.2">
      <c r="A1689" t="s">
        <v>5699</v>
      </c>
      <c r="B1689" t="s">
        <v>402</v>
      </c>
      <c r="C1689" t="s">
        <v>1516</v>
      </c>
      <c r="D1689" t="s">
        <v>1599</v>
      </c>
      <c r="E1689" t="s">
        <v>403</v>
      </c>
      <c r="F1689" t="s">
        <v>3285</v>
      </c>
      <c r="K1689" t="s">
        <v>1450</v>
      </c>
      <c r="L1689" t="s">
        <v>1450</v>
      </c>
      <c r="M1689" t="s">
        <v>222</v>
      </c>
      <c r="N1689" t="s">
        <v>222</v>
      </c>
      <c r="O1689" t="s">
        <v>5700</v>
      </c>
      <c r="P1689" t="s">
        <v>5701</v>
      </c>
      <c r="Q1689" t="str">
        <f>IF($C1689="","",IFERROR(VLOOKUP($C1689,sources!$A$2:$N$200,2,FALSE()),"?"))</f>
        <v>Map</v>
      </c>
      <c r="S1689" t="str">
        <f>IF($C1689="","",IFERROR(VLOOKUP($C1689,sources!$A$2:$N$200,9,FALSE()),"?"))</f>
        <v>French company</v>
      </c>
    </row>
    <row r="1690" spans="1:19" x14ac:dyDescent="0.2">
      <c r="A1690" t="s">
        <v>5702</v>
      </c>
      <c r="B1690" t="s">
        <v>238</v>
      </c>
      <c r="C1690" t="s">
        <v>1516</v>
      </c>
      <c r="D1690" t="s">
        <v>1599</v>
      </c>
      <c r="E1690" t="s">
        <v>1607</v>
      </c>
      <c r="F1690" t="s">
        <v>3285</v>
      </c>
      <c r="K1690" t="s">
        <v>1450</v>
      </c>
      <c r="L1690" t="s">
        <v>1450</v>
      </c>
      <c r="M1690" t="s">
        <v>222</v>
      </c>
      <c r="N1690" t="s">
        <v>222</v>
      </c>
      <c r="O1690" t="s">
        <v>5703</v>
      </c>
      <c r="P1690" t="s">
        <v>5704</v>
      </c>
      <c r="Q1690" t="str">
        <f>IF($C1690="","",IFERROR(VLOOKUP($C1690,sources!$A$2:$N$200,2,FALSE()),"?"))</f>
        <v>Map</v>
      </c>
      <c r="S1690" t="str">
        <f>IF($C1690="","",IFERROR(VLOOKUP($C1690,sources!$A$2:$N$200,9,FALSE()),"?"))</f>
        <v>French company</v>
      </c>
    </row>
    <row r="1691" spans="1:19" x14ac:dyDescent="0.2">
      <c r="A1691" t="s">
        <v>5705</v>
      </c>
      <c r="B1691" t="s">
        <v>411</v>
      </c>
      <c r="C1691" t="s">
        <v>1516</v>
      </c>
      <c r="D1691" t="s">
        <v>1599</v>
      </c>
      <c r="E1691" t="s">
        <v>5706</v>
      </c>
      <c r="F1691" t="s">
        <v>3285</v>
      </c>
      <c r="K1691" t="s">
        <v>1450</v>
      </c>
      <c r="L1691" t="s">
        <v>1450</v>
      </c>
      <c r="M1691" t="s">
        <v>222</v>
      </c>
      <c r="N1691" t="s">
        <v>222</v>
      </c>
      <c r="O1691" t="s">
        <v>5707</v>
      </c>
      <c r="P1691" t="s">
        <v>5708</v>
      </c>
      <c r="Q1691" t="str">
        <f>IF($C1691="","",IFERROR(VLOOKUP($C1691,sources!$A$2:$N$200,2,FALSE()),"?"))</f>
        <v>Map</v>
      </c>
      <c r="S1691" t="str">
        <f>IF($C1691="","",IFERROR(VLOOKUP($C1691,sources!$A$2:$N$200,9,FALSE()),"?"))</f>
        <v>French company</v>
      </c>
    </row>
    <row r="1692" spans="1:19" x14ac:dyDescent="0.2">
      <c r="A1692" t="s">
        <v>5709</v>
      </c>
      <c r="B1692" t="s">
        <v>1031</v>
      </c>
      <c r="C1692" t="s">
        <v>1516</v>
      </c>
      <c r="D1692" t="s">
        <v>1599</v>
      </c>
      <c r="E1692" t="s">
        <v>1032</v>
      </c>
      <c r="F1692" t="s">
        <v>3285</v>
      </c>
      <c r="K1692" t="s">
        <v>1450</v>
      </c>
      <c r="L1692" t="s">
        <v>1450</v>
      </c>
      <c r="M1692" t="s">
        <v>222</v>
      </c>
      <c r="N1692" t="s">
        <v>222</v>
      </c>
      <c r="O1692" t="s">
        <v>5710</v>
      </c>
      <c r="P1692" t="s">
        <v>5711</v>
      </c>
      <c r="Q1692" t="str">
        <f>IF($C1692="","",IFERROR(VLOOKUP($C1692,sources!$A$2:$N$200,2,FALSE()),"?"))</f>
        <v>Map</v>
      </c>
      <c r="S1692" t="str">
        <f>IF($C1692="","",IFERROR(VLOOKUP($C1692,sources!$A$2:$N$200,9,FALSE()),"?"))</f>
        <v>French company</v>
      </c>
    </row>
    <row r="1693" spans="1:19" x14ac:dyDescent="0.2">
      <c r="A1693" t="s">
        <v>5712</v>
      </c>
      <c r="B1693" t="s">
        <v>918</v>
      </c>
      <c r="C1693" t="s">
        <v>1516</v>
      </c>
      <c r="D1693" t="s">
        <v>1599</v>
      </c>
      <c r="E1693" t="s">
        <v>919</v>
      </c>
      <c r="F1693" t="s">
        <v>3285</v>
      </c>
      <c r="K1693" t="s">
        <v>1450</v>
      </c>
      <c r="L1693" t="s">
        <v>1450</v>
      </c>
      <c r="M1693" t="s">
        <v>222</v>
      </c>
      <c r="N1693" t="s">
        <v>222</v>
      </c>
      <c r="O1693" t="s">
        <v>5713</v>
      </c>
      <c r="P1693" t="s">
        <v>5714</v>
      </c>
      <c r="Q1693" t="str">
        <f>IF($C1693="","",IFERROR(VLOOKUP($C1693,sources!$A$2:$N$200,2,FALSE()),"?"))</f>
        <v>Map</v>
      </c>
      <c r="S1693" t="str">
        <f>IF($C1693="","",IFERROR(VLOOKUP($C1693,sources!$A$2:$N$200,9,FALSE()),"?"))</f>
        <v>French company</v>
      </c>
    </row>
    <row r="1694" spans="1:19" x14ac:dyDescent="0.2">
      <c r="A1694" t="s">
        <v>5715</v>
      </c>
      <c r="B1694" t="s">
        <v>626</v>
      </c>
      <c r="C1694" t="s">
        <v>1516</v>
      </c>
      <c r="D1694" t="s">
        <v>1599</v>
      </c>
      <c r="E1694" t="s">
        <v>628</v>
      </c>
      <c r="F1694" t="s">
        <v>3285</v>
      </c>
      <c r="K1694" t="s">
        <v>1450</v>
      </c>
      <c r="L1694" t="s">
        <v>1450</v>
      </c>
      <c r="M1694" t="s">
        <v>222</v>
      </c>
      <c r="N1694" t="s">
        <v>222</v>
      </c>
      <c r="O1694" t="s">
        <v>5716</v>
      </c>
      <c r="P1694" t="s">
        <v>5717</v>
      </c>
      <c r="Q1694" t="str">
        <f>IF($C1694="","",IFERROR(VLOOKUP($C1694,sources!$A$2:$N$200,2,FALSE()),"?"))</f>
        <v>Map</v>
      </c>
      <c r="S1694" t="str">
        <f>IF($C1694="","",IFERROR(VLOOKUP($C1694,sources!$A$2:$N$200,9,FALSE()),"?"))</f>
        <v>French company</v>
      </c>
    </row>
    <row r="1695" spans="1:19" x14ac:dyDescent="0.2">
      <c r="A1695" t="s">
        <v>5718</v>
      </c>
      <c r="B1695" t="s">
        <v>224</v>
      </c>
      <c r="C1695" t="s">
        <v>1516</v>
      </c>
      <c r="D1695" t="s">
        <v>1599</v>
      </c>
      <c r="E1695" t="s">
        <v>225</v>
      </c>
      <c r="F1695" t="s">
        <v>3285</v>
      </c>
      <c r="K1695" t="s">
        <v>1450</v>
      </c>
      <c r="L1695" t="s">
        <v>1450</v>
      </c>
      <c r="M1695" t="s">
        <v>222</v>
      </c>
      <c r="N1695" t="s">
        <v>222</v>
      </c>
      <c r="O1695" t="s">
        <v>5719</v>
      </c>
      <c r="P1695" t="s">
        <v>5720</v>
      </c>
      <c r="Q1695" t="str">
        <f>IF($C1695="","",IFERROR(VLOOKUP($C1695,sources!$A$2:$N$200,2,FALSE()),"?"))</f>
        <v>Map</v>
      </c>
      <c r="S1695" t="str">
        <f>IF($C1695="","",IFERROR(VLOOKUP($C1695,sources!$A$2:$N$200,9,FALSE()),"?"))</f>
        <v>French company</v>
      </c>
    </row>
    <row r="1696" spans="1:19" x14ac:dyDescent="0.2">
      <c r="A1696" t="s">
        <v>5721</v>
      </c>
      <c r="B1696" t="s">
        <v>514</v>
      </c>
      <c r="C1696" t="s">
        <v>1516</v>
      </c>
      <c r="D1696" t="s">
        <v>1599</v>
      </c>
      <c r="E1696" t="s">
        <v>515</v>
      </c>
      <c r="F1696" t="s">
        <v>3285</v>
      </c>
      <c r="K1696" t="s">
        <v>1450</v>
      </c>
      <c r="L1696" t="s">
        <v>1450</v>
      </c>
      <c r="M1696" t="s">
        <v>222</v>
      </c>
      <c r="N1696" t="s">
        <v>222</v>
      </c>
      <c r="O1696" t="s">
        <v>5722</v>
      </c>
      <c r="P1696" t="s">
        <v>5723</v>
      </c>
      <c r="Q1696" t="str">
        <f>IF($C1696="","",IFERROR(VLOOKUP($C1696,sources!$A$2:$N$200,2,FALSE()),"?"))</f>
        <v>Map</v>
      </c>
      <c r="S1696" t="str">
        <f>IF($C1696="","",IFERROR(VLOOKUP($C1696,sources!$A$2:$N$200,9,FALSE()),"?"))</f>
        <v>French company</v>
      </c>
    </row>
    <row r="1697" spans="1:19" x14ac:dyDescent="0.2">
      <c r="A1697" t="s">
        <v>5724</v>
      </c>
      <c r="B1697" t="s">
        <v>517</v>
      </c>
      <c r="C1697" t="s">
        <v>1516</v>
      </c>
      <c r="D1697" t="s">
        <v>1599</v>
      </c>
      <c r="E1697" t="s">
        <v>518</v>
      </c>
      <c r="F1697" t="s">
        <v>3285</v>
      </c>
      <c r="K1697" t="s">
        <v>1450</v>
      </c>
      <c r="L1697" t="s">
        <v>1450</v>
      </c>
      <c r="M1697" t="s">
        <v>222</v>
      </c>
      <c r="N1697" t="s">
        <v>222</v>
      </c>
      <c r="O1697" t="s">
        <v>5725</v>
      </c>
      <c r="P1697" t="s">
        <v>5726</v>
      </c>
      <c r="Q1697" t="str">
        <f>IF($C1697="","",IFERROR(VLOOKUP($C1697,sources!$A$2:$N$200,2,FALSE()),"?"))</f>
        <v>Map</v>
      </c>
      <c r="S1697" t="str">
        <f>IF($C1697="","",IFERROR(VLOOKUP($C1697,sources!$A$2:$N$200,9,FALSE()),"?"))</f>
        <v>French company</v>
      </c>
    </row>
    <row r="1698" spans="1:19" x14ac:dyDescent="0.2">
      <c r="A1698" t="s">
        <v>5727</v>
      </c>
      <c r="B1698" t="s">
        <v>284</v>
      </c>
      <c r="C1698" t="s">
        <v>1516</v>
      </c>
      <c r="D1698" t="s">
        <v>1599</v>
      </c>
      <c r="E1698" t="s">
        <v>5025</v>
      </c>
      <c r="F1698" t="s">
        <v>3285</v>
      </c>
      <c r="K1698" t="s">
        <v>1450</v>
      </c>
      <c r="L1698" t="s">
        <v>1450</v>
      </c>
      <c r="M1698" t="s">
        <v>222</v>
      </c>
      <c r="N1698" t="s">
        <v>222</v>
      </c>
      <c r="O1698" t="s">
        <v>5728</v>
      </c>
      <c r="P1698" t="s">
        <v>5729</v>
      </c>
      <c r="Q1698" t="str">
        <f>IF($C1698="","",IFERROR(VLOOKUP($C1698,sources!$A$2:$N$200,2,FALSE()),"?"))</f>
        <v>Map</v>
      </c>
      <c r="S1698" t="str">
        <f>IF($C1698="","",IFERROR(VLOOKUP($C1698,sources!$A$2:$N$200,9,FALSE()),"?"))</f>
        <v>French company</v>
      </c>
    </row>
    <row r="1699" spans="1:19" x14ac:dyDescent="0.2">
      <c r="A1699" t="s">
        <v>5730</v>
      </c>
      <c r="B1699" t="s">
        <v>405</v>
      </c>
      <c r="C1699" t="s">
        <v>1516</v>
      </c>
      <c r="D1699" t="s">
        <v>1599</v>
      </c>
      <c r="E1699" t="s">
        <v>5731</v>
      </c>
      <c r="F1699" t="s">
        <v>3285</v>
      </c>
      <c r="K1699" t="s">
        <v>1450</v>
      </c>
      <c r="L1699" t="s">
        <v>1450</v>
      </c>
      <c r="M1699" t="s">
        <v>222</v>
      </c>
      <c r="N1699" t="s">
        <v>222</v>
      </c>
      <c r="O1699" t="s">
        <v>5732</v>
      </c>
      <c r="P1699" t="s">
        <v>5733</v>
      </c>
      <c r="Q1699" t="str">
        <f>IF($C1699="","",IFERROR(VLOOKUP($C1699,sources!$A$2:$N$200,2,FALSE()),"?"))</f>
        <v>Map</v>
      </c>
      <c r="S1699" t="str">
        <f>IF($C1699="","",IFERROR(VLOOKUP($C1699,sources!$A$2:$N$200,9,FALSE()),"?"))</f>
        <v>French company</v>
      </c>
    </row>
    <row r="1700" spans="1:19" x14ac:dyDescent="0.2">
      <c r="A1700" t="s">
        <v>5734</v>
      </c>
      <c r="B1700" t="s">
        <v>373</v>
      </c>
      <c r="C1700" t="s">
        <v>1516</v>
      </c>
      <c r="D1700" t="s">
        <v>1599</v>
      </c>
      <c r="E1700" t="s">
        <v>374</v>
      </c>
      <c r="F1700" t="s">
        <v>3285</v>
      </c>
      <c r="K1700" t="s">
        <v>1450</v>
      </c>
      <c r="L1700" t="s">
        <v>1450</v>
      </c>
      <c r="M1700" t="s">
        <v>222</v>
      </c>
      <c r="N1700" t="s">
        <v>222</v>
      </c>
      <c r="O1700" t="s">
        <v>5735</v>
      </c>
      <c r="P1700" t="s">
        <v>5736</v>
      </c>
      <c r="Q1700" t="str">
        <f>IF($C1700="","",IFERROR(VLOOKUP($C1700,sources!$A$2:$N$200,2,FALSE()),"?"))</f>
        <v>Map</v>
      </c>
      <c r="S1700" t="str">
        <f>IF($C1700="","",IFERROR(VLOOKUP($C1700,sources!$A$2:$N$200,9,FALSE()),"?"))</f>
        <v>French company</v>
      </c>
    </row>
    <row r="1701" spans="1:19" x14ac:dyDescent="0.2">
      <c r="A1701" t="s">
        <v>5737</v>
      </c>
      <c r="B1701" t="s">
        <v>921</v>
      </c>
      <c r="C1701" t="s">
        <v>1516</v>
      </c>
      <c r="D1701" t="s">
        <v>1599</v>
      </c>
      <c r="E1701" t="s">
        <v>923</v>
      </c>
      <c r="F1701" t="s">
        <v>3285</v>
      </c>
      <c r="K1701" t="s">
        <v>1450</v>
      </c>
      <c r="L1701" t="s">
        <v>1450</v>
      </c>
      <c r="M1701" t="s">
        <v>222</v>
      </c>
      <c r="N1701" t="s">
        <v>222</v>
      </c>
      <c r="O1701" t="s">
        <v>5738</v>
      </c>
      <c r="P1701" t="s">
        <v>5739</v>
      </c>
      <c r="Q1701" t="str">
        <f>IF($C1701="","",IFERROR(VLOOKUP($C1701,sources!$A$2:$N$200,2,FALSE()),"?"))</f>
        <v>Map</v>
      </c>
      <c r="S1701" t="str">
        <f>IF($C1701="","",IFERROR(VLOOKUP($C1701,sources!$A$2:$N$200,9,FALSE()),"?"))</f>
        <v>French company</v>
      </c>
    </row>
    <row r="1702" spans="1:19" x14ac:dyDescent="0.2">
      <c r="A1702" t="s">
        <v>5740</v>
      </c>
      <c r="B1702" t="s">
        <v>1036</v>
      </c>
      <c r="C1702" t="s">
        <v>1516</v>
      </c>
      <c r="D1702" t="s">
        <v>1599</v>
      </c>
      <c r="E1702" t="s">
        <v>1037</v>
      </c>
      <c r="F1702" t="s">
        <v>3285</v>
      </c>
      <c r="K1702" t="s">
        <v>1450</v>
      </c>
      <c r="L1702" t="s">
        <v>1450</v>
      </c>
      <c r="M1702" t="s">
        <v>222</v>
      </c>
      <c r="N1702" t="s">
        <v>222</v>
      </c>
      <c r="O1702" t="s">
        <v>5741</v>
      </c>
      <c r="P1702" t="s">
        <v>5742</v>
      </c>
      <c r="Q1702" t="str">
        <f>IF($C1702="","",IFERROR(VLOOKUP($C1702,sources!$A$2:$N$200,2,FALSE()),"?"))</f>
        <v>Map</v>
      </c>
      <c r="S1702" t="str">
        <f>IF($C1702="","",IFERROR(VLOOKUP($C1702,sources!$A$2:$N$200,9,FALSE()),"?"))</f>
        <v>French company</v>
      </c>
    </row>
    <row r="1703" spans="1:19" x14ac:dyDescent="0.2">
      <c r="A1703" t="s">
        <v>5743</v>
      </c>
      <c r="B1703" t="s">
        <v>925</v>
      </c>
      <c r="C1703" t="s">
        <v>1516</v>
      </c>
      <c r="D1703" t="s">
        <v>1599</v>
      </c>
      <c r="E1703" t="s">
        <v>927</v>
      </c>
      <c r="F1703" t="s">
        <v>3285</v>
      </c>
      <c r="K1703" t="s">
        <v>1450</v>
      </c>
      <c r="L1703" t="s">
        <v>1450</v>
      </c>
      <c r="M1703" t="s">
        <v>222</v>
      </c>
      <c r="N1703" t="s">
        <v>222</v>
      </c>
      <c r="O1703" t="s">
        <v>5744</v>
      </c>
      <c r="P1703" t="s">
        <v>5745</v>
      </c>
      <c r="Q1703" t="str">
        <f>IF($C1703="","",IFERROR(VLOOKUP($C1703,sources!$A$2:$N$200,2,FALSE()),"?"))</f>
        <v>Map</v>
      </c>
      <c r="S1703" t="str">
        <f>IF($C1703="","",IFERROR(VLOOKUP($C1703,sources!$A$2:$N$200,9,FALSE()),"?"))</f>
        <v>French company</v>
      </c>
    </row>
    <row r="1704" spans="1:19" x14ac:dyDescent="0.2">
      <c r="A1704" t="s">
        <v>5746</v>
      </c>
      <c r="B1704" t="s">
        <v>382</v>
      </c>
      <c r="C1704" t="s">
        <v>1516</v>
      </c>
      <c r="D1704" t="s">
        <v>1599</v>
      </c>
      <c r="E1704" t="s">
        <v>383</v>
      </c>
      <c r="F1704" t="s">
        <v>3285</v>
      </c>
      <c r="K1704" t="s">
        <v>1450</v>
      </c>
      <c r="L1704" t="s">
        <v>1450</v>
      </c>
      <c r="M1704" t="s">
        <v>222</v>
      </c>
      <c r="N1704" t="s">
        <v>222</v>
      </c>
      <c r="O1704" t="s">
        <v>5744</v>
      </c>
      <c r="P1704" t="s">
        <v>5747</v>
      </c>
      <c r="Q1704" t="str">
        <f>IF($C1704="","",IFERROR(VLOOKUP($C1704,sources!$A$2:$N$200,2,FALSE()),"?"))</f>
        <v>Map</v>
      </c>
      <c r="S1704" t="str">
        <f>IF($C1704="","",IFERROR(VLOOKUP($C1704,sources!$A$2:$N$200,9,FALSE()),"?"))</f>
        <v>French company</v>
      </c>
    </row>
    <row r="1705" spans="1:19" x14ac:dyDescent="0.2">
      <c r="A1705" t="s">
        <v>5748</v>
      </c>
      <c r="B1705" t="s">
        <v>1040</v>
      </c>
      <c r="C1705" t="s">
        <v>1516</v>
      </c>
      <c r="D1705" t="s">
        <v>1599</v>
      </c>
      <c r="E1705" t="s">
        <v>1041</v>
      </c>
      <c r="F1705" t="s">
        <v>3285</v>
      </c>
      <c r="K1705" t="s">
        <v>1450</v>
      </c>
      <c r="L1705" t="s">
        <v>1450</v>
      </c>
      <c r="M1705" t="s">
        <v>222</v>
      </c>
      <c r="N1705" t="s">
        <v>222</v>
      </c>
      <c r="O1705" t="s">
        <v>5749</v>
      </c>
      <c r="P1705" t="s">
        <v>5750</v>
      </c>
      <c r="Q1705" t="str">
        <f>IF($C1705="","",IFERROR(VLOOKUP($C1705,sources!$A$2:$N$200,2,FALSE()),"?"))</f>
        <v>Map</v>
      </c>
      <c r="S1705" t="str">
        <f>IF($C1705="","",IFERROR(VLOOKUP($C1705,sources!$A$2:$N$200,9,FALSE()),"?"))</f>
        <v>French company</v>
      </c>
    </row>
    <row r="1706" spans="1:19" x14ac:dyDescent="0.2">
      <c r="A1706" t="s">
        <v>5751</v>
      </c>
      <c r="B1706" t="s">
        <v>379</v>
      </c>
      <c r="C1706" t="s">
        <v>1516</v>
      </c>
      <c r="D1706" t="s">
        <v>1599</v>
      </c>
      <c r="E1706" t="s">
        <v>380</v>
      </c>
      <c r="F1706" t="s">
        <v>3285</v>
      </c>
      <c r="K1706" t="s">
        <v>1450</v>
      </c>
      <c r="L1706" t="s">
        <v>1450</v>
      </c>
      <c r="M1706" t="s">
        <v>222</v>
      </c>
      <c r="N1706" t="s">
        <v>222</v>
      </c>
      <c r="O1706" t="s">
        <v>5752</v>
      </c>
      <c r="P1706" t="s">
        <v>5753</v>
      </c>
      <c r="Q1706" t="str">
        <f>IF($C1706="","",IFERROR(VLOOKUP($C1706,sources!$A$2:$N$200,2,FALSE()),"?"))</f>
        <v>Map</v>
      </c>
      <c r="S1706" t="str">
        <f>IF($C1706="","",IFERROR(VLOOKUP($C1706,sources!$A$2:$N$200,9,FALSE()),"?"))</f>
        <v>French company</v>
      </c>
    </row>
    <row r="1707" spans="1:19" x14ac:dyDescent="0.2">
      <c r="A1707" t="s">
        <v>5754</v>
      </c>
      <c r="B1707" t="s">
        <v>234</v>
      </c>
      <c r="C1707" t="s">
        <v>1516</v>
      </c>
      <c r="D1707" t="s">
        <v>1599</v>
      </c>
      <c r="E1707" t="s">
        <v>2694</v>
      </c>
      <c r="F1707" t="s">
        <v>3285</v>
      </c>
      <c r="K1707" t="s">
        <v>1450</v>
      </c>
      <c r="L1707" t="s">
        <v>1450</v>
      </c>
      <c r="M1707" t="s">
        <v>222</v>
      </c>
      <c r="N1707" t="s">
        <v>222</v>
      </c>
      <c r="O1707" t="s">
        <v>5755</v>
      </c>
      <c r="P1707" t="s">
        <v>5756</v>
      </c>
      <c r="Q1707" t="str">
        <f>IF($C1707="","",IFERROR(VLOOKUP($C1707,sources!$A$2:$N$200,2,FALSE()),"?"))</f>
        <v>Map</v>
      </c>
      <c r="S1707" t="str">
        <f>IF($C1707="","",IFERROR(VLOOKUP($C1707,sources!$A$2:$N$200,9,FALSE()),"?"))</f>
        <v>French company</v>
      </c>
    </row>
    <row r="1708" spans="1:19" x14ac:dyDescent="0.2">
      <c r="A1708" t="s">
        <v>5757</v>
      </c>
      <c r="B1708" t="s">
        <v>414</v>
      </c>
      <c r="C1708" t="s">
        <v>1516</v>
      </c>
      <c r="D1708" t="s">
        <v>1599</v>
      </c>
      <c r="E1708" t="s">
        <v>415</v>
      </c>
      <c r="F1708" t="s">
        <v>3285</v>
      </c>
      <c r="K1708" t="s">
        <v>1450</v>
      </c>
      <c r="L1708" t="s">
        <v>1450</v>
      </c>
      <c r="M1708" t="s">
        <v>222</v>
      </c>
      <c r="N1708" t="s">
        <v>222</v>
      </c>
      <c r="O1708" t="s">
        <v>5758</v>
      </c>
      <c r="P1708" t="s">
        <v>5759</v>
      </c>
      <c r="Q1708" t="str">
        <f>IF($C1708="","",IFERROR(VLOOKUP($C1708,sources!$A$2:$N$200,2,FALSE()),"?"))</f>
        <v>Map</v>
      </c>
      <c r="S1708" t="str">
        <f>IF($C1708="","",IFERROR(VLOOKUP($C1708,sources!$A$2:$N$200,9,FALSE()),"?"))</f>
        <v>French company</v>
      </c>
    </row>
    <row r="1709" spans="1:19" x14ac:dyDescent="0.2">
      <c r="A1709" t="s">
        <v>5760</v>
      </c>
      <c r="B1709" t="s">
        <v>452</v>
      </c>
      <c r="C1709" t="s">
        <v>1516</v>
      </c>
      <c r="D1709" t="s">
        <v>1599</v>
      </c>
      <c r="E1709" t="s">
        <v>453</v>
      </c>
      <c r="F1709" t="s">
        <v>3285</v>
      </c>
      <c r="K1709" t="s">
        <v>1450</v>
      </c>
      <c r="L1709" t="s">
        <v>1450</v>
      </c>
      <c r="M1709" t="s">
        <v>222</v>
      </c>
      <c r="N1709" t="s">
        <v>222</v>
      </c>
      <c r="O1709" t="s">
        <v>5761</v>
      </c>
      <c r="P1709" t="s">
        <v>5762</v>
      </c>
      <c r="Q1709" t="str">
        <f>IF($C1709="","",IFERROR(VLOOKUP($C1709,sources!$A$2:$N$200,2,FALSE()),"?"))</f>
        <v>Map</v>
      </c>
      <c r="S1709" t="str">
        <f>IF($C1709="","",IFERROR(VLOOKUP($C1709,sources!$A$2:$N$200,9,FALSE()),"?"))</f>
        <v>French company</v>
      </c>
    </row>
    <row r="1710" spans="1:19" x14ac:dyDescent="0.2">
      <c r="A1710" t="s">
        <v>5763</v>
      </c>
      <c r="B1710" t="s">
        <v>261</v>
      </c>
      <c r="C1710" t="s">
        <v>1516</v>
      </c>
      <c r="D1710" t="s">
        <v>1599</v>
      </c>
      <c r="E1710" t="s">
        <v>262</v>
      </c>
      <c r="F1710" t="s">
        <v>3285</v>
      </c>
      <c r="K1710" t="s">
        <v>1450</v>
      </c>
      <c r="L1710" t="s">
        <v>1450</v>
      </c>
      <c r="M1710" t="s">
        <v>222</v>
      </c>
      <c r="N1710" t="s">
        <v>222</v>
      </c>
      <c r="O1710" t="s">
        <v>5764</v>
      </c>
      <c r="P1710" t="s">
        <v>5765</v>
      </c>
      <c r="Q1710" t="str">
        <f>IF($C1710="","",IFERROR(VLOOKUP($C1710,sources!$A$2:$N$200,2,FALSE()),"?"))</f>
        <v>Map</v>
      </c>
      <c r="S1710" t="str">
        <f>IF($C1710="","",IFERROR(VLOOKUP($C1710,sources!$A$2:$N$200,9,FALSE()),"?"))</f>
        <v>French company</v>
      </c>
    </row>
    <row r="1711" spans="1:19" x14ac:dyDescent="0.2">
      <c r="A1711" t="s">
        <v>5766</v>
      </c>
      <c r="B1711" t="s">
        <v>198</v>
      </c>
      <c r="C1711" t="s">
        <v>1516</v>
      </c>
      <c r="D1711" t="s">
        <v>1599</v>
      </c>
      <c r="E1711" t="s">
        <v>199</v>
      </c>
      <c r="F1711" t="s">
        <v>3285</v>
      </c>
      <c r="K1711" t="s">
        <v>1450</v>
      </c>
      <c r="L1711" t="s">
        <v>1450</v>
      </c>
      <c r="M1711" t="s">
        <v>222</v>
      </c>
      <c r="N1711" t="s">
        <v>222</v>
      </c>
      <c r="O1711" t="s">
        <v>5767</v>
      </c>
      <c r="P1711" t="s">
        <v>5768</v>
      </c>
      <c r="Q1711" t="str">
        <f>IF($C1711="","",IFERROR(VLOOKUP($C1711,sources!$A$2:$N$200,2,FALSE()),"?"))</f>
        <v>Map</v>
      </c>
      <c r="S1711" t="str">
        <f>IF($C1711="","",IFERROR(VLOOKUP($C1711,sources!$A$2:$N$200,9,FALSE()),"?"))</f>
        <v>French company</v>
      </c>
    </row>
    <row r="1712" spans="1:19" x14ac:dyDescent="0.2">
      <c r="A1712" t="s">
        <v>5769</v>
      </c>
      <c r="B1712" t="s">
        <v>272</v>
      </c>
      <c r="C1712" t="s">
        <v>1516</v>
      </c>
      <c r="D1712" t="s">
        <v>1599</v>
      </c>
      <c r="E1712" t="s">
        <v>273</v>
      </c>
      <c r="F1712" t="s">
        <v>3285</v>
      </c>
      <c r="K1712" t="s">
        <v>1450</v>
      </c>
      <c r="L1712" t="s">
        <v>1450</v>
      </c>
      <c r="M1712" t="s">
        <v>222</v>
      </c>
      <c r="N1712" t="s">
        <v>222</v>
      </c>
      <c r="O1712" t="s">
        <v>5770</v>
      </c>
      <c r="P1712" t="s">
        <v>5771</v>
      </c>
      <c r="Q1712" t="str">
        <f>IF($C1712="","",IFERROR(VLOOKUP($C1712,sources!$A$2:$N$200,2,FALSE()),"?"))</f>
        <v>Map</v>
      </c>
      <c r="S1712" t="str">
        <f>IF($C1712="","",IFERROR(VLOOKUP($C1712,sources!$A$2:$N$200,9,FALSE()),"?"))</f>
        <v>French company</v>
      </c>
    </row>
    <row r="1713" spans="1:19" x14ac:dyDescent="0.2">
      <c r="A1713" t="s">
        <v>5772</v>
      </c>
      <c r="B1713" t="s">
        <v>272</v>
      </c>
      <c r="C1713" t="s">
        <v>1516</v>
      </c>
      <c r="D1713" t="s">
        <v>1599</v>
      </c>
      <c r="E1713" t="s">
        <v>585</v>
      </c>
      <c r="F1713" t="s">
        <v>3285</v>
      </c>
      <c r="K1713" t="s">
        <v>1450</v>
      </c>
      <c r="L1713" t="s">
        <v>1450</v>
      </c>
      <c r="M1713" t="s">
        <v>222</v>
      </c>
      <c r="N1713" t="s">
        <v>222</v>
      </c>
      <c r="O1713" t="s">
        <v>5773</v>
      </c>
      <c r="P1713" t="s">
        <v>5774</v>
      </c>
      <c r="Q1713" t="str">
        <f>IF($C1713="","",IFERROR(VLOOKUP($C1713,sources!$A$2:$N$200,2,FALSE()),"?"))</f>
        <v>Map</v>
      </c>
      <c r="S1713" t="str">
        <f>IF($C1713="","",IFERROR(VLOOKUP($C1713,sources!$A$2:$N$200,9,FALSE()),"?"))</f>
        <v>French company</v>
      </c>
    </row>
    <row r="1714" spans="1:19" x14ac:dyDescent="0.2">
      <c r="A1714" t="s">
        <v>5775</v>
      </c>
      <c r="B1714" t="s">
        <v>280</v>
      </c>
      <c r="C1714" t="s">
        <v>1516</v>
      </c>
      <c r="D1714" t="s">
        <v>1585</v>
      </c>
      <c r="E1714" t="s">
        <v>281</v>
      </c>
      <c r="F1714" t="s">
        <v>3285</v>
      </c>
      <c r="M1714" t="s">
        <v>222</v>
      </c>
      <c r="N1714" t="s">
        <v>222</v>
      </c>
      <c r="O1714" t="s">
        <v>5776</v>
      </c>
      <c r="P1714" t="s">
        <v>5777</v>
      </c>
      <c r="Q1714" t="str">
        <f>IF($C1714="","",IFERROR(VLOOKUP($C1714,sources!$A$2:$N$200,2,FALSE()),"?"))</f>
        <v>Map</v>
      </c>
      <c r="S1714" t="str">
        <f>IF($C1714="","",IFERROR(VLOOKUP($C1714,sources!$A$2:$N$200,9,FALSE()),"?"))</f>
        <v>French company</v>
      </c>
    </row>
    <row r="1715" spans="1:19" x14ac:dyDescent="0.2">
      <c r="A1715" t="s">
        <v>5778</v>
      </c>
      <c r="B1715" t="s">
        <v>252</v>
      </c>
      <c r="C1715" t="s">
        <v>1516</v>
      </c>
      <c r="D1715" t="s">
        <v>1599</v>
      </c>
      <c r="E1715" t="s">
        <v>324</v>
      </c>
      <c r="F1715" t="s">
        <v>3285</v>
      </c>
      <c r="K1715" t="s">
        <v>1450</v>
      </c>
      <c r="L1715" t="s">
        <v>1450</v>
      </c>
      <c r="M1715" t="s">
        <v>222</v>
      </c>
      <c r="N1715" t="s">
        <v>222</v>
      </c>
      <c r="O1715" t="s">
        <v>5779</v>
      </c>
      <c r="P1715" t="s">
        <v>5780</v>
      </c>
      <c r="Q1715" t="str">
        <f>IF($C1715="","",IFERROR(VLOOKUP($C1715,sources!$A$2:$N$200,2,FALSE()),"?"))</f>
        <v>Map</v>
      </c>
      <c r="S1715" t="str">
        <f>IF($C1715="","",IFERROR(VLOOKUP($C1715,sources!$A$2:$N$200,9,FALSE()),"?"))</f>
        <v>French company</v>
      </c>
    </row>
    <row r="1716" spans="1:19" x14ac:dyDescent="0.2">
      <c r="A1716" t="s">
        <v>5781</v>
      </c>
      <c r="B1716" t="s">
        <v>266</v>
      </c>
      <c r="C1716" t="s">
        <v>1516</v>
      </c>
      <c r="D1716" t="s">
        <v>1599</v>
      </c>
      <c r="E1716" t="s">
        <v>267</v>
      </c>
      <c r="F1716" t="s">
        <v>3285</v>
      </c>
      <c r="K1716" t="s">
        <v>1450</v>
      </c>
      <c r="L1716" t="s">
        <v>1450</v>
      </c>
      <c r="M1716" t="s">
        <v>222</v>
      </c>
      <c r="N1716" t="s">
        <v>222</v>
      </c>
      <c r="O1716" t="s">
        <v>5782</v>
      </c>
      <c r="P1716" t="s">
        <v>5783</v>
      </c>
      <c r="Q1716" t="str">
        <f>IF($C1716="","",IFERROR(VLOOKUP($C1716,sources!$A$2:$N$200,2,FALSE()),"?"))</f>
        <v>Map</v>
      </c>
      <c r="S1716" t="str">
        <f>IF($C1716="","",IFERROR(VLOOKUP($C1716,sources!$A$2:$N$200,9,FALSE()),"?"))</f>
        <v>French company</v>
      </c>
    </row>
    <row r="1717" spans="1:19" x14ac:dyDescent="0.2">
      <c r="A1717" t="s">
        <v>5784</v>
      </c>
      <c r="B1717" t="s">
        <v>376</v>
      </c>
      <c r="C1717" t="s">
        <v>1516</v>
      </c>
      <c r="D1717" t="s">
        <v>1599</v>
      </c>
      <c r="E1717" t="s">
        <v>377</v>
      </c>
      <c r="F1717" t="s">
        <v>3285</v>
      </c>
      <c r="K1717" t="s">
        <v>1450</v>
      </c>
      <c r="L1717" t="s">
        <v>1450</v>
      </c>
      <c r="M1717" t="s">
        <v>222</v>
      </c>
      <c r="N1717" t="s">
        <v>222</v>
      </c>
      <c r="O1717" t="s">
        <v>5785</v>
      </c>
      <c r="P1717" t="s">
        <v>5786</v>
      </c>
      <c r="Q1717" t="str">
        <f>IF($C1717="","",IFERROR(VLOOKUP($C1717,sources!$A$2:$N$200,2,FALSE()),"?"))</f>
        <v>Map</v>
      </c>
      <c r="S1717" t="str">
        <f>IF($C1717="","",IFERROR(VLOOKUP($C1717,sources!$A$2:$N$200,9,FALSE()),"?"))</f>
        <v>French company</v>
      </c>
    </row>
    <row r="1718" spans="1:19" x14ac:dyDescent="0.2">
      <c r="A1718" t="s">
        <v>5787</v>
      </c>
      <c r="B1718" t="s">
        <v>363</v>
      </c>
      <c r="C1718" t="s">
        <v>1516</v>
      </c>
      <c r="D1718" t="s">
        <v>1599</v>
      </c>
      <c r="E1718" t="s">
        <v>364</v>
      </c>
      <c r="F1718" t="s">
        <v>3285</v>
      </c>
      <c r="K1718" t="s">
        <v>1450</v>
      </c>
      <c r="L1718" t="s">
        <v>1450</v>
      </c>
      <c r="M1718" t="s">
        <v>222</v>
      </c>
      <c r="N1718" t="s">
        <v>222</v>
      </c>
      <c r="O1718" t="s">
        <v>5788</v>
      </c>
      <c r="P1718" t="s">
        <v>5789</v>
      </c>
      <c r="Q1718" t="str">
        <f>IF($C1718="","",IFERROR(VLOOKUP($C1718,sources!$A$2:$N$200,2,FALSE()),"?"))</f>
        <v>Map</v>
      </c>
      <c r="S1718" t="str">
        <f>IF($C1718="","",IFERROR(VLOOKUP($C1718,sources!$A$2:$N$200,9,FALSE()),"?"))</f>
        <v>French company</v>
      </c>
    </row>
    <row r="1719" spans="1:19" x14ac:dyDescent="0.2">
      <c r="A1719" t="s">
        <v>5790</v>
      </c>
      <c r="B1719" t="s">
        <v>359</v>
      </c>
      <c r="C1719" t="s">
        <v>1516</v>
      </c>
      <c r="D1719" t="s">
        <v>1599</v>
      </c>
      <c r="E1719" t="s">
        <v>360</v>
      </c>
      <c r="F1719" t="s">
        <v>3285</v>
      </c>
      <c r="K1719" t="s">
        <v>1450</v>
      </c>
      <c r="L1719" t="s">
        <v>1450</v>
      </c>
      <c r="M1719" t="s">
        <v>222</v>
      </c>
      <c r="N1719" t="s">
        <v>222</v>
      </c>
      <c r="O1719" t="s">
        <v>5791</v>
      </c>
      <c r="P1719" t="s">
        <v>5792</v>
      </c>
      <c r="Q1719" t="str">
        <f>IF($C1719="","",IFERROR(VLOOKUP($C1719,sources!$A$2:$N$200,2,FALSE()),"?"))</f>
        <v>Map</v>
      </c>
      <c r="S1719" t="str">
        <f>IF($C1719="","",IFERROR(VLOOKUP($C1719,sources!$A$2:$N$200,9,FALSE()),"?"))</f>
        <v>French company</v>
      </c>
    </row>
    <row r="1720" spans="1:19" x14ac:dyDescent="0.2">
      <c r="A1720" t="s">
        <v>5793</v>
      </c>
      <c r="B1720" t="s">
        <v>370</v>
      </c>
      <c r="C1720" t="s">
        <v>1516</v>
      </c>
      <c r="D1720" t="s">
        <v>1599</v>
      </c>
      <c r="E1720" t="s">
        <v>371</v>
      </c>
      <c r="F1720" t="s">
        <v>3285</v>
      </c>
      <c r="K1720" t="s">
        <v>1450</v>
      </c>
      <c r="L1720" t="s">
        <v>1450</v>
      </c>
      <c r="M1720" t="s">
        <v>222</v>
      </c>
      <c r="N1720" t="s">
        <v>222</v>
      </c>
      <c r="O1720" t="s">
        <v>5794</v>
      </c>
      <c r="P1720" t="s">
        <v>5795</v>
      </c>
      <c r="Q1720" t="str">
        <f>IF($C1720="","",IFERROR(VLOOKUP($C1720,sources!$A$2:$N$200,2,FALSE()),"?"))</f>
        <v>Map</v>
      </c>
      <c r="S1720" t="str">
        <f>IF($C1720="","",IFERROR(VLOOKUP($C1720,sources!$A$2:$N$200,9,FALSE()),"?"))</f>
        <v>French company</v>
      </c>
    </row>
    <row r="1721" spans="1:19" x14ac:dyDescent="0.2">
      <c r="A1721" t="s">
        <v>5796</v>
      </c>
      <c r="B1721" t="s">
        <v>367</v>
      </c>
      <c r="C1721" t="s">
        <v>1516</v>
      </c>
      <c r="D1721" t="s">
        <v>1599</v>
      </c>
      <c r="E1721" t="s">
        <v>368</v>
      </c>
      <c r="F1721" t="s">
        <v>3285</v>
      </c>
      <c r="K1721" t="s">
        <v>1450</v>
      </c>
      <c r="L1721" t="s">
        <v>1450</v>
      </c>
      <c r="M1721" t="s">
        <v>222</v>
      </c>
      <c r="N1721" t="s">
        <v>222</v>
      </c>
      <c r="O1721" t="s">
        <v>5797</v>
      </c>
      <c r="P1721" t="s">
        <v>5798</v>
      </c>
      <c r="Q1721" t="str">
        <f>IF($C1721="","",IFERROR(VLOOKUP($C1721,sources!$A$2:$N$200,2,FALSE()),"?"))</f>
        <v>Map</v>
      </c>
      <c r="S1721" t="str">
        <f>IF($C1721="","",IFERROR(VLOOKUP($C1721,sources!$A$2:$N$200,9,FALSE()),"?"))</f>
        <v>French company</v>
      </c>
    </row>
    <row r="1722" spans="1:19" x14ac:dyDescent="0.2">
      <c r="A1722" t="s">
        <v>5799</v>
      </c>
      <c r="B1722" t="s">
        <v>349</v>
      </c>
      <c r="C1722" t="s">
        <v>1521</v>
      </c>
      <c r="D1722" t="s">
        <v>1599</v>
      </c>
      <c r="E1722" t="s">
        <v>5800</v>
      </c>
      <c r="F1722" t="s">
        <v>1612</v>
      </c>
      <c r="I1722" t="s">
        <v>1077</v>
      </c>
      <c r="K1722">
        <v>1927</v>
      </c>
      <c r="L1722">
        <v>1927</v>
      </c>
      <c r="M1722" t="s">
        <v>222</v>
      </c>
      <c r="N1722" t="s">
        <v>222</v>
      </c>
      <c r="O1722" t="s">
        <v>5801</v>
      </c>
      <c r="P1722" t="s">
        <v>5802</v>
      </c>
      <c r="Q1722" t="str">
        <f>IF($C1722="","",IFERROR(VLOOKUP($C1722,sources!$A$2:$N$200,2,FALSE()),"?"))</f>
        <v>Map</v>
      </c>
      <c r="S1722" t="str">
        <f>IF($C1722="","",IFERROR(VLOOKUP($C1722,sources!$A$2:$N$200,9,FALSE()),"?"))</f>
        <v>US official</v>
      </c>
    </row>
    <row r="1723" spans="1:19" x14ac:dyDescent="0.2">
      <c r="A1723" t="s">
        <v>5803</v>
      </c>
      <c r="B1723" t="s">
        <v>434</v>
      </c>
      <c r="C1723" t="s">
        <v>1521</v>
      </c>
      <c r="D1723" t="s">
        <v>1599</v>
      </c>
      <c r="E1723" t="s">
        <v>3501</v>
      </c>
      <c r="F1723" t="s">
        <v>1612</v>
      </c>
      <c r="I1723" t="s">
        <v>1077</v>
      </c>
      <c r="K1723">
        <v>1927</v>
      </c>
      <c r="L1723">
        <v>1927</v>
      </c>
      <c r="M1723" t="s">
        <v>222</v>
      </c>
      <c r="N1723" t="s">
        <v>228</v>
      </c>
      <c r="O1723" t="s">
        <v>5801</v>
      </c>
      <c r="P1723" t="s">
        <v>5804</v>
      </c>
      <c r="Q1723" t="str">
        <f>IF($C1723="","",IFERROR(VLOOKUP($C1723,sources!$A$2:$N$200,2,FALSE()),"?"))</f>
        <v>Map</v>
      </c>
      <c r="S1723" t="str">
        <f>IF($C1723="","",IFERROR(VLOOKUP($C1723,sources!$A$2:$N$200,9,FALSE()),"?"))</f>
        <v>US official</v>
      </c>
    </row>
    <row r="1724" spans="1:19" x14ac:dyDescent="0.2">
      <c r="A1724" t="s">
        <v>5805</v>
      </c>
      <c r="B1724" t="s">
        <v>280</v>
      </c>
      <c r="C1724" t="s">
        <v>1521</v>
      </c>
      <c r="D1724" t="s">
        <v>1599</v>
      </c>
      <c r="E1724" t="s">
        <v>3743</v>
      </c>
      <c r="F1724" t="s">
        <v>1612</v>
      </c>
      <c r="I1724" t="s">
        <v>1077</v>
      </c>
      <c r="K1724">
        <v>1927</v>
      </c>
      <c r="L1724">
        <v>1927</v>
      </c>
      <c r="M1724" t="s">
        <v>222</v>
      </c>
      <c r="N1724" t="s">
        <v>222</v>
      </c>
      <c r="O1724" t="s">
        <v>5801</v>
      </c>
      <c r="P1724" t="s">
        <v>5806</v>
      </c>
      <c r="Q1724" t="str">
        <f>IF($C1724="","",IFERROR(VLOOKUP($C1724,sources!$A$2:$N$200,2,FALSE()),"?"))</f>
        <v>Map</v>
      </c>
      <c r="S1724" t="str">
        <f>IF($C1724="","",IFERROR(VLOOKUP($C1724,sources!$A$2:$N$200,9,FALSE()),"?"))</f>
        <v>US official</v>
      </c>
    </row>
    <row r="1725" spans="1:19" x14ac:dyDescent="0.2">
      <c r="A1725" t="s">
        <v>5807</v>
      </c>
      <c r="B1725" t="s">
        <v>252</v>
      </c>
      <c r="C1725" t="s">
        <v>1521</v>
      </c>
      <c r="D1725" t="s">
        <v>1599</v>
      </c>
      <c r="E1725" t="s">
        <v>3035</v>
      </c>
      <c r="F1725" t="s">
        <v>1612</v>
      </c>
      <c r="I1725" t="s">
        <v>1077</v>
      </c>
      <c r="M1725" t="s">
        <v>209</v>
      </c>
      <c r="N1725" t="s">
        <v>228</v>
      </c>
      <c r="O1725" t="s">
        <v>5801</v>
      </c>
      <c r="P1725" t="s">
        <v>5808</v>
      </c>
      <c r="Q1725" t="str">
        <f>IF($C1725="","",IFERROR(VLOOKUP($C1725,sources!$A$2:$N$200,2,FALSE()),"?"))</f>
        <v>Map</v>
      </c>
      <c r="S1725" t="str">
        <f>IF($C1725="","",IFERROR(VLOOKUP($C1725,sources!$A$2:$N$200,9,FALSE()),"?"))</f>
        <v>US official</v>
      </c>
    </row>
    <row r="1726" spans="1:19" x14ac:dyDescent="0.2">
      <c r="A1726" t="s">
        <v>5809</v>
      </c>
      <c r="B1726" t="s">
        <v>266</v>
      </c>
      <c r="C1726" t="s">
        <v>1521</v>
      </c>
      <c r="D1726" t="s">
        <v>1585</v>
      </c>
      <c r="E1726" t="s">
        <v>5810</v>
      </c>
      <c r="F1726" t="s">
        <v>1612</v>
      </c>
      <c r="I1726" t="s">
        <v>1077</v>
      </c>
      <c r="K1726">
        <v>1927</v>
      </c>
      <c r="L1726">
        <v>1927</v>
      </c>
      <c r="M1726" t="s">
        <v>222</v>
      </c>
      <c r="N1726" t="s">
        <v>222</v>
      </c>
      <c r="O1726" t="s">
        <v>5801</v>
      </c>
      <c r="P1726" t="s">
        <v>5811</v>
      </c>
      <c r="Q1726" t="str">
        <f>IF($C1726="","",IFERROR(VLOOKUP($C1726,sources!$A$2:$N$200,2,FALSE()),"?"))</f>
        <v>Map</v>
      </c>
      <c r="S1726" t="str">
        <f>IF($C1726="","",IFERROR(VLOOKUP($C1726,sources!$A$2:$N$200,9,FALSE()),"?"))</f>
        <v>US official</v>
      </c>
    </row>
    <row r="1727" spans="1:19" x14ac:dyDescent="0.2">
      <c r="A1727" t="s">
        <v>5812</v>
      </c>
      <c r="B1727" t="s">
        <v>376</v>
      </c>
      <c r="C1727" t="s">
        <v>1521</v>
      </c>
      <c r="D1727" t="s">
        <v>1599</v>
      </c>
      <c r="E1727" t="s">
        <v>377</v>
      </c>
      <c r="F1727" t="s">
        <v>1612</v>
      </c>
      <c r="I1727" t="s">
        <v>1077</v>
      </c>
      <c r="K1727">
        <v>1927</v>
      </c>
      <c r="L1727">
        <v>1927</v>
      </c>
      <c r="M1727" t="s">
        <v>222</v>
      </c>
      <c r="N1727" t="s">
        <v>222</v>
      </c>
      <c r="O1727" t="s">
        <v>5801</v>
      </c>
      <c r="P1727" t="s">
        <v>5813</v>
      </c>
      <c r="Q1727" t="str">
        <f>IF($C1727="","",IFERROR(VLOOKUP($C1727,sources!$A$2:$N$200,2,FALSE()),"?"))</f>
        <v>Map</v>
      </c>
      <c r="S1727" t="str">
        <f>IF($C1727="","",IFERROR(VLOOKUP($C1727,sources!$A$2:$N$200,9,FALSE()),"?"))</f>
        <v>US official</v>
      </c>
    </row>
    <row r="1728" spans="1:19" x14ac:dyDescent="0.2">
      <c r="A1728" t="s">
        <v>5814</v>
      </c>
      <c r="B1728" t="s">
        <v>393</v>
      </c>
      <c r="C1728" t="s">
        <v>1521</v>
      </c>
      <c r="D1728" t="s">
        <v>1599</v>
      </c>
      <c r="E1728" t="s">
        <v>394</v>
      </c>
      <c r="F1728" t="s">
        <v>1612</v>
      </c>
      <c r="I1728" t="s">
        <v>1077</v>
      </c>
      <c r="M1728" t="s">
        <v>209</v>
      </c>
      <c r="N1728" t="s">
        <v>222</v>
      </c>
      <c r="O1728" t="s">
        <v>5801</v>
      </c>
      <c r="P1728" t="s">
        <v>5815</v>
      </c>
      <c r="Q1728" t="str">
        <f>IF($C1728="","",IFERROR(VLOOKUP($C1728,sources!$A$2:$N$200,2,FALSE()),"?"))</f>
        <v>Map</v>
      </c>
      <c r="S1728" t="str">
        <f>IF($C1728="","",IFERROR(VLOOKUP($C1728,sources!$A$2:$N$200,9,FALSE()),"?"))</f>
        <v>US official</v>
      </c>
    </row>
    <row r="1729" spans="1:19" x14ac:dyDescent="0.2">
      <c r="A1729" t="s">
        <v>5816</v>
      </c>
      <c r="B1729" t="s">
        <v>370</v>
      </c>
      <c r="C1729" t="s">
        <v>1521</v>
      </c>
      <c r="D1729" t="s">
        <v>1599</v>
      </c>
      <c r="E1729" t="s">
        <v>371</v>
      </c>
      <c r="F1729" t="s">
        <v>1612</v>
      </c>
      <c r="I1729" t="s">
        <v>1077</v>
      </c>
      <c r="K1729">
        <v>1927</v>
      </c>
      <c r="L1729">
        <v>1927</v>
      </c>
      <c r="M1729" t="s">
        <v>222</v>
      </c>
      <c r="N1729" t="s">
        <v>222</v>
      </c>
      <c r="O1729" t="s">
        <v>5801</v>
      </c>
      <c r="P1729" t="s">
        <v>5813</v>
      </c>
      <c r="Q1729" t="str">
        <f>IF($C1729="","",IFERROR(VLOOKUP($C1729,sources!$A$2:$N$200,2,FALSE()),"?"))</f>
        <v>Map</v>
      </c>
      <c r="S1729" t="str">
        <f>IF($C1729="","",IFERROR(VLOOKUP($C1729,sources!$A$2:$N$200,9,FALSE()),"?"))</f>
        <v>US official</v>
      </c>
    </row>
    <row r="1730" spans="1:19" x14ac:dyDescent="0.2">
      <c r="A1730" t="s">
        <v>5817</v>
      </c>
      <c r="B1730" t="s">
        <v>544</v>
      </c>
      <c r="C1730" t="s">
        <v>1521</v>
      </c>
      <c r="D1730" t="s">
        <v>1599</v>
      </c>
      <c r="E1730" t="s">
        <v>5818</v>
      </c>
      <c r="F1730" t="s">
        <v>1612</v>
      </c>
      <c r="I1730" t="s">
        <v>1077</v>
      </c>
      <c r="K1730">
        <v>1927</v>
      </c>
      <c r="L1730">
        <v>1927</v>
      </c>
      <c r="M1730" t="s">
        <v>222</v>
      </c>
      <c r="N1730" t="s">
        <v>222</v>
      </c>
      <c r="O1730" t="s">
        <v>5801</v>
      </c>
      <c r="P1730" t="s">
        <v>5819</v>
      </c>
      <c r="Q1730" t="str">
        <f>IF($C1730="","",IFERROR(VLOOKUP($C1730,sources!$A$2:$N$200,2,FALSE()),"?"))</f>
        <v>Map</v>
      </c>
      <c r="S1730" t="str">
        <f>IF($C1730="","",IFERROR(VLOOKUP($C1730,sources!$A$2:$N$200,9,FALSE()),"?"))</f>
        <v>US official</v>
      </c>
    </row>
    <row r="1731" spans="1:19" x14ac:dyDescent="0.2">
      <c r="A1731" t="s">
        <v>5820</v>
      </c>
      <c r="B1731" t="s">
        <v>557</v>
      </c>
      <c r="C1731" t="s">
        <v>1521</v>
      </c>
      <c r="D1731" t="s">
        <v>1599</v>
      </c>
      <c r="E1731" t="s">
        <v>5821</v>
      </c>
      <c r="F1731" t="s">
        <v>1612</v>
      </c>
      <c r="I1731" t="s">
        <v>1077</v>
      </c>
      <c r="K1731">
        <v>1927</v>
      </c>
      <c r="L1731">
        <v>1927</v>
      </c>
      <c r="M1731" t="s">
        <v>222</v>
      </c>
      <c r="N1731" t="s">
        <v>222</v>
      </c>
      <c r="O1731" t="s">
        <v>5801</v>
      </c>
      <c r="P1731" t="s">
        <v>5813</v>
      </c>
      <c r="Q1731" t="str">
        <f>IF($C1731="","",IFERROR(VLOOKUP($C1731,sources!$A$2:$N$200,2,FALSE()),"?"))</f>
        <v>Map</v>
      </c>
      <c r="S1731" t="str">
        <f>IF($C1731="","",IFERROR(VLOOKUP($C1731,sources!$A$2:$N$200,9,FALSE()),"?"))</f>
        <v>US official</v>
      </c>
    </row>
    <row r="1732" spans="1:19" x14ac:dyDescent="0.2">
      <c r="A1732" t="s">
        <v>5822</v>
      </c>
      <c r="B1732" t="s">
        <v>261</v>
      </c>
      <c r="C1732" t="s">
        <v>1521</v>
      </c>
      <c r="D1732" t="s">
        <v>1666</v>
      </c>
      <c r="E1732" t="s">
        <v>262</v>
      </c>
      <c r="F1732" t="s">
        <v>1612</v>
      </c>
      <c r="I1732" t="s">
        <v>1077</v>
      </c>
      <c r="K1732">
        <v>1927</v>
      </c>
      <c r="L1732">
        <v>1927</v>
      </c>
      <c r="M1732" t="s">
        <v>222</v>
      </c>
      <c r="N1732" t="s">
        <v>228</v>
      </c>
      <c r="O1732" t="s">
        <v>5801</v>
      </c>
      <c r="P1732" t="s">
        <v>5823</v>
      </c>
      <c r="Q1732" t="str">
        <f>IF($C1732="","",IFERROR(VLOOKUP($C1732,sources!$A$2:$N$200,2,FALSE()),"?"))</f>
        <v>Map</v>
      </c>
      <c r="S1732" t="str">
        <f>IF($C1732="","",IFERROR(VLOOKUP($C1732,sources!$A$2:$N$200,9,FALSE()),"?"))</f>
        <v>US official</v>
      </c>
    </row>
    <row r="1733" spans="1:19" x14ac:dyDescent="0.2">
      <c r="A1733" t="s">
        <v>5824</v>
      </c>
      <c r="B1733" t="s">
        <v>198</v>
      </c>
      <c r="C1733" t="s">
        <v>1521</v>
      </c>
      <c r="D1733" t="s">
        <v>1666</v>
      </c>
      <c r="E1733" t="s">
        <v>199</v>
      </c>
      <c r="F1733" t="s">
        <v>1612</v>
      </c>
      <c r="I1733" t="s">
        <v>1077</v>
      </c>
      <c r="K1733">
        <v>1927</v>
      </c>
      <c r="L1733">
        <v>1927</v>
      </c>
      <c r="M1733" t="s">
        <v>222</v>
      </c>
      <c r="N1733" t="s">
        <v>228</v>
      </c>
      <c r="O1733" t="s">
        <v>5801</v>
      </c>
      <c r="P1733" t="s">
        <v>5823</v>
      </c>
      <c r="Q1733" t="str">
        <f>IF($C1733="","",IFERROR(VLOOKUP($C1733,sources!$A$2:$N$200,2,FALSE()),"?"))</f>
        <v>Map</v>
      </c>
      <c r="S1733" t="str">
        <f>IF($C1733="","",IFERROR(VLOOKUP($C1733,sources!$A$2:$N$200,9,FALSE()),"?"))</f>
        <v>US official</v>
      </c>
    </row>
    <row r="1734" spans="1:19" x14ac:dyDescent="0.2">
      <c r="A1734" t="s">
        <v>5825</v>
      </c>
      <c r="B1734" t="s">
        <v>382</v>
      </c>
      <c r="C1734" t="s">
        <v>1521</v>
      </c>
      <c r="D1734" t="s">
        <v>1666</v>
      </c>
      <c r="E1734" t="s">
        <v>383</v>
      </c>
      <c r="F1734" t="s">
        <v>1612</v>
      </c>
      <c r="I1734" t="s">
        <v>1077</v>
      </c>
      <c r="K1734">
        <v>1927</v>
      </c>
      <c r="L1734">
        <v>1927</v>
      </c>
      <c r="M1734" t="s">
        <v>222</v>
      </c>
      <c r="N1734" t="s">
        <v>228</v>
      </c>
      <c r="O1734" t="s">
        <v>5801</v>
      </c>
      <c r="P1734" t="s">
        <v>5823</v>
      </c>
      <c r="Q1734" t="str">
        <f>IF($C1734="","",IFERROR(VLOOKUP($C1734,sources!$A$2:$N$200,2,FALSE()),"?"))</f>
        <v>Map</v>
      </c>
      <c r="S1734" t="str">
        <f>IF($C1734="","",IFERROR(VLOOKUP($C1734,sources!$A$2:$N$200,9,FALSE()),"?"))</f>
        <v>US official</v>
      </c>
    </row>
    <row r="1735" spans="1:19" x14ac:dyDescent="0.2">
      <c r="A1735" t="s">
        <v>5826</v>
      </c>
      <c r="B1735" t="s">
        <v>414</v>
      </c>
      <c r="C1735" t="s">
        <v>1521</v>
      </c>
      <c r="D1735" t="s">
        <v>1666</v>
      </c>
      <c r="E1735" t="s">
        <v>415</v>
      </c>
      <c r="F1735" t="s">
        <v>1612</v>
      </c>
      <c r="I1735" t="s">
        <v>1077</v>
      </c>
      <c r="K1735">
        <v>1927</v>
      </c>
      <c r="L1735">
        <v>1927</v>
      </c>
      <c r="M1735" t="s">
        <v>222</v>
      </c>
      <c r="N1735" t="s">
        <v>228</v>
      </c>
      <c r="O1735" t="s">
        <v>5801</v>
      </c>
      <c r="P1735" t="s">
        <v>5823</v>
      </c>
      <c r="Q1735" t="str">
        <f>IF($C1735="","",IFERROR(VLOOKUP($C1735,sources!$A$2:$N$200,2,FALSE()),"?"))</f>
        <v>Map</v>
      </c>
      <c r="S1735" t="str">
        <f>IF($C1735="","",IFERROR(VLOOKUP($C1735,sources!$A$2:$N$200,9,FALSE()),"?"))</f>
        <v>US official</v>
      </c>
    </row>
    <row r="1736" spans="1:19" x14ac:dyDescent="0.2">
      <c r="A1736" t="s">
        <v>5827</v>
      </c>
      <c r="B1736" t="s">
        <v>284</v>
      </c>
      <c r="C1736" t="s">
        <v>1521</v>
      </c>
      <c r="D1736" t="s">
        <v>1666</v>
      </c>
      <c r="E1736" t="s">
        <v>285</v>
      </c>
      <c r="F1736" t="s">
        <v>1612</v>
      </c>
      <c r="I1736" t="s">
        <v>1077</v>
      </c>
      <c r="K1736">
        <v>1927</v>
      </c>
      <c r="L1736">
        <v>1927</v>
      </c>
      <c r="M1736" t="s">
        <v>222</v>
      </c>
      <c r="N1736" t="s">
        <v>228</v>
      </c>
      <c r="O1736" t="s">
        <v>5801</v>
      </c>
      <c r="P1736" t="s">
        <v>5823</v>
      </c>
      <c r="Q1736" t="str">
        <f>IF($C1736="","",IFERROR(VLOOKUP($C1736,sources!$A$2:$N$200,2,FALSE()),"?"))</f>
        <v>Map</v>
      </c>
      <c r="S1736" t="str">
        <f>IF($C1736="","",IFERROR(VLOOKUP($C1736,sources!$A$2:$N$200,9,FALSE()),"?"))</f>
        <v>US official</v>
      </c>
    </row>
    <row r="1737" spans="1:19" x14ac:dyDescent="0.2">
      <c r="A1737" t="s">
        <v>5828</v>
      </c>
      <c r="B1737" t="s">
        <v>379</v>
      </c>
      <c r="C1737" t="s">
        <v>1521</v>
      </c>
      <c r="D1737" t="s">
        <v>1666</v>
      </c>
      <c r="E1737" t="s">
        <v>380</v>
      </c>
      <c r="F1737" t="s">
        <v>1612</v>
      </c>
      <c r="I1737" t="s">
        <v>1077</v>
      </c>
      <c r="K1737">
        <v>1927</v>
      </c>
      <c r="L1737">
        <v>1927</v>
      </c>
      <c r="M1737" t="s">
        <v>222</v>
      </c>
      <c r="N1737" t="s">
        <v>228</v>
      </c>
      <c r="O1737" t="s">
        <v>5801</v>
      </c>
      <c r="P1737" t="s">
        <v>5823</v>
      </c>
      <c r="Q1737" t="str">
        <f>IF($C1737="","",IFERROR(VLOOKUP($C1737,sources!$A$2:$N$200,2,FALSE()),"?"))</f>
        <v>Map</v>
      </c>
      <c r="S1737" t="str">
        <f>IF($C1737="","",IFERROR(VLOOKUP($C1737,sources!$A$2:$N$200,9,FALSE()),"?"))</f>
        <v>US official</v>
      </c>
    </row>
    <row r="1738" spans="1:19" x14ac:dyDescent="0.2">
      <c r="A1738" t="s">
        <v>5829</v>
      </c>
      <c r="B1738" t="s">
        <v>452</v>
      </c>
      <c r="C1738" t="s">
        <v>1521</v>
      </c>
      <c r="D1738" t="s">
        <v>1666</v>
      </c>
      <c r="E1738" t="s">
        <v>453</v>
      </c>
      <c r="F1738" t="s">
        <v>1612</v>
      </c>
      <c r="I1738" t="s">
        <v>1077</v>
      </c>
      <c r="K1738">
        <v>1927</v>
      </c>
      <c r="L1738">
        <v>1927</v>
      </c>
      <c r="M1738" t="s">
        <v>222</v>
      </c>
      <c r="N1738" t="s">
        <v>228</v>
      </c>
      <c r="O1738" t="s">
        <v>5801</v>
      </c>
      <c r="P1738" t="s">
        <v>5823</v>
      </c>
      <c r="Q1738" t="str">
        <f>IF($C1738="","",IFERROR(VLOOKUP($C1738,sources!$A$2:$N$200,2,FALSE()),"?"))</f>
        <v>Map</v>
      </c>
      <c r="S1738" t="str">
        <f>IF($C1738="","",IFERROR(VLOOKUP($C1738,sources!$A$2:$N$200,9,FALSE()),"?"))</f>
        <v>US official</v>
      </c>
    </row>
    <row r="1739" spans="1:19" x14ac:dyDescent="0.2">
      <c r="A1739" t="s">
        <v>5830</v>
      </c>
      <c r="B1739" t="s">
        <v>272</v>
      </c>
      <c r="C1739" t="s">
        <v>1521</v>
      </c>
      <c r="D1739" t="s">
        <v>1666</v>
      </c>
      <c r="E1739" t="s">
        <v>273</v>
      </c>
      <c r="F1739" t="s">
        <v>1612</v>
      </c>
      <c r="I1739" t="s">
        <v>1077</v>
      </c>
      <c r="K1739">
        <v>1927</v>
      </c>
      <c r="L1739">
        <v>1927</v>
      </c>
      <c r="M1739" t="s">
        <v>222</v>
      </c>
      <c r="N1739" t="s">
        <v>228</v>
      </c>
      <c r="O1739" t="s">
        <v>5801</v>
      </c>
      <c r="P1739" t="s">
        <v>5823</v>
      </c>
      <c r="Q1739" t="str">
        <f>IF($C1739="","",IFERROR(VLOOKUP($C1739,sources!$A$2:$N$200,2,FALSE()),"?"))</f>
        <v>Map</v>
      </c>
      <c r="S1739" t="str">
        <f>IF($C1739="","",IFERROR(VLOOKUP($C1739,sources!$A$2:$N$200,9,FALSE()),"?"))</f>
        <v>US official</v>
      </c>
    </row>
    <row r="1740" spans="1:19" x14ac:dyDescent="0.2">
      <c r="A1740" t="s">
        <v>5831</v>
      </c>
      <c r="B1740" t="s">
        <v>349</v>
      </c>
      <c r="C1740" t="s">
        <v>1516</v>
      </c>
      <c r="D1740" t="s">
        <v>1599</v>
      </c>
      <c r="E1740" t="s">
        <v>5611</v>
      </c>
      <c r="F1740" t="s">
        <v>1587</v>
      </c>
      <c r="K1740" t="s">
        <v>1450</v>
      </c>
      <c r="L1740" t="s">
        <v>1450</v>
      </c>
      <c r="M1740" t="s">
        <v>222</v>
      </c>
      <c r="N1740" t="s">
        <v>222</v>
      </c>
      <c r="O1740" t="s">
        <v>5832</v>
      </c>
      <c r="P1740" t="s">
        <v>5833</v>
      </c>
      <c r="Q1740" t="str">
        <f>IF($C1740="","",IFERROR(VLOOKUP($C1740,sources!$A$2:$N$200,2,FALSE()),"?"))</f>
        <v>Map</v>
      </c>
      <c r="S1740" t="str">
        <f>IF($C1740="","",IFERROR(VLOOKUP($C1740,sources!$A$2:$N$200,9,FALSE()),"?"))</f>
        <v>French company</v>
      </c>
    </row>
    <row r="1741" spans="1:19" x14ac:dyDescent="0.2">
      <c r="A1741" t="s">
        <v>5834</v>
      </c>
      <c r="B1741" t="s">
        <v>921</v>
      </c>
      <c r="C1741" t="s">
        <v>1167</v>
      </c>
      <c r="D1741" t="s">
        <v>1599</v>
      </c>
      <c r="E1741" t="s">
        <v>923</v>
      </c>
      <c r="F1741" t="s">
        <v>1587</v>
      </c>
      <c r="K1741" t="s">
        <v>1873</v>
      </c>
      <c r="L1741" t="s">
        <v>1873</v>
      </c>
      <c r="M1741" t="s">
        <v>222</v>
      </c>
      <c r="N1741" t="s">
        <v>228</v>
      </c>
      <c r="O1741" t="s">
        <v>5835</v>
      </c>
      <c r="P1741" t="s">
        <v>5836</v>
      </c>
      <c r="Q1741" t="str">
        <f>IF($C1741="","",IFERROR(VLOOKUP($C1741,sources!$A$2:$N$200,2,FALSE()),"?"))</f>
        <v>Report</v>
      </c>
      <c r="S1741" t="str">
        <f>IF($C1741="","",IFERROR(VLOOKUP($C1741,sources!$A$2:$N$200,9,FALSE()),"?"))</f>
        <v>US official</v>
      </c>
    </row>
    <row r="1742" spans="1:19" x14ac:dyDescent="0.2">
      <c r="A1742" t="s">
        <v>5837</v>
      </c>
      <c r="B1742" t="s">
        <v>1036</v>
      </c>
      <c r="C1742" t="s">
        <v>1167</v>
      </c>
      <c r="D1742" t="s">
        <v>1599</v>
      </c>
      <c r="E1742" t="s">
        <v>1037</v>
      </c>
      <c r="F1742" t="s">
        <v>1587</v>
      </c>
      <c r="K1742" t="s">
        <v>1059</v>
      </c>
      <c r="L1742" t="s">
        <v>1059</v>
      </c>
      <c r="M1742" t="s">
        <v>222</v>
      </c>
      <c r="N1742" t="s">
        <v>228</v>
      </c>
      <c r="O1742" t="s">
        <v>5838</v>
      </c>
      <c r="P1742" t="s">
        <v>5839</v>
      </c>
      <c r="Q1742" t="str">
        <f>IF($C1742="","",IFERROR(VLOOKUP($C1742,sources!$A$2:$N$200,2,FALSE()),"?"))</f>
        <v>Report</v>
      </c>
      <c r="S1742" t="str">
        <f>IF($C1742="","",IFERROR(VLOOKUP($C1742,sources!$A$2:$N$200,9,FALSE()),"?"))</f>
        <v>US official</v>
      </c>
    </row>
    <row r="1743" spans="1:19" x14ac:dyDescent="0.2">
      <c r="A1743" t="s">
        <v>5840</v>
      </c>
      <c r="B1743" t="s">
        <v>1031</v>
      </c>
      <c r="C1743" t="s">
        <v>1167</v>
      </c>
      <c r="D1743" t="s">
        <v>1666</v>
      </c>
      <c r="F1743" t="s">
        <v>1587</v>
      </c>
      <c r="N1743" t="s">
        <v>228</v>
      </c>
      <c r="O1743" t="s">
        <v>5841</v>
      </c>
      <c r="P1743" t="s">
        <v>5842</v>
      </c>
      <c r="Q1743" t="str">
        <f>IF($C1743="","",IFERROR(VLOOKUP($C1743,sources!$A$2:$N$200,2,FALSE()),"?"))</f>
        <v>Report</v>
      </c>
      <c r="S1743" t="str">
        <f>IF($C1743="","",IFERROR(VLOOKUP($C1743,sources!$A$2:$N$200,9,FALSE()),"?"))</f>
        <v>US official</v>
      </c>
    </row>
    <row r="1744" spans="1:19" x14ac:dyDescent="0.2">
      <c r="A1744" t="s">
        <v>5843</v>
      </c>
      <c r="B1744" t="s">
        <v>1040</v>
      </c>
      <c r="C1744" t="s">
        <v>1167</v>
      </c>
      <c r="D1744" t="s">
        <v>1666</v>
      </c>
      <c r="F1744" t="s">
        <v>1587</v>
      </c>
      <c r="N1744" t="s">
        <v>228</v>
      </c>
      <c r="O1744" t="s">
        <v>5841</v>
      </c>
      <c r="P1744" t="s">
        <v>5842</v>
      </c>
      <c r="Q1744" t="str">
        <f>IF($C1744="","",IFERROR(VLOOKUP($C1744,sources!$A$2:$N$200,2,FALSE()),"?"))</f>
        <v>Report</v>
      </c>
      <c r="S1744" t="str">
        <f>IF($C1744="","",IFERROR(VLOOKUP($C1744,sources!$A$2:$N$200,9,FALSE()),"?"))</f>
        <v>US official</v>
      </c>
    </row>
    <row r="1745" spans="1:19" x14ac:dyDescent="0.2">
      <c r="A1745" t="s">
        <v>5844</v>
      </c>
      <c r="B1745" t="s">
        <v>925</v>
      </c>
      <c r="C1745" t="s">
        <v>1167</v>
      </c>
      <c r="D1745" t="s">
        <v>1666</v>
      </c>
      <c r="F1745" t="s">
        <v>1587</v>
      </c>
      <c r="N1745" t="s">
        <v>228</v>
      </c>
      <c r="O1745" t="s">
        <v>5841</v>
      </c>
      <c r="P1745" t="s">
        <v>5845</v>
      </c>
      <c r="Q1745" t="str">
        <f>IF($C1745="","",IFERROR(VLOOKUP($C1745,sources!$A$2:$N$200,2,FALSE()),"?"))</f>
        <v>Report</v>
      </c>
      <c r="S1745" t="str">
        <f>IF($C1745="","",IFERROR(VLOOKUP($C1745,sources!$A$2:$N$200,9,FALSE()),"?"))</f>
        <v>US official</v>
      </c>
    </row>
    <row r="1746" spans="1:19" x14ac:dyDescent="0.2">
      <c r="A1746" t="s">
        <v>5846</v>
      </c>
      <c r="B1746" t="s">
        <v>951</v>
      </c>
      <c r="C1746" t="s">
        <v>1198</v>
      </c>
      <c r="D1746" t="s">
        <v>1666</v>
      </c>
      <c r="E1746" t="s">
        <v>953</v>
      </c>
      <c r="F1746" t="s">
        <v>1612</v>
      </c>
      <c r="I1746" t="s">
        <v>1077</v>
      </c>
      <c r="K1746">
        <v>1909</v>
      </c>
      <c r="L1746">
        <v>1909</v>
      </c>
      <c r="M1746" t="s">
        <v>228</v>
      </c>
      <c r="N1746" t="s">
        <v>222</v>
      </c>
      <c r="O1746" t="s">
        <v>5847</v>
      </c>
      <c r="P1746" t="s">
        <v>5848</v>
      </c>
      <c r="Q1746" t="str">
        <f>IF($C1746="","",IFERROR(VLOOKUP($C1746,sources!$A$2:$N$200,2,FALSE()),"?"))</f>
        <v>Map</v>
      </c>
      <c r="S1746" t="str">
        <f>IF($C1746="","",IFERROR(VLOOKUP($C1746,sources!$A$2:$N$200,9,FALSE()),"?"))</f>
        <v>US official</v>
      </c>
    </row>
    <row r="1747" spans="1:19" x14ac:dyDescent="0.2">
      <c r="A1747" t="s">
        <v>5849</v>
      </c>
      <c r="B1747" t="s">
        <v>439</v>
      </c>
      <c r="C1747" t="s">
        <v>1453</v>
      </c>
      <c r="D1747" t="s">
        <v>1585</v>
      </c>
      <c r="E1747" t="s">
        <v>440</v>
      </c>
      <c r="F1747" t="s">
        <v>1612</v>
      </c>
      <c r="I1747" t="s">
        <v>1077</v>
      </c>
      <c r="K1747">
        <v>1857</v>
      </c>
      <c r="L1747">
        <v>1857</v>
      </c>
      <c r="M1747" t="s">
        <v>228</v>
      </c>
      <c r="N1747" t="s">
        <v>228</v>
      </c>
      <c r="O1747" t="s">
        <v>5847</v>
      </c>
      <c r="P1747" t="s">
        <v>5850</v>
      </c>
      <c r="Q1747" t="str">
        <f>IF($C1747="","",IFERROR(VLOOKUP($C1747,sources!$A$2:$N$200,2,FALSE()),"?"))</f>
        <v>Map</v>
      </c>
      <c r="S1747" t="str">
        <f>IF($C1747="","",IFERROR(VLOOKUP($C1747,sources!$A$2:$N$200,9,FALSE()),"?"))</f>
        <v>US corporate (PRR)</v>
      </c>
    </row>
    <row r="1748" spans="1:19" x14ac:dyDescent="0.2">
      <c r="A1748" t="s">
        <v>5851</v>
      </c>
      <c r="B1748" t="s">
        <v>462</v>
      </c>
      <c r="C1748" t="s">
        <v>1453</v>
      </c>
      <c r="D1748" t="s">
        <v>1599</v>
      </c>
      <c r="E1748" t="s">
        <v>5852</v>
      </c>
      <c r="F1748" t="s">
        <v>1612</v>
      </c>
      <c r="I1748" t="s">
        <v>1077</v>
      </c>
      <c r="K1748">
        <v>1857</v>
      </c>
      <c r="L1748">
        <v>1857</v>
      </c>
      <c r="M1748" t="s">
        <v>228</v>
      </c>
      <c r="N1748" t="s">
        <v>222</v>
      </c>
      <c r="O1748" t="s">
        <v>5847</v>
      </c>
      <c r="P1748" t="s">
        <v>5853</v>
      </c>
      <c r="Q1748" t="str">
        <f>IF($C1748="","",IFERROR(VLOOKUP($C1748,sources!$A$2:$N$200,2,FALSE()),"?"))</f>
        <v>Map</v>
      </c>
      <c r="S1748" t="str">
        <f>IF($C1748="","",IFERROR(VLOOKUP($C1748,sources!$A$2:$N$200,9,FALSE()),"?"))</f>
        <v>US corporate (PRR)</v>
      </c>
    </row>
    <row r="1749" spans="1:19" x14ac:dyDescent="0.2">
      <c r="A1749" t="s">
        <v>5854</v>
      </c>
      <c r="B1749" t="s">
        <v>491</v>
      </c>
      <c r="C1749" t="s">
        <v>1453</v>
      </c>
      <c r="D1749" t="s">
        <v>1666</v>
      </c>
      <c r="E1749" t="s">
        <v>492</v>
      </c>
      <c r="F1749" t="s">
        <v>1612</v>
      </c>
      <c r="I1749" t="s">
        <v>1077</v>
      </c>
      <c r="K1749">
        <v>1857</v>
      </c>
      <c r="L1749">
        <v>1857</v>
      </c>
      <c r="M1749" t="s">
        <v>228</v>
      </c>
      <c r="N1749" t="s">
        <v>222</v>
      </c>
      <c r="O1749" t="s">
        <v>5847</v>
      </c>
      <c r="P1749" t="s">
        <v>5855</v>
      </c>
      <c r="Q1749" t="str">
        <f>IF($C1749="","",IFERROR(VLOOKUP($C1749,sources!$A$2:$N$200,2,FALSE()),"?"))</f>
        <v>Map</v>
      </c>
      <c r="S1749" t="str">
        <f>IF($C1749="","",IFERROR(VLOOKUP($C1749,sources!$A$2:$N$200,9,FALSE()),"?"))</f>
        <v>US corporate (PRR)</v>
      </c>
    </row>
    <row r="1750" spans="1:19" x14ac:dyDescent="0.2">
      <c r="A1750" t="s">
        <v>5856</v>
      </c>
      <c r="B1750" t="s">
        <v>503</v>
      </c>
      <c r="C1750" t="s">
        <v>1453</v>
      </c>
      <c r="D1750" t="s">
        <v>1666</v>
      </c>
      <c r="E1750" t="s">
        <v>504</v>
      </c>
      <c r="F1750" t="s">
        <v>1612</v>
      </c>
      <c r="I1750" t="s">
        <v>1077</v>
      </c>
      <c r="K1750">
        <v>1857</v>
      </c>
      <c r="L1750">
        <v>1857</v>
      </c>
      <c r="M1750" t="s">
        <v>228</v>
      </c>
      <c r="N1750" t="s">
        <v>222</v>
      </c>
      <c r="O1750" t="s">
        <v>5847</v>
      </c>
      <c r="P1750" t="s">
        <v>5857</v>
      </c>
      <c r="Q1750" t="str">
        <f>IF($C1750="","",IFERROR(VLOOKUP($C1750,sources!$A$2:$N$200,2,FALSE()),"?"))</f>
        <v>Map</v>
      </c>
      <c r="S1750" t="str">
        <f>IF($C1750="","",IFERROR(VLOOKUP($C1750,sources!$A$2:$N$200,9,FALSE()),"?"))</f>
        <v>US corporate (PRR)</v>
      </c>
    </row>
    <row r="1751" spans="1:19" x14ac:dyDescent="0.2">
      <c r="A1751" t="s">
        <v>5858</v>
      </c>
      <c r="B1751" t="s">
        <v>526</v>
      </c>
      <c r="C1751" t="s">
        <v>1453</v>
      </c>
      <c r="D1751" t="s">
        <v>1666</v>
      </c>
      <c r="E1751" t="s">
        <v>527</v>
      </c>
      <c r="F1751" t="s">
        <v>1612</v>
      </c>
      <c r="I1751" t="s">
        <v>1077</v>
      </c>
      <c r="K1751">
        <v>1857</v>
      </c>
      <c r="L1751">
        <v>1857</v>
      </c>
      <c r="M1751" t="s">
        <v>228</v>
      </c>
      <c r="N1751" t="s">
        <v>222</v>
      </c>
      <c r="O1751" t="s">
        <v>5847</v>
      </c>
      <c r="P1751" t="s">
        <v>5859</v>
      </c>
      <c r="Q1751" t="str">
        <f>IF($C1751="","",IFERROR(VLOOKUP($C1751,sources!$A$2:$N$200,2,FALSE()),"?"))</f>
        <v>Map</v>
      </c>
      <c r="S1751" t="str">
        <f>IF($C1751="","",IFERROR(VLOOKUP($C1751,sources!$A$2:$N$200,9,FALSE()),"?"))</f>
        <v>US corporate (PRR)</v>
      </c>
    </row>
    <row r="1752" spans="1:19" x14ac:dyDescent="0.2">
      <c r="A1752" t="s">
        <v>5860</v>
      </c>
      <c r="B1752" t="s">
        <v>411</v>
      </c>
      <c r="C1752" t="s">
        <v>1359</v>
      </c>
      <c r="D1752" t="s">
        <v>1666</v>
      </c>
      <c r="E1752" t="s">
        <v>412</v>
      </c>
      <c r="F1752" t="s">
        <v>1587</v>
      </c>
      <c r="I1752" t="s">
        <v>1077</v>
      </c>
      <c r="K1752">
        <v>1862</v>
      </c>
      <c r="L1752">
        <v>1862</v>
      </c>
      <c r="M1752" t="s">
        <v>228</v>
      </c>
      <c r="N1752" t="s">
        <v>222</v>
      </c>
      <c r="O1752" t="s">
        <v>5847</v>
      </c>
      <c r="P1752" t="s">
        <v>5861</v>
      </c>
      <c r="Q1752" t="str">
        <f>IF($C1752="","",IFERROR(VLOOKUP($C1752,sources!$A$2:$N$200,2,FALSE()),"?"))</f>
        <v>Map</v>
      </c>
      <c r="S1752" t="str">
        <f>IF($C1752="","",IFERROR(VLOOKUP($C1752,sources!$A$2:$N$200,9,FALSE()),"?"))</f>
        <v>PRR company</v>
      </c>
    </row>
    <row r="1753" spans="1:19" x14ac:dyDescent="0.2">
      <c r="A1753" t="s">
        <v>5862</v>
      </c>
      <c r="B1753" t="s">
        <v>584</v>
      </c>
      <c r="C1753" t="s">
        <v>1359</v>
      </c>
      <c r="D1753" t="s">
        <v>1599</v>
      </c>
      <c r="E1753" t="s">
        <v>3856</v>
      </c>
      <c r="F1753" t="s">
        <v>1587</v>
      </c>
      <c r="I1753" t="s">
        <v>1077</v>
      </c>
      <c r="K1753">
        <v>1862</v>
      </c>
      <c r="L1753">
        <v>1862</v>
      </c>
      <c r="M1753" t="s">
        <v>228</v>
      </c>
      <c r="N1753" t="s">
        <v>228</v>
      </c>
      <c r="O1753" t="s">
        <v>5847</v>
      </c>
      <c r="P1753" t="s">
        <v>5863</v>
      </c>
      <c r="Q1753" t="str">
        <f>IF($C1753="","",IFERROR(VLOOKUP($C1753,sources!$A$2:$N$200,2,FALSE()),"?"))</f>
        <v>Map</v>
      </c>
      <c r="S1753" t="str">
        <f>IF($C1753="","",IFERROR(VLOOKUP($C1753,sources!$A$2:$N$200,9,FALSE()),"?"))</f>
        <v>PRR company</v>
      </c>
    </row>
    <row r="1754" spans="1:19" x14ac:dyDescent="0.2">
      <c r="A1754" t="s">
        <v>5864</v>
      </c>
      <c r="B1754" t="s">
        <v>907</v>
      </c>
      <c r="C1754" t="s">
        <v>1359</v>
      </c>
      <c r="D1754" t="s">
        <v>1666</v>
      </c>
      <c r="E1754" t="s">
        <v>908</v>
      </c>
      <c r="F1754" t="s">
        <v>1587</v>
      </c>
      <c r="I1754" t="s">
        <v>1077</v>
      </c>
      <c r="K1754">
        <v>1862</v>
      </c>
      <c r="L1754">
        <v>1862</v>
      </c>
      <c r="M1754" t="s">
        <v>228</v>
      </c>
      <c r="N1754" t="s">
        <v>209</v>
      </c>
      <c r="O1754" t="s">
        <v>5847</v>
      </c>
      <c r="P1754" t="s">
        <v>5865</v>
      </c>
      <c r="Q1754" t="str">
        <f>IF($C1754="","",IFERROR(VLOOKUP($C1754,sources!$A$2:$N$200,2,FALSE()),"?"))</f>
        <v>Map</v>
      </c>
      <c r="S1754" t="str">
        <f>IF($C1754="","",IFERROR(VLOOKUP($C1754,sources!$A$2:$N$200,9,FALSE()),"?"))</f>
        <v>PRR company</v>
      </c>
    </row>
    <row r="1755" spans="1:19" x14ac:dyDescent="0.2">
      <c r="A1755" t="s">
        <v>5866</v>
      </c>
      <c r="B1755" t="s">
        <v>911</v>
      </c>
      <c r="C1755" t="s">
        <v>1359</v>
      </c>
      <c r="D1755" t="s">
        <v>1666</v>
      </c>
      <c r="E1755" t="s">
        <v>912</v>
      </c>
      <c r="F1755" t="s">
        <v>1587</v>
      </c>
      <c r="I1755" t="s">
        <v>1077</v>
      </c>
      <c r="K1755">
        <v>1862</v>
      </c>
      <c r="L1755">
        <v>1862</v>
      </c>
      <c r="M1755" t="s">
        <v>228</v>
      </c>
      <c r="N1755" t="s">
        <v>228</v>
      </c>
      <c r="O1755" t="s">
        <v>5847</v>
      </c>
      <c r="P1755" t="s">
        <v>5867</v>
      </c>
      <c r="Q1755" t="str">
        <f>IF($C1755="","",IFERROR(VLOOKUP($C1755,sources!$A$2:$N$200,2,FALSE()),"?"))</f>
        <v>Map</v>
      </c>
      <c r="S1755" t="str">
        <f>IF($C1755="","",IFERROR(VLOOKUP($C1755,sources!$A$2:$N$200,9,FALSE()),"?"))</f>
        <v>PRR company</v>
      </c>
    </row>
    <row r="1756" spans="1:19" x14ac:dyDescent="0.2">
      <c r="A1756" t="s">
        <v>5868</v>
      </c>
      <c r="B1756" t="s">
        <v>947</v>
      </c>
      <c r="C1756" t="s">
        <v>1359</v>
      </c>
      <c r="D1756" t="s">
        <v>1585</v>
      </c>
      <c r="E1756" t="s">
        <v>5869</v>
      </c>
      <c r="F1756" t="s">
        <v>1587</v>
      </c>
      <c r="I1756" t="s">
        <v>1077</v>
      </c>
      <c r="K1756">
        <v>1862</v>
      </c>
      <c r="L1756">
        <v>1862</v>
      </c>
      <c r="M1756" t="s">
        <v>228</v>
      </c>
      <c r="N1756" t="s">
        <v>209</v>
      </c>
      <c r="O1756" t="s">
        <v>5847</v>
      </c>
      <c r="P1756" t="s">
        <v>5870</v>
      </c>
      <c r="Q1756" t="str">
        <f>IF($C1756="","",IFERROR(VLOOKUP($C1756,sources!$A$2:$N$200,2,FALSE()),"?"))</f>
        <v>Map</v>
      </c>
      <c r="S1756" t="str">
        <f>IF($C1756="","",IFERROR(VLOOKUP($C1756,sources!$A$2:$N$200,9,FALSE()),"?"))</f>
        <v>PRR company</v>
      </c>
    </row>
    <row r="1757" spans="1:19" x14ac:dyDescent="0.2">
      <c r="A1757" t="s">
        <v>5871</v>
      </c>
      <c r="B1757" t="s">
        <v>947</v>
      </c>
      <c r="C1757" t="s">
        <v>1359</v>
      </c>
      <c r="D1757" t="s">
        <v>1585</v>
      </c>
      <c r="E1757" t="s">
        <v>5869</v>
      </c>
      <c r="F1757" t="s">
        <v>1587</v>
      </c>
      <c r="I1757" t="s">
        <v>1077</v>
      </c>
      <c r="K1757">
        <v>1862</v>
      </c>
      <c r="L1757">
        <v>1862</v>
      </c>
      <c r="M1757" t="s">
        <v>228</v>
      </c>
      <c r="N1757" t="s">
        <v>209</v>
      </c>
      <c r="O1757" t="s">
        <v>5847</v>
      </c>
      <c r="P1757" t="s">
        <v>5872</v>
      </c>
      <c r="Q1757" t="str">
        <f>IF($C1757="","",IFERROR(VLOOKUP($C1757,sources!$A$2:$N$200,2,FALSE()),"?"))</f>
        <v>Map</v>
      </c>
      <c r="S1757" t="str">
        <f>IF($C1757="","",IFERROR(VLOOKUP($C1757,sources!$A$2:$N$200,9,FALSE()),"?"))</f>
        <v>PRR company</v>
      </c>
    </row>
    <row r="1758" spans="1:19" x14ac:dyDescent="0.2">
      <c r="A1758" t="s">
        <v>5873</v>
      </c>
      <c r="B1758" t="s">
        <v>915</v>
      </c>
      <c r="C1758" t="s">
        <v>1359</v>
      </c>
      <c r="D1758" t="s">
        <v>1585</v>
      </c>
      <c r="E1758" t="s">
        <v>916</v>
      </c>
      <c r="F1758" t="s">
        <v>1587</v>
      </c>
      <c r="I1758" t="s">
        <v>1077</v>
      </c>
      <c r="K1758">
        <v>1862</v>
      </c>
      <c r="L1758">
        <v>1862</v>
      </c>
      <c r="M1758" t="s">
        <v>228</v>
      </c>
      <c r="N1758" t="s">
        <v>222</v>
      </c>
      <c r="O1758" t="s">
        <v>5847</v>
      </c>
      <c r="P1758" t="s">
        <v>5874</v>
      </c>
      <c r="Q1758" t="str">
        <f>IF($C1758="","",IFERROR(VLOOKUP($C1758,sources!$A$2:$N$200,2,FALSE()),"?"))</f>
        <v>Map</v>
      </c>
      <c r="S1758" t="str">
        <f>IF($C1758="","",IFERROR(VLOOKUP($C1758,sources!$A$2:$N$200,9,FALSE()),"?"))</f>
        <v>PRR company</v>
      </c>
    </row>
    <row r="1759" spans="1:19" x14ac:dyDescent="0.2">
      <c r="A1759" t="s">
        <v>5875</v>
      </c>
      <c r="B1759" t="s">
        <v>918</v>
      </c>
      <c r="C1759" t="s">
        <v>1359</v>
      </c>
      <c r="D1759" t="s">
        <v>1585</v>
      </c>
      <c r="E1759" t="s">
        <v>919</v>
      </c>
      <c r="F1759" t="s">
        <v>1587</v>
      </c>
      <c r="I1759" t="s">
        <v>1077</v>
      </c>
      <c r="K1759">
        <v>1862</v>
      </c>
      <c r="L1759">
        <v>1862</v>
      </c>
      <c r="M1759" t="s">
        <v>228</v>
      </c>
      <c r="N1759" t="s">
        <v>222</v>
      </c>
      <c r="O1759" t="s">
        <v>5847</v>
      </c>
      <c r="P1759" t="s">
        <v>5876</v>
      </c>
      <c r="Q1759" t="str">
        <f>IF($C1759="","",IFERROR(VLOOKUP($C1759,sources!$A$2:$N$200,2,FALSE()),"?"))</f>
        <v>Map</v>
      </c>
      <c r="S1759" t="str">
        <f>IF($C1759="","",IFERROR(VLOOKUP($C1759,sources!$A$2:$N$200,9,FALSE()),"?"))</f>
        <v>PRR company</v>
      </c>
    </row>
    <row r="1760" spans="1:19" x14ac:dyDescent="0.2">
      <c r="A1760" t="s">
        <v>5877</v>
      </c>
      <c r="B1760" t="s">
        <v>921</v>
      </c>
      <c r="C1760" t="s">
        <v>1359</v>
      </c>
      <c r="D1760" t="s">
        <v>1666</v>
      </c>
      <c r="E1760" t="s">
        <v>922</v>
      </c>
      <c r="F1760" t="s">
        <v>1587</v>
      </c>
      <c r="I1760" t="s">
        <v>1077</v>
      </c>
      <c r="K1760">
        <v>1862</v>
      </c>
      <c r="L1760">
        <v>1862</v>
      </c>
      <c r="M1760" t="s">
        <v>228</v>
      </c>
      <c r="N1760" t="s">
        <v>228</v>
      </c>
      <c r="O1760" t="s">
        <v>5847</v>
      </c>
      <c r="P1760" t="s">
        <v>5878</v>
      </c>
      <c r="Q1760" t="str">
        <f>IF($C1760="","",IFERROR(VLOOKUP($C1760,sources!$A$2:$N$200,2,FALSE()),"?"))</f>
        <v>Map</v>
      </c>
      <c r="S1760" t="str">
        <f>IF($C1760="","",IFERROR(VLOOKUP($C1760,sources!$A$2:$N$200,9,FALSE()),"?"))</f>
        <v>PRR company</v>
      </c>
    </row>
    <row r="1761" spans="1:19" x14ac:dyDescent="0.2">
      <c r="A1761" t="s">
        <v>5879</v>
      </c>
      <c r="B1761" t="s">
        <v>925</v>
      </c>
      <c r="C1761" t="s">
        <v>1359</v>
      </c>
      <c r="D1761" t="s">
        <v>1585</v>
      </c>
      <c r="E1761" t="s">
        <v>5880</v>
      </c>
      <c r="F1761" t="s">
        <v>1587</v>
      </c>
      <c r="I1761" t="s">
        <v>1077</v>
      </c>
      <c r="K1761">
        <v>1862</v>
      </c>
      <c r="L1761">
        <v>1862</v>
      </c>
      <c r="M1761" t="s">
        <v>228</v>
      </c>
      <c r="N1761" t="s">
        <v>222</v>
      </c>
      <c r="O1761" t="s">
        <v>5847</v>
      </c>
      <c r="P1761" t="s">
        <v>5881</v>
      </c>
      <c r="Q1761" t="str">
        <f>IF($C1761="","",IFERROR(VLOOKUP($C1761,sources!$A$2:$N$200,2,FALSE()),"?"))</f>
        <v>Map</v>
      </c>
      <c r="S1761" t="str">
        <f>IF($C1761="","",IFERROR(VLOOKUP($C1761,sources!$A$2:$N$200,9,FALSE()),"?"))</f>
        <v>PRR company</v>
      </c>
    </row>
    <row r="1762" spans="1:19" x14ac:dyDescent="0.2">
      <c r="A1762" t="s">
        <v>5882</v>
      </c>
      <c r="B1762" t="s">
        <v>929</v>
      </c>
      <c r="C1762" t="s">
        <v>1359</v>
      </c>
      <c r="D1762" t="s">
        <v>1666</v>
      </c>
      <c r="E1762" t="s">
        <v>930</v>
      </c>
      <c r="F1762" t="s">
        <v>1587</v>
      </c>
      <c r="I1762" t="s">
        <v>1077</v>
      </c>
      <c r="K1762">
        <v>1862</v>
      </c>
      <c r="L1762">
        <v>1862</v>
      </c>
      <c r="M1762" t="s">
        <v>228</v>
      </c>
      <c r="N1762" t="s">
        <v>228</v>
      </c>
      <c r="O1762" t="s">
        <v>5847</v>
      </c>
      <c r="P1762" t="s">
        <v>5883</v>
      </c>
      <c r="Q1762" t="str">
        <f>IF($C1762="","",IFERROR(VLOOKUP($C1762,sources!$A$2:$N$200,2,FALSE()),"?"))</f>
        <v>Map</v>
      </c>
      <c r="S1762" t="str">
        <f>IF($C1762="","",IFERROR(VLOOKUP($C1762,sources!$A$2:$N$200,9,FALSE()),"?"))</f>
        <v>PRR company</v>
      </c>
    </row>
    <row r="1763" spans="1:19" x14ac:dyDescent="0.2">
      <c r="A1763" t="s">
        <v>5884</v>
      </c>
      <c r="B1763" t="s">
        <v>933</v>
      </c>
      <c r="C1763" t="s">
        <v>1359</v>
      </c>
      <c r="D1763" t="s">
        <v>1666</v>
      </c>
      <c r="E1763" t="s">
        <v>934</v>
      </c>
      <c r="F1763" t="s">
        <v>1587</v>
      </c>
      <c r="I1763" t="s">
        <v>1077</v>
      </c>
      <c r="K1763">
        <v>1862</v>
      </c>
      <c r="L1763">
        <v>1862</v>
      </c>
      <c r="M1763" t="s">
        <v>228</v>
      </c>
      <c r="N1763" t="s">
        <v>209</v>
      </c>
      <c r="O1763" t="s">
        <v>5847</v>
      </c>
      <c r="P1763" t="s">
        <v>5885</v>
      </c>
      <c r="Q1763" t="str">
        <f>IF($C1763="","",IFERROR(VLOOKUP($C1763,sources!$A$2:$N$200,2,FALSE()),"?"))</f>
        <v>Map</v>
      </c>
      <c r="S1763" t="str">
        <f>IF($C1763="","",IFERROR(VLOOKUP($C1763,sources!$A$2:$N$200,9,FALSE()),"?"))</f>
        <v>PRR company</v>
      </c>
    </row>
    <row r="1764" spans="1:19" x14ac:dyDescent="0.2">
      <c r="A1764" t="s">
        <v>5886</v>
      </c>
      <c r="B1764" t="s">
        <v>708</v>
      </c>
      <c r="C1764" t="s">
        <v>1366</v>
      </c>
      <c r="D1764" t="s">
        <v>1666</v>
      </c>
      <c r="E1764" t="s">
        <v>709</v>
      </c>
      <c r="F1764" t="s">
        <v>3285</v>
      </c>
      <c r="I1764" t="s">
        <v>1077</v>
      </c>
      <c r="K1764">
        <v>1895</v>
      </c>
      <c r="L1764">
        <v>1895</v>
      </c>
      <c r="M1764" t="s">
        <v>228</v>
      </c>
      <c r="N1764" t="s">
        <v>222</v>
      </c>
      <c r="O1764" t="s">
        <v>5847</v>
      </c>
      <c r="P1764" t="s">
        <v>5887</v>
      </c>
      <c r="Q1764" t="str">
        <f>IF($C1764="","",IFERROR(VLOOKUP($C1764,sources!$A$2:$N$200,2,FALSE()),"?"))</f>
        <v>Map</v>
      </c>
      <c r="S1764" t="str">
        <f>IF($C1764="","",IFERROR(VLOOKUP($C1764,sources!$A$2:$N$200,9,FALSE()),"?"))</f>
        <v>French company</v>
      </c>
    </row>
    <row r="1765" spans="1:19" x14ac:dyDescent="0.2">
      <c r="A1765" t="s">
        <v>5888</v>
      </c>
      <c r="B1765" t="s">
        <v>720</v>
      </c>
      <c r="C1765" t="s">
        <v>1366</v>
      </c>
      <c r="D1765" t="s">
        <v>1666</v>
      </c>
      <c r="E1765" t="s">
        <v>721</v>
      </c>
      <c r="F1765" t="s">
        <v>3285</v>
      </c>
      <c r="I1765" t="s">
        <v>1077</v>
      </c>
      <c r="K1765">
        <v>1895</v>
      </c>
      <c r="L1765">
        <v>1895</v>
      </c>
      <c r="M1765" t="s">
        <v>228</v>
      </c>
      <c r="N1765" t="s">
        <v>222</v>
      </c>
      <c r="O1765" t="s">
        <v>5847</v>
      </c>
      <c r="P1765" t="s">
        <v>5889</v>
      </c>
      <c r="Q1765" t="str">
        <f>IF($C1765="","",IFERROR(VLOOKUP($C1765,sources!$A$2:$N$200,2,FALSE()),"?"))</f>
        <v>Map</v>
      </c>
      <c r="S1765" t="str">
        <f>IF($C1765="","",IFERROR(VLOOKUP($C1765,sources!$A$2:$N$200,9,FALSE()),"?"))</f>
        <v>French company</v>
      </c>
    </row>
    <row r="1766" spans="1:19" x14ac:dyDescent="0.2">
      <c r="A1766" t="s">
        <v>5890</v>
      </c>
      <c r="B1766" t="s">
        <v>802</v>
      </c>
      <c r="C1766" t="s">
        <v>1366</v>
      </c>
      <c r="D1766" t="s">
        <v>1666</v>
      </c>
      <c r="E1766" t="s">
        <v>803</v>
      </c>
      <c r="F1766" t="s">
        <v>3285</v>
      </c>
      <c r="I1766" t="s">
        <v>1077</v>
      </c>
      <c r="K1766">
        <v>1895</v>
      </c>
      <c r="L1766">
        <v>1895</v>
      </c>
      <c r="M1766" t="s">
        <v>228</v>
      </c>
      <c r="N1766" t="s">
        <v>228</v>
      </c>
      <c r="O1766" t="s">
        <v>5847</v>
      </c>
      <c r="P1766" t="s">
        <v>5891</v>
      </c>
      <c r="Q1766" t="str">
        <f>IF($C1766="","",IFERROR(VLOOKUP($C1766,sources!$A$2:$N$200,2,FALSE()),"?"))</f>
        <v>Map</v>
      </c>
      <c r="S1766" t="str">
        <f>IF($C1766="","",IFERROR(VLOOKUP($C1766,sources!$A$2:$N$200,9,FALSE()),"?"))</f>
        <v>French company</v>
      </c>
    </row>
    <row r="1767" spans="1:19" x14ac:dyDescent="0.2">
      <c r="A1767" t="s">
        <v>5892</v>
      </c>
      <c r="B1767" t="s">
        <v>929</v>
      </c>
      <c r="C1767" t="s">
        <v>1366</v>
      </c>
      <c r="D1767" t="s">
        <v>1585</v>
      </c>
      <c r="E1767" t="s">
        <v>5893</v>
      </c>
      <c r="F1767" t="s">
        <v>3285</v>
      </c>
      <c r="I1767" t="s">
        <v>1077</v>
      </c>
      <c r="K1767">
        <v>1895</v>
      </c>
      <c r="L1767">
        <v>1895</v>
      </c>
      <c r="M1767" t="s">
        <v>228</v>
      </c>
      <c r="N1767" t="s">
        <v>228</v>
      </c>
      <c r="O1767" t="s">
        <v>5847</v>
      </c>
      <c r="P1767" t="s">
        <v>5894</v>
      </c>
      <c r="Q1767" t="str">
        <f>IF($C1767="","",IFERROR(VLOOKUP($C1767,sources!$A$2:$N$200,2,FALSE()),"?"))</f>
        <v>Map</v>
      </c>
      <c r="S1767" t="str">
        <f>IF($C1767="","",IFERROR(VLOOKUP($C1767,sources!$A$2:$N$200,9,FALSE()),"?"))</f>
        <v>French company</v>
      </c>
    </row>
    <row r="1768" spans="1:19" x14ac:dyDescent="0.2">
      <c r="A1768" t="s">
        <v>5895</v>
      </c>
      <c r="B1768" t="s">
        <v>933</v>
      </c>
      <c r="C1768" t="s">
        <v>1366</v>
      </c>
      <c r="D1768" t="s">
        <v>1666</v>
      </c>
      <c r="E1768" t="s">
        <v>934</v>
      </c>
      <c r="F1768" t="s">
        <v>3285</v>
      </c>
      <c r="I1768" t="s">
        <v>1077</v>
      </c>
      <c r="K1768">
        <v>1895</v>
      </c>
      <c r="L1768">
        <v>1895</v>
      </c>
      <c r="M1768" t="s">
        <v>228</v>
      </c>
      <c r="N1768" t="s">
        <v>228</v>
      </c>
      <c r="O1768" t="s">
        <v>5847</v>
      </c>
      <c r="P1768" t="s">
        <v>5896</v>
      </c>
      <c r="Q1768" t="str">
        <f>IF($C1768="","",IFERROR(VLOOKUP($C1768,sources!$A$2:$N$200,2,FALSE()),"?"))</f>
        <v>Map</v>
      </c>
      <c r="S1768" t="str">
        <f>IF($C1768="","",IFERROR(VLOOKUP($C1768,sources!$A$2:$N$200,9,FALSE()),"?"))</f>
        <v>French company</v>
      </c>
    </row>
    <row r="1769" spans="1:19" x14ac:dyDescent="0.2">
      <c r="A1769" t="s">
        <v>5897</v>
      </c>
      <c r="B1769" t="s">
        <v>752</v>
      </c>
      <c r="C1769" t="s">
        <v>1366</v>
      </c>
      <c r="D1769" t="s">
        <v>1666</v>
      </c>
      <c r="E1769" t="s">
        <v>753</v>
      </c>
      <c r="F1769" t="s">
        <v>3285</v>
      </c>
      <c r="I1769" t="s">
        <v>1077</v>
      </c>
      <c r="K1769">
        <v>1895</v>
      </c>
      <c r="L1769">
        <v>1895</v>
      </c>
      <c r="M1769" t="s">
        <v>228</v>
      </c>
      <c r="N1769" t="s">
        <v>222</v>
      </c>
      <c r="O1769" t="s">
        <v>5847</v>
      </c>
      <c r="P1769" t="s">
        <v>5898</v>
      </c>
      <c r="Q1769" t="str">
        <f>IF($C1769="","",IFERROR(VLOOKUP($C1769,sources!$A$2:$N$200,2,FALSE()),"?"))</f>
        <v>Map</v>
      </c>
      <c r="S1769" t="str">
        <f>IF($C1769="","",IFERROR(VLOOKUP($C1769,sources!$A$2:$N$200,9,FALSE()),"?"))</f>
        <v>French company</v>
      </c>
    </row>
    <row r="1770" spans="1:19" x14ac:dyDescent="0.2">
      <c r="A1770" t="s">
        <v>5899</v>
      </c>
      <c r="B1770" t="s">
        <v>815</v>
      </c>
      <c r="C1770" t="s">
        <v>1366</v>
      </c>
      <c r="D1770" t="s">
        <v>1666</v>
      </c>
      <c r="E1770" t="s">
        <v>816</v>
      </c>
      <c r="F1770" t="s">
        <v>3285</v>
      </c>
      <c r="I1770" t="s">
        <v>1077</v>
      </c>
      <c r="K1770">
        <v>1895</v>
      </c>
      <c r="L1770">
        <v>1895</v>
      </c>
      <c r="M1770" t="s">
        <v>228</v>
      </c>
      <c r="N1770" t="s">
        <v>228</v>
      </c>
      <c r="O1770" t="s">
        <v>5847</v>
      </c>
      <c r="P1770" t="s">
        <v>5900</v>
      </c>
      <c r="Q1770" t="str">
        <f>IF($C1770="","",IFERROR(VLOOKUP($C1770,sources!$A$2:$N$200,2,FALSE()),"?"))</f>
        <v>Map</v>
      </c>
      <c r="S1770" t="str">
        <f>IF($C1770="","",IFERROR(VLOOKUP($C1770,sources!$A$2:$N$200,9,FALSE()),"?"))</f>
        <v>French company</v>
      </c>
    </row>
    <row r="1771" spans="1:19" x14ac:dyDescent="0.2">
      <c r="A1771" t="s">
        <v>5901</v>
      </c>
      <c r="B1771" t="s">
        <v>777</v>
      </c>
      <c r="C1771" t="s">
        <v>1366</v>
      </c>
      <c r="D1771" t="s">
        <v>1599</v>
      </c>
      <c r="E1771" t="s">
        <v>5902</v>
      </c>
      <c r="F1771" t="s">
        <v>3285</v>
      </c>
      <c r="I1771" t="s">
        <v>1077</v>
      </c>
      <c r="K1771">
        <v>1895</v>
      </c>
      <c r="L1771">
        <v>1895</v>
      </c>
      <c r="M1771" t="s">
        <v>228</v>
      </c>
      <c r="N1771" t="s">
        <v>228</v>
      </c>
      <c r="O1771" t="s">
        <v>5847</v>
      </c>
      <c r="P1771" t="s">
        <v>5903</v>
      </c>
      <c r="Q1771" t="str">
        <f>IF($C1771="","",IFERROR(VLOOKUP($C1771,sources!$A$2:$N$200,2,FALSE()),"?"))</f>
        <v>Map</v>
      </c>
      <c r="S1771" t="str">
        <f>IF($C1771="","",IFERROR(VLOOKUP($C1771,sources!$A$2:$N$200,9,FALSE()),"?"))</f>
        <v>French company</v>
      </c>
    </row>
    <row r="1772" spans="1:19" x14ac:dyDescent="0.2">
      <c r="A1772" t="s">
        <v>5904</v>
      </c>
      <c r="B1772" t="s">
        <v>936</v>
      </c>
      <c r="C1772" t="s">
        <v>1366</v>
      </c>
      <c r="D1772" t="s">
        <v>1666</v>
      </c>
      <c r="E1772" t="s">
        <v>937</v>
      </c>
      <c r="F1772" t="s">
        <v>3285</v>
      </c>
      <c r="I1772" t="s">
        <v>1077</v>
      </c>
      <c r="K1772">
        <v>1895</v>
      </c>
      <c r="L1772">
        <v>1895</v>
      </c>
      <c r="M1772" t="s">
        <v>228</v>
      </c>
      <c r="N1772" t="s">
        <v>209</v>
      </c>
      <c r="O1772" t="s">
        <v>5847</v>
      </c>
      <c r="P1772" t="s">
        <v>5905</v>
      </c>
      <c r="Q1772" t="str">
        <f>IF($C1772="","",IFERROR(VLOOKUP($C1772,sources!$A$2:$N$200,2,FALSE()),"?"))</f>
        <v>Map</v>
      </c>
      <c r="S1772" t="str">
        <f>IF($C1772="","",IFERROR(VLOOKUP($C1772,sources!$A$2:$N$200,9,FALSE()),"?"))</f>
        <v>French company</v>
      </c>
    </row>
    <row r="1773" spans="1:19" x14ac:dyDescent="0.2">
      <c r="A1773" t="s">
        <v>5906</v>
      </c>
      <c r="B1773" t="s">
        <v>943</v>
      </c>
      <c r="C1773" t="s">
        <v>1366</v>
      </c>
      <c r="D1773" t="s">
        <v>1666</v>
      </c>
      <c r="E1773" t="s">
        <v>944</v>
      </c>
      <c r="F1773" t="s">
        <v>3285</v>
      </c>
      <c r="I1773" t="s">
        <v>1077</v>
      </c>
      <c r="K1773">
        <v>1895</v>
      </c>
      <c r="L1773">
        <v>1895</v>
      </c>
      <c r="M1773" t="s">
        <v>228</v>
      </c>
      <c r="N1773" t="s">
        <v>228</v>
      </c>
      <c r="O1773" t="s">
        <v>5847</v>
      </c>
      <c r="P1773" t="s">
        <v>5907</v>
      </c>
      <c r="Q1773" t="str">
        <f>IF($C1773="","",IFERROR(VLOOKUP($C1773,sources!$A$2:$N$200,2,FALSE()),"?"))</f>
        <v>Map</v>
      </c>
      <c r="S1773" t="str">
        <f>IF($C1773="","",IFERROR(VLOOKUP($C1773,sources!$A$2:$N$200,9,FALSE()),"?"))</f>
        <v>French company</v>
      </c>
    </row>
    <row r="1774" spans="1:19" x14ac:dyDescent="0.2">
      <c r="A1774" t="s">
        <v>5908</v>
      </c>
      <c r="B1774" t="s">
        <v>820</v>
      </c>
      <c r="C1774" t="s">
        <v>1366</v>
      </c>
      <c r="D1774" t="s">
        <v>1599</v>
      </c>
      <c r="E1774" t="s">
        <v>5909</v>
      </c>
      <c r="F1774" t="s">
        <v>3285</v>
      </c>
      <c r="I1774" t="s">
        <v>1077</v>
      </c>
      <c r="K1774">
        <v>1895</v>
      </c>
      <c r="L1774">
        <v>1895</v>
      </c>
      <c r="M1774" t="s">
        <v>228</v>
      </c>
      <c r="N1774" t="s">
        <v>222</v>
      </c>
      <c r="O1774" t="s">
        <v>5847</v>
      </c>
      <c r="P1774" t="s">
        <v>5910</v>
      </c>
      <c r="Q1774" t="str">
        <f>IF($C1774="","",IFERROR(VLOOKUP($C1774,sources!$A$2:$N$200,2,FALSE()),"?"))</f>
        <v>Map</v>
      </c>
      <c r="S1774" t="str">
        <f>IF($C1774="","",IFERROR(VLOOKUP($C1774,sources!$A$2:$N$200,9,FALSE()),"?"))</f>
        <v>French company</v>
      </c>
    </row>
    <row r="1775" spans="1:19" x14ac:dyDescent="0.2">
      <c r="A1775" t="s">
        <v>5911</v>
      </c>
      <c r="B1775" t="s">
        <v>966</v>
      </c>
      <c r="C1775" t="s">
        <v>1366</v>
      </c>
      <c r="D1775" t="s">
        <v>1599</v>
      </c>
      <c r="E1775" t="s">
        <v>5912</v>
      </c>
      <c r="F1775" t="s">
        <v>3285</v>
      </c>
      <c r="I1775" t="s">
        <v>1077</v>
      </c>
      <c r="K1775">
        <v>1895</v>
      </c>
      <c r="L1775">
        <v>1895</v>
      </c>
      <c r="M1775" t="s">
        <v>228</v>
      </c>
      <c r="N1775" t="s">
        <v>228</v>
      </c>
      <c r="O1775" t="s">
        <v>5847</v>
      </c>
      <c r="P1775" t="s">
        <v>5913</v>
      </c>
      <c r="Q1775" t="str">
        <f>IF($C1775="","",IFERROR(VLOOKUP($C1775,sources!$A$2:$N$200,2,FALSE()),"?"))</f>
        <v>Map</v>
      </c>
      <c r="S1775" t="str">
        <f>IF($C1775="","",IFERROR(VLOOKUP($C1775,sources!$A$2:$N$200,9,FALSE()),"?"))</f>
        <v>French company</v>
      </c>
    </row>
    <row r="1776" spans="1:19" x14ac:dyDescent="0.2">
      <c r="A1776" t="s">
        <v>5914</v>
      </c>
      <c r="B1776" t="s">
        <v>827</v>
      </c>
      <c r="C1776" t="s">
        <v>1366</v>
      </c>
      <c r="D1776" t="s">
        <v>1599</v>
      </c>
      <c r="E1776" t="s">
        <v>5915</v>
      </c>
      <c r="F1776" t="s">
        <v>3285</v>
      </c>
      <c r="I1776" t="s">
        <v>1077</v>
      </c>
      <c r="K1776">
        <v>1895</v>
      </c>
      <c r="L1776">
        <v>1895</v>
      </c>
      <c r="M1776" t="s">
        <v>228</v>
      </c>
      <c r="N1776" t="s">
        <v>209</v>
      </c>
      <c r="O1776" t="s">
        <v>5847</v>
      </c>
      <c r="P1776" t="s">
        <v>5916</v>
      </c>
      <c r="Q1776" t="str">
        <f>IF($C1776="","",IFERROR(VLOOKUP($C1776,sources!$A$2:$N$200,2,FALSE()),"?"))</f>
        <v>Map</v>
      </c>
      <c r="S1776" t="str">
        <f>IF($C1776="","",IFERROR(VLOOKUP($C1776,sources!$A$2:$N$200,9,FALSE()),"?"))</f>
        <v>French company</v>
      </c>
    </row>
    <row r="1777" spans="1:19" x14ac:dyDescent="0.2">
      <c r="A1777" t="s">
        <v>5917</v>
      </c>
      <c r="B1777" t="s">
        <v>824</v>
      </c>
      <c r="C1777" t="s">
        <v>1366</v>
      </c>
      <c r="D1777" t="s">
        <v>1666</v>
      </c>
      <c r="E1777" t="s">
        <v>825</v>
      </c>
      <c r="F1777" t="s">
        <v>3285</v>
      </c>
      <c r="I1777" t="s">
        <v>1077</v>
      </c>
      <c r="K1777">
        <v>1895</v>
      </c>
      <c r="L1777">
        <v>1895</v>
      </c>
      <c r="M1777" t="s">
        <v>228</v>
      </c>
      <c r="N1777" t="s">
        <v>228</v>
      </c>
      <c r="O1777" t="s">
        <v>5847</v>
      </c>
      <c r="P1777" t="s">
        <v>5918</v>
      </c>
      <c r="Q1777" t="str">
        <f>IF($C1777="","",IFERROR(VLOOKUP($C1777,sources!$A$2:$N$200,2,FALSE()),"?"))</f>
        <v>Map</v>
      </c>
      <c r="S1777" t="str">
        <f>IF($C1777="","",IFERROR(VLOOKUP($C1777,sources!$A$2:$N$200,9,FALSE()),"?"))</f>
        <v>French company</v>
      </c>
    </row>
    <row r="1778" spans="1:19" x14ac:dyDescent="0.2">
      <c r="A1778" t="s">
        <v>5919</v>
      </c>
      <c r="B1778" t="s">
        <v>795</v>
      </c>
      <c r="C1778" t="s">
        <v>1366</v>
      </c>
      <c r="D1778" t="s">
        <v>1599</v>
      </c>
      <c r="E1778" t="s">
        <v>5920</v>
      </c>
      <c r="F1778" t="s">
        <v>3285</v>
      </c>
      <c r="I1778" t="s">
        <v>1077</v>
      </c>
      <c r="K1778">
        <v>1895</v>
      </c>
      <c r="L1778">
        <v>1895</v>
      </c>
      <c r="M1778" t="s">
        <v>228</v>
      </c>
      <c r="N1778" t="s">
        <v>228</v>
      </c>
      <c r="O1778" t="s">
        <v>5847</v>
      </c>
      <c r="P1778" t="s">
        <v>5921</v>
      </c>
      <c r="Q1778" t="str">
        <f>IF($C1778="","",IFERROR(VLOOKUP($C1778,sources!$A$2:$N$200,2,FALSE()),"?"))</f>
        <v>Map</v>
      </c>
      <c r="S1778" t="str">
        <f>IF($C1778="","",IFERROR(VLOOKUP($C1778,sources!$A$2:$N$200,9,FALSE()),"?"))</f>
        <v>French company</v>
      </c>
    </row>
    <row r="1779" spans="1:19" x14ac:dyDescent="0.2">
      <c r="A1779" t="s">
        <v>5922</v>
      </c>
      <c r="B1779" t="s">
        <v>951</v>
      </c>
      <c r="C1779" t="s">
        <v>1366</v>
      </c>
      <c r="D1779" t="s">
        <v>1666</v>
      </c>
      <c r="E1779" t="s">
        <v>953</v>
      </c>
      <c r="F1779" t="s">
        <v>3285</v>
      </c>
      <c r="I1779" t="s">
        <v>1077</v>
      </c>
      <c r="K1779">
        <v>1895</v>
      </c>
      <c r="L1779">
        <v>1895</v>
      </c>
      <c r="M1779" t="s">
        <v>228</v>
      </c>
      <c r="N1779" t="s">
        <v>228</v>
      </c>
      <c r="O1779" t="s">
        <v>5847</v>
      </c>
      <c r="P1779" t="s">
        <v>5923</v>
      </c>
      <c r="Q1779" t="str">
        <f>IF($C1779="","",IFERROR(VLOOKUP($C1779,sources!$A$2:$N$200,2,FALSE()),"?"))</f>
        <v>Map</v>
      </c>
      <c r="S1779" t="str">
        <f>IF($C1779="","",IFERROR(VLOOKUP($C1779,sources!$A$2:$N$200,9,FALSE()),"?"))</f>
        <v>French company</v>
      </c>
    </row>
    <row r="1780" spans="1:19" x14ac:dyDescent="0.2">
      <c r="A1780" t="s">
        <v>5924</v>
      </c>
      <c r="B1780" t="s">
        <v>955</v>
      </c>
      <c r="C1780" t="s">
        <v>1366</v>
      </c>
      <c r="D1780" t="s">
        <v>1599</v>
      </c>
      <c r="E1780" t="s">
        <v>5925</v>
      </c>
      <c r="F1780" t="s">
        <v>3285</v>
      </c>
      <c r="I1780" t="s">
        <v>1077</v>
      </c>
      <c r="K1780">
        <v>1895</v>
      </c>
      <c r="L1780">
        <v>1895</v>
      </c>
      <c r="M1780" t="s">
        <v>228</v>
      </c>
      <c r="N1780" t="s">
        <v>228</v>
      </c>
      <c r="O1780" t="s">
        <v>5847</v>
      </c>
      <c r="P1780" t="s">
        <v>5926</v>
      </c>
      <c r="Q1780" t="str">
        <f>IF($C1780="","",IFERROR(VLOOKUP($C1780,sources!$A$2:$N$200,2,FALSE()),"?"))</f>
        <v>Map</v>
      </c>
      <c r="S1780" t="str">
        <f>IF($C1780="","",IFERROR(VLOOKUP($C1780,sources!$A$2:$N$200,9,FALSE()),"?"))</f>
        <v>French company</v>
      </c>
    </row>
    <row r="1781" spans="1:19" x14ac:dyDescent="0.2">
      <c r="A1781" t="s">
        <v>5927</v>
      </c>
      <c r="B1781" t="s">
        <v>974</v>
      </c>
      <c r="C1781" t="s">
        <v>1366</v>
      </c>
      <c r="D1781" t="s">
        <v>1666</v>
      </c>
      <c r="E1781" t="s">
        <v>5928</v>
      </c>
      <c r="F1781" t="s">
        <v>3285</v>
      </c>
      <c r="I1781" t="s">
        <v>1077</v>
      </c>
      <c r="K1781">
        <v>1895</v>
      </c>
      <c r="L1781">
        <v>1895</v>
      </c>
      <c r="M1781" t="s">
        <v>228</v>
      </c>
      <c r="N1781" t="s">
        <v>228</v>
      </c>
      <c r="O1781" t="s">
        <v>5847</v>
      </c>
      <c r="P1781" t="s">
        <v>5929</v>
      </c>
      <c r="Q1781" t="str">
        <f>IF($C1781="","",IFERROR(VLOOKUP($C1781,sources!$A$2:$N$200,2,FALSE()),"?"))</f>
        <v>Map</v>
      </c>
      <c r="S1781" t="str">
        <f>IF($C1781="","",IFERROR(VLOOKUP($C1781,sources!$A$2:$N$200,9,FALSE()),"?"))</f>
        <v>French company</v>
      </c>
    </row>
    <row r="1782" spans="1:19" x14ac:dyDescent="0.2">
      <c r="A1782" t="s">
        <v>5930</v>
      </c>
      <c r="B1782" t="s">
        <v>978</v>
      </c>
      <c r="C1782" t="s">
        <v>1366</v>
      </c>
      <c r="D1782" t="s">
        <v>1666</v>
      </c>
      <c r="E1782" t="s">
        <v>979</v>
      </c>
      <c r="F1782" t="s">
        <v>3285</v>
      </c>
      <c r="I1782" t="s">
        <v>1077</v>
      </c>
      <c r="K1782">
        <v>1895</v>
      </c>
      <c r="L1782">
        <v>1895</v>
      </c>
      <c r="M1782" t="s">
        <v>228</v>
      </c>
      <c r="N1782" t="s">
        <v>228</v>
      </c>
      <c r="O1782" t="s">
        <v>5847</v>
      </c>
      <c r="P1782" t="s">
        <v>5931</v>
      </c>
      <c r="Q1782" t="str">
        <f>IF($C1782="","",IFERROR(VLOOKUP($C1782,sources!$A$2:$N$200,2,FALSE()),"?"))</f>
        <v>Map</v>
      </c>
      <c r="S1782" t="str">
        <f>IF($C1782="","",IFERROR(VLOOKUP($C1782,sources!$A$2:$N$200,9,FALSE()),"?"))</f>
        <v>French company</v>
      </c>
    </row>
    <row r="1783" spans="1:19" x14ac:dyDescent="0.2">
      <c r="A1783" t="s">
        <v>5932</v>
      </c>
      <c r="B1783" t="s">
        <v>981</v>
      </c>
      <c r="C1783" t="s">
        <v>1366</v>
      </c>
      <c r="D1783" t="s">
        <v>1666</v>
      </c>
      <c r="E1783" t="s">
        <v>982</v>
      </c>
      <c r="F1783" t="s">
        <v>3285</v>
      </c>
      <c r="I1783" t="s">
        <v>1077</v>
      </c>
      <c r="K1783">
        <v>1895</v>
      </c>
      <c r="L1783">
        <v>1895</v>
      </c>
      <c r="M1783" t="s">
        <v>228</v>
      </c>
      <c r="N1783" t="s">
        <v>228</v>
      </c>
      <c r="O1783" t="s">
        <v>5847</v>
      </c>
      <c r="P1783" t="s">
        <v>5931</v>
      </c>
      <c r="Q1783" t="str">
        <f>IF($C1783="","",IFERROR(VLOOKUP($C1783,sources!$A$2:$N$200,2,FALSE()),"?"))</f>
        <v>Map</v>
      </c>
      <c r="S1783" t="str">
        <f>IF($C1783="","",IFERROR(VLOOKUP($C1783,sources!$A$2:$N$200,9,FALSE()),"?"))</f>
        <v>French company</v>
      </c>
    </row>
    <row r="1784" spans="1:19" x14ac:dyDescent="0.2">
      <c r="A1784" t="s">
        <v>5933</v>
      </c>
      <c r="B1784" t="s">
        <v>985</v>
      </c>
      <c r="C1784" t="s">
        <v>1366</v>
      </c>
      <c r="D1784" t="s">
        <v>1666</v>
      </c>
      <c r="E1784" t="s">
        <v>986</v>
      </c>
      <c r="F1784" t="s">
        <v>3285</v>
      </c>
      <c r="I1784" t="s">
        <v>1077</v>
      </c>
      <c r="K1784">
        <v>1895</v>
      </c>
      <c r="L1784">
        <v>1895</v>
      </c>
      <c r="M1784" t="s">
        <v>228</v>
      </c>
      <c r="N1784" t="s">
        <v>209</v>
      </c>
      <c r="O1784" t="s">
        <v>5847</v>
      </c>
      <c r="P1784" t="s">
        <v>5934</v>
      </c>
      <c r="Q1784" t="str">
        <f>IF($C1784="","",IFERROR(VLOOKUP($C1784,sources!$A$2:$N$200,2,FALSE()),"?"))</f>
        <v>Map</v>
      </c>
      <c r="S1784" t="str">
        <f>IF($C1784="","",IFERROR(VLOOKUP($C1784,sources!$A$2:$N$200,9,FALSE()),"?"))</f>
        <v>French company</v>
      </c>
    </row>
    <row r="1785" spans="1:19" x14ac:dyDescent="0.2">
      <c r="A1785" t="s">
        <v>5935</v>
      </c>
      <c r="B1785" t="s">
        <v>957</v>
      </c>
      <c r="C1785" t="s">
        <v>1366</v>
      </c>
      <c r="D1785" t="s">
        <v>1666</v>
      </c>
      <c r="E1785" t="s">
        <v>958</v>
      </c>
      <c r="F1785" t="s">
        <v>3285</v>
      </c>
      <c r="I1785" t="s">
        <v>1077</v>
      </c>
      <c r="K1785">
        <v>1895</v>
      </c>
      <c r="L1785">
        <v>1895</v>
      </c>
      <c r="M1785" t="s">
        <v>228</v>
      </c>
      <c r="N1785" t="s">
        <v>228</v>
      </c>
      <c r="O1785" t="s">
        <v>5847</v>
      </c>
      <c r="P1785" t="s">
        <v>5931</v>
      </c>
      <c r="Q1785" t="str">
        <f>IF($C1785="","",IFERROR(VLOOKUP($C1785,sources!$A$2:$N$200,2,FALSE()),"?"))</f>
        <v>Map</v>
      </c>
      <c r="S1785" t="str">
        <f>IF($C1785="","",IFERROR(VLOOKUP($C1785,sources!$A$2:$N$200,9,FALSE()),"?"))</f>
        <v>French company</v>
      </c>
    </row>
    <row r="1786" spans="1:19" x14ac:dyDescent="0.2">
      <c r="A1786" t="s">
        <v>5936</v>
      </c>
      <c r="B1786" t="s">
        <v>962</v>
      </c>
      <c r="C1786" t="s">
        <v>1366</v>
      </c>
      <c r="D1786" t="s">
        <v>1666</v>
      </c>
      <c r="E1786" t="s">
        <v>963</v>
      </c>
      <c r="F1786" t="s">
        <v>3285</v>
      </c>
      <c r="I1786" t="s">
        <v>1077</v>
      </c>
      <c r="K1786">
        <v>1895</v>
      </c>
      <c r="L1786">
        <v>1895</v>
      </c>
      <c r="M1786" t="s">
        <v>228</v>
      </c>
      <c r="N1786" t="s">
        <v>228</v>
      </c>
      <c r="O1786" t="s">
        <v>5847</v>
      </c>
      <c r="P1786" t="s">
        <v>5931</v>
      </c>
      <c r="Q1786" t="str">
        <f>IF($C1786="","",IFERROR(VLOOKUP($C1786,sources!$A$2:$N$200,2,FALSE()),"?"))</f>
        <v>Map</v>
      </c>
      <c r="S1786" t="str">
        <f>IF($C1786="","",IFERROR(VLOOKUP($C1786,sources!$A$2:$N$200,9,FALSE()),"?"))</f>
        <v>French company</v>
      </c>
    </row>
    <row r="1787" spans="1:19" x14ac:dyDescent="0.2">
      <c r="A1787" t="s">
        <v>5937</v>
      </c>
      <c r="B1787" t="s">
        <v>795</v>
      </c>
      <c r="C1787" t="s">
        <v>1427</v>
      </c>
      <c r="D1787" t="s">
        <v>1594</v>
      </c>
      <c r="E1787" t="s">
        <v>5938</v>
      </c>
      <c r="F1787" t="s">
        <v>1587</v>
      </c>
      <c r="G1787">
        <v>8.9618350000000007</v>
      </c>
      <c r="H1787">
        <v>-79.542240000000007</v>
      </c>
      <c r="I1787" t="s">
        <v>1595</v>
      </c>
      <c r="J1787">
        <v>100</v>
      </c>
      <c r="K1787">
        <v>1904</v>
      </c>
      <c r="L1787">
        <v>1904</v>
      </c>
      <c r="M1787" t="s">
        <v>228</v>
      </c>
      <c r="N1787" t="s">
        <v>222</v>
      </c>
      <c r="O1787" t="s">
        <v>5847</v>
      </c>
      <c r="P1787" t="s">
        <v>5939</v>
      </c>
      <c r="Q1787" t="str">
        <f>IF($C1787="","",IFERROR(VLOOKUP($C1787,sources!$A$2:$N$200,2,FALSE()),"?"))</f>
        <v>Map</v>
      </c>
      <c r="S1787" t="str">
        <f>IF($C1787="","",IFERROR(VLOOKUP($C1787,sources!$A$2:$N$200,9,FALSE()),"?"))</f>
        <v>Panamanian</v>
      </c>
    </row>
    <row r="1788" spans="1:19" x14ac:dyDescent="0.2">
      <c r="A1788" t="s">
        <v>5940</v>
      </c>
      <c r="B1788" t="s">
        <v>990</v>
      </c>
      <c r="C1788" t="s">
        <v>1427</v>
      </c>
      <c r="D1788" t="s">
        <v>1666</v>
      </c>
      <c r="E1788" t="s">
        <v>991</v>
      </c>
      <c r="F1788" t="s">
        <v>1587</v>
      </c>
      <c r="I1788" t="s">
        <v>1077</v>
      </c>
      <c r="K1788">
        <v>1904</v>
      </c>
      <c r="L1788">
        <v>1904</v>
      </c>
      <c r="M1788" t="s">
        <v>228</v>
      </c>
      <c r="N1788" t="s">
        <v>222</v>
      </c>
      <c r="O1788" t="s">
        <v>5847</v>
      </c>
      <c r="P1788" t="s">
        <v>5941</v>
      </c>
      <c r="Q1788" t="str">
        <f>IF($C1788="","",IFERROR(VLOOKUP($C1788,sources!$A$2:$N$200,2,FALSE()),"?"))</f>
        <v>Map</v>
      </c>
      <c r="S1788" t="str">
        <f>IF($C1788="","",IFERROR(VLOOKUP($C1788,sources!$A$2:$N$200,9,FALSE()),"?"))</f>
        <v>Panamanian</v>
      </c>
    </row>
    <row r="1789" spans="1:19" x14ac:dyDescent="0.2">
      <c r="A1789" t="s">
        <v>5942</v>
      </c>
      <c r="B1789" t="s">
        <v>978</v>
      </c>
      <c r="C1789" t="s">
        <v>1427</v>
      </c>
      <c r="D1789" t="s">
        <v>1585</v>
      </c>
      <c r="E1789" t="s">
        <v>5943</v>
      </c>
      <c r="F1789" t="s">
        <v>1587</v>
      </c>
      <c r="I1789" t="s">
        <v>1077</v>
      </c>
      <c r="K1789">
        <v>1904</v>
      </c>
      <c r="L1789">
        <v>1904</v>
      </c>
      <c r="M1789" t="s">
        <v>228</v>
      </c>
      <c r="N1789" t="s">
        <v>222</v>
      </c>
      <c r="O1789" t="s">
        <v>5847</v>
      </c>
      <c r="P1789" t="s">
        <v>5944</v>
      </c>
      <c r="Q1789" t="str">
        <f>IF($C1789="","",IFERROR(VLOOKUP($C1789,sources!$A$2:$N$200,2,FALSE()),"?"))</f>
        <v>Map</v>
      </c>
      <c r="S1789" t="str">
        <f>IF($C1789="","",IFERROR(VLOOKUP($C1789,sources!$A$2:$N$200,9,FALSE()),"?"))</f>
        <v>Panamanian</v>
      </c>
    </row>
    <row r="1790" spans="1:19" x14ac:dyDescent="0.2">
      <c r="A1790" t="s">
        <v>5945</v>
      </c>
      <c r="B1790" t="s">
        <v>955</v>
      </c>
      <c r="C1790" t="s">
        <v>1427</v>
      </c>
      <c r="D1790" t="s">
        <v>1599</v>
      </c>
      <c r="E1790" t="s">
        <v>5946</v>
      </c>
      <c r="F1790" t="s">
        <v>1587</v>
      </c>
      <c r="I1790" t="s">
        <v>1077</v>
      </c>
      <c r="K1790">
        <v>1904</v>
      </c>
      <c r="L1790">
        <v>1904</v>
      </c>
      <c r="M1790" t="s">
        <v>228</v>
      </c>
      <c r="N1790" t="s">
        <v>228</v>
      </c>
      <c r="O1790" t="s">
        <v>5847</v>
      </c>
      <c r="P1790" t="s">
        <v>5947</v>
      </c>
      <c r="Q1790" t="str">
        <f>IF($C1790="","",IFERROR(VLOOKUP($C1790,sources!$A$2:$N$200,2,FALSE()),"?"))</f>
        <v>Map</v>
      </c>
      <c r="S1790" t="str">
        <f>IF($C1790="","",IFERROR(VLOOKUP($C1790,sources!$A$2:$N$200,9,FALSE()),"?"))</f>
        <v>Panamanian</v>
      </c>
    </row>
    <row r="1791" spans="1:19" x14ac:dyDescent="0.2">
      <c r="A1791" t="s">
        <v>5948</v>
      </c>
      <c r="B1791" t="s">
        <v>475</v>
      </c>
      <c r="C1791" t="s">
        <v>1198</v>
      </c>
      <c r="D1791" t="s">
        <v>1666</v>
      </c>
      <c r="E1791" t="s">
        <v>476</v>
      </c>
      <c r="F1791" t="s">
        <v>1612</v>
      </c>
      <c r="I1791" t="s">
        <v>1077</v>
      </c>
      <c r="K1791">
        <v>1909</v>
      </c>
      <c r="L1791">
        <v>1909</v>
      </c>
      <c r="M1791" t="s">
        <v>228</v>
      </c>
      <c r="N1791" t="s">
        <v>222</v>
      </c>
      <c r="O1791" t="s">
        <v>5847</v>
      </c>
      <c r="P1791" t="s">
        <v>5949</v>
      </c>
      <c r="Q1791" t="str">
        <f>IF($C1791="","",IFERROR(VLOOKUP($C1791,sources!$A$2:$N$200,2,FALSE()),"?"))</f>
        <v>Map</v>
      </c>
      <c r="S1791" t="str">
        <f>IF($C1791="","",IFERROR(VLOOKUP($C1791,sources!$A$2:$N$200,9,FALSE()),"?"))</f>
        <v>US official</v>
      </c>
    </row>
    <row r="1792" spans="1:19" x14ac:dyDescent="0.2">
      <c r="A1792" t="s">
        <v>5950</v>
      </c>
      <c r="B1792" t="s">
        <v>288</v>
      </c>
      <c r="C1792" t="s">
        <v>1198</v>
      </c>
      <c r="D1792" t="s">
        <v>1666</v>
      </c>
      <c r="E1792" t="s">
        <v>289</v>
      </c>
      <c r="F1792" t="s">
        <v>1612</v>
      </c>
      <c r="I1792" t="s">
        <v>1077</v>
      </c>
      <c r="K1792">
        <v>1909</v>
      </c>
      <c r="L1792">
        <v>1909</v>
      </c>
      <c r="M1792" t="s">
        <v>228</v>
      </c>
      <c r="N1792" t="s">
        <v>222</v>
      </c>
      <c r="O1792" t="s">
        <v>5847</v>
      </c>
      <c r="P1792" t="s">
        <v>5951</v>
      </c>
      <c r="Q1792" t="str">
        <f>IF($C1792="","",IFERROR(VLOOKUP($C1792,sources!$A$2:$N$200,2,FALSE()),"?"))</f>
        <v>Map</v>
      </c>
      <c r="S1792" t="str">
        <f>IF($C1792="","",IFERROR(VLOOKUP($C1792,sources!$A$2:$N$200,9,FALSE()),"?"))</f>
        <v>US official</v>
      </c>
    </row>
    <row r="1793" spans="1:19" x14ac:dyDescent="0.2">
      <c r="A1793" t="s">
        <v>5952</v>
      </c>
      <c r="B1793" t="s">
        <v>692</v>
      </c>
      <c r="C1793" t="s">
        <v>1198</v>
      </c>
      <c r="D1793" t="s">
        <v>1599</v>
      </c>
      <c r="E1793" t="s">
        <v>5953</v>
      </c>
      <c r="F1793" t="s">
        <v>1612</v>
      </c>
      <c r="I1793" t="s">
        <v>1077</v>
      </c>
      <c r="K1793">
        <v>1909</v>
      </c>
      <c r="L1793">
        <v>1909</v>
      </c>
      <c r="M1793" t="s">
        <v>228</v>
      </c>
      <c r="N1793" t="s">
        <v>228</v>
      </c>
      <c r="O1793" t="s">
        <v>5847</v>
      </c>
      <c r="P1793" t="s">
        <v>5954</v>
      </c>
      <c r="Q1793" t="str">
        <f>IF($C1793="","",IFERROR(VLOOKUP($C1793,sources!$A$2:$N$200,2,FALSE()),"?"))</f>
        <v>Map</v>
      </c>
      <c r="S1793" t="str">
        <f>IF($C1793="","",IFERROR(VLOOKUP($C1793,sources!$A$2:$N$200,9,FALSE()),"?"))</f>
        <v>US official</v>
      </c>
    </row>
    <row r="1794" spans="1:19" x14ac:dyDescent="0.2">
      <c r="A1794" t="s">
        <v>5955</v>
      </c>
      <c r="B1794" t="s">
        <v>679</v>
      </c>
      <c r="C1794" t="s">
        <v>1198</v>
      </c>
      <c r="D1794" t="s">
        <v>1666</v>
      </c>
      <c r="E1794" t="s">
        <v>680</v>
      </c>
      <c r="F1794" t="s">
        <v>1612</v>
      </c>
      <c r="I1794" t="s">
        <v>1077</v>
      </c>
      <c r="K1794">
        <v>1909</v>
      </c>
      <c r="L1794">
        <v>1909</v>
      </c>
      <c r="M1794" t="s">
        <v>228</v>
      </c>
      <c r="N1794" t="s">
        <v>222</v>
      </c>
      <c r="O1794" t="s">
        <v>5847</v>
      </c>
      <c r="P1794" t="s">
        <v>5956</v>
      </c>
      <c r="Q1794" t="str">
        <f>IF($C1794="","",IFERROR(VLOOKUP($C1794,sources!$A$2:$N$200,2,FALSE()),"?"))</f>
        <v>Map</v>
      </c>
      <c r="S1794" t="str">
        <f>IF($C1794="","",IFERROR(VLOOKUP($C1794,sources!$A$2:$N$200,9,FALSE()),"?"))</f>
        <v>US official</v>
      </c>
    </row>
    <row r="1795" spans="1:19" x14ac:dyDescent="0.2">
      <c r="A1795" t="s">
        <v>5957</v>
      </c>
      <c r="B1795" t="s">
        <v>638</v>
      </c>
      <c r="C1795" t="s">
        <v>1198</v>
      </c>
      <c r="D1795" t="s">
        <v>1666</v>
      </c>
      <c r="E1795" t="s">
        <v>639</v>
      </c>
      <c r="F1795" t="s">
        <v>1612</v>
      </c>
      <c r="I1795" t="s">
        <v>1077</v>
      </c>
      <c r="K1795">
        <v>1909</v>
      </c>
      <c r="L1795">
        <v>1909</v>
      </c>
      <c r="M1795" t="s">
        <v>228</v>
      </c>
      <c r="N1795" t="s">
        <v>222</v>
      </c>
      <c r="O1795" t="s">
        <v>5847</v>
      </c>
      <c r="P1795" t="s">
        <v>5958</v>
      </c>
      <c r="Q1795" t="str">
        <f>IF($C1795="","",IFERROR(VLOOKUP($C1795,sources!$A$2:$N$200,2,FALSE()),"?"))</f>
        <v>Map</v>
      </c>
      <c r="S1795" t="str">
        <f>IF($C1795="","",IFERROR(VLOOKUP($C1795,sources!$A$2:$N$200,9,FALSE()),"?"))</f>
        <v>US official</v>
      </c>
    </row>
    <row r="1796" spans="1:19" x14ac:dyDescent="0.2">
      <c r="A1796" t="s">
        <v>5959</v>
      </c>
      <c r="B1796" t="s">
        <v>777</v>
      </c>
      <c r="C1796" t="s">
        <v>1198</v>
      </c>
      <c r="D1796" t="s">
        <v>1599</v>
      </c>
      <c r="E1796" t="s">
        <v>5960</v>
      </c>
      <c r="F1796" t="s">
        <v>1612</v>
      </c>
      <c r="I1796" t="s">
        <v>1077</v>
      </c>
      <c r="K1796">
        <v>1909</v>
      </c>
      <c r="L1796">
        <v>1909</v>
      </c>
      <c r="M1796" t="s">
        <v>228</v>
      </c>
      <c r="N1796" t="s">
        <v>209</v>
      </c>
      <c r="O1796" t="s">
        <v>5847</v>
      </c>
      <c r="P1796" t="s">
        <v>5961</v>
      </c>
      <c r="Q1796" t="str">
        <f>IF($C1796="","",IFERROR(VLOOKUP($C1796,sources!$A$2:$N$200,2,FALSE()),"?"))</f>
        <v>Map</v>
      </c>
      <c r="S1796" t="str">
        <f>IF($C1796="","",IFERROR(VLOOKUP($C1796,sources!$A$2:$N$200,9,FALSE()),"?"))</f>
        <v>US official</v>
      </c>
    </row>
    <row r="1797" spans="1:19" x14ac:dyDescent="0.2">
      <c r="A1797" t="s">
        <v>5962</v>
      </c>
      <c r="B1797" t="s">
        <v>783</v>
      </c>
      <c r="C1797" t="s">
        <v>1198</v>
      </c>
      <c r="D1797" t="s">
        <v>1599</v>
      </c>
      <c r="E1797" t="s">
        <v>5963</v>
      </c>
      <c r="F1797" t="s">
        <v>1612</v>
      </c>
      <c r="I1797" t="s">
        <v>1077</v>
      </c>
      <c r="K1797">
        <v>1909</v>
      </c>
      <c r="L1797">
        <v>1909</v>
      </c>
      <c r="M1797" t="s">
        <v>228</v>
      </c>
      <c r="N1797" t="s">
        <v>209</v>
      </c>
      <c r="O1797" t="s">
        <v>5847</v>
      </c>
      <c r="P1797" t="s">
        <v>5964</v>
      </c>
      <c r="Q1797" t="str">
        <f>IF($C1797="","",IFERROR(VLOOKUP($C1797,sources!$A$2:$N$200,2,FALSE()),"?"))</f>
        <v>Map</v>
      </c>
      <c r="S1797" t="str">
        <f>IF($C1797="","",IFERROR(VLOOKUP($C1797,sources!$A$2:$N$200,9,FALSE()),"?"))</f>
        <v>US official</v>
      </c>
    </row>
    <row r="1798" spans="1:19" x14ac:dyDescent="0.2">
      <c r="A1798" t="s">
        <v>5965</v>
      </c>
      <c r="B1798" t="s">
        <v>936</v>
      </c>
      <c r="C1798" t="s">
        <v>1198</v>
      </c>
      <c r="D1798" t="s">
        <v>1666</v>
      </c>
      <c r="E1798" t="s">
        <v>937</v>
      </c>
      <c r="F1798" t="s">
        <v>1612</v>
      </c>
      <c r="I1798" t="s">
        <v>1077</v>
      </c>
      <c r="K1798">
        <v>1909</v>
      </c>
      <c r="L1798">
        <v>1909</v>
      </c>
      <c r="M1798" t="s">
        <v>228</v>
      </c>
      <c r="N1798" t="s">
        <v>222</v>
      </c>
      <c r="O1798" t="s">
        <v>5847</v>
      </c>
      <c r="P1798" t="s">
        <v>5966</v>
      </c>
      <c r="Q1798" t="str">
        <f>IF($C1798="","",IFERROR(VLOOKUP($C1798,sources!$A$2:$N$200,2,FALSE()),"?"))</f>
        <v>Map</v>
      </c>
      <c r="S1798" t="str">
        <f>IF($C1798="","",IFERROR(VLOOKUP($C1798,sources!$A$2:$N$200,9,FALSE()),"?"))</f>
        <v>US official</v>
      </c>
    </row>
    <row r="1799" spans="1:19" x14ac:dyDescent="0.2">
      <c r="A1799" t="s">
        <v>5967</v>
      </c>
      <c r="B1799" t="s">
        <v>708</v>
      </c>
      <c r="C1799" t="s">
        <v>1198</v>
      </c>
      <c r="D1799" t="s">
        <v>1666</v>
      </c>
      <c r="E1799" t="s">
        <v>709</v>
      </c>
      <c r="F1799" t="s">
        <v>1612</v>
      </c>
      <c r="I1799" t="s">
        <v>1077</v>
      </c>
      <c r="K1799">
        <v>1909</v>
      </c>
      <c r="L1799">
        <v>1909</v>
      </c>
      <c r="M1799" t="s">
        <v>228</v>
      </c>
      <c r="N1799" t="s">
        <v>222</v>
      </c>
      <c r="O1799" t="s">
        <v>5847</v>
      </c>
      <c r="P1799" t="s">
        <v>5968</v>
      </c>
      <c r="Q1799" t="str">
        <f>IF($C1799="","",IFERROR(VLOOKUP($C1799,sources!$A$2:$N$200,2,FALSE()),"?"))</f>
        <v>Map</v>
      </c>
      <c r="S1799" t="str">
        <f>IF($C1799="","",IFERROR(VLOOKUP($C1799,sources!$A$2:$N$200,9,FALSE()),"?"))</f>
        <v>US official</v>
      </c>
    </row>
    <row r="1800" spans="1:19" x14ac:dyDescent="0.2">
      <c r="A1800" t="s">
        <v>5969</v>
      </c>
      <c r="B1800" t="s">
        <v>644</v>
      </c>
      <c r="C1800" t="s">
        <v>1198</v>
      </c>
      <c r="D1800" t="s">
        <v>1599</v>
      </c>
      <c r="E1800" t="s">
        <v>5970</v>
      </c>
      <c r="F1800" t="s">
        <v>1612</v>
      </c>
      <c r="I1800" t="s">
        <v>1077</v>
      </c>
      <c r="K1800">
        <v>1909</v>
      </c>
      <c r="L1800">
        <v>1909</v>
      </c>
      <c r="M1800" t="s">
        <v>228</v>
      </c>
      <c r="N1800" t="s">
        <v>228</v>
      </c>
      <c r="O1800" t="s">
        <v>5847</v>
      </c>
      <c r="P1800" t="s">
        <v>5971</v>
      </c>
      <c r="Q1800" t="str">
        <f>IF($C1800="","",IFERROR(VLOOKUP($C1800,sources!$A$2:$N$200,2,FALSE()),"?"))</f>
        <v>Map</v>
      </c>
      <c r="S1800" t="str">
        <f>IF($C1800="","",IFERROR(VLOOKUP($C1800,sources!$A$2:$N$200,9,FALSE()),"?"))</f>
        <v>US official</v>
      </c>
    </row>
    <row r="1801" spans="1:19" x14ac:dyDescent="0.2">
      <c r="A1801" t="s">
        <v>5972</v>
      </c>
      <c r="B1801" t="s">
        <v>752</v>
      </c>
      <c r="C1801" t="s">
        <v>1198</v>
      </c>
      <c r="D1801" t="s">
        <v>1666</v>
      </c>
      <c r="E1801" t="s">
        <v>753</v>
      </c>
      <c r="F1801" t="s">
        <v>1612</v>
      </c>
      <c r="I1801" t="s">
        <v>1077</v>
      </c>
      <c r="K1801">
        <v>1909</v>
      </c>
      <c r="L1801">
        <v>1909</v>
      </c>
      <c r="M1801" t="s">
        <v>228</v>
      </c>
      <c r="N1801" t="s">
        <v>222</v>
      </c>
      <c r="O1801" t="s">
        <v>5847</v>
      </c>
      <c r="P1801" t="s">
        <v>5973</v>
      </c>
      <c r="Q1801" t="str">
        <f>IF($C1801="","",IFERROR(VLOOKUP($C1801,sources!$A$2:$N$200,2,FALSE()),"?"))</f>
        <v>Map</v>
      </c>
      <c r="S1801" t="str">
        <f>IF($C1801="","",IFERROR(VLOOKUP($C1801,sources!$A$2:$N$200,9,FALSE()),"?"))</f>
        <v>US official</v>
      </c>
    </row>
    <row r="1802" spans="1:19" x14ac:dyDescent="0.2">
      <c r="A1802" t="s">
        <v>5974</v>
      </c>
      <c r="B1802" t="s">
        <v>815</v>
      </c>
      <c r="C1802" t="s">
        <v>1198</v>
      </c>
      <c r="D1802" t="s">
        <v>1666</v>
      </c>
      <c r="E1802" t="s">
        <v>816</v>
      </c>
      <c r="F1802" t="s">
        <v>1612</v>
      </c>
      <c r="I1802" t="s">
        <v>1077</v>
      </c>
      <c r="K1802">
        <v>1909</v>
      </c>
      <c r="L1802">
        <v>1909</v>
      </c>
      <c r="M1802" t="s">
        <v>228</v>
      </c>
      <c r="N1802" t="s">
        <v>222</v>
      </c>
      <c r="O1802" t="s">
        <v>5847</v>
      </c>
      <c r="P1802" t="s">
        <v>5975</v>
      </c>
      <c r="Q1802" t="str">
        <f>IF($C1802="","",IFERROR(VLOOKUP($C1802,sources!$A$2:$N$200,2,FALSE()),"?"))</f>
        <v>Map</v>
      </c>
      <c r="S1802" t="str">
        <f>IF($C1802="","",IFERROR(VLOOKUP($C1802,sources!$A$2:$N$200,9,FALSE()),"?"))</f>
        <v>US official</v>
      </c>
    </row>
    <row r="1803" spans="1:19" x14ac:dyDescent="0.2">
      <c r="A1803" t="s">
        <v>5976</v>
      </c>
      <c r="B1803" t="s">
        <v>649</v>
      </c>
      <c r="C1803" t="s">
        <v>1198</v>
      </c>
      <c r="D1803" t="s">
        <v>1585</v>
      </c>
      <c r="E1803" t="s">
        <v>5977</v>
      </c>
      <c r="F1803" t="s">
        <v>1612</v>
      </c>
      <c r="I1803" t="s">
        <v>1077</v>
      </c>
      <c r="K1803">
        <v>1909</v>
      </c>
      <c r="L1803">
        <v>1909</v>
      </c>
      <c r="M1803" t="s">
        <v>228</v>
      </c>
      <c r="N1803" t="s">
        <v>222</v>
      </c>
      <c r="O1803" t="s">
        <v>5847</v>
      </c>
      <c r="P1803" t="s">
        <v>5978</v>
      </c>
      <c r="Q1803" t="str">
        <f>IF($C1803="","",IFERROR(VLOOKUP($C1803,sources!$A$2:$N$200,2,FALSE()),"?"))</f>
        <v>Map</v>
      </c>
      <c r="S1803" t="str">
        <f>IF($C1803="","",IFERROR(VLOOKUP($C1803,sources!$A$2:$N$200,9,FALSE()),"?"))</f>
        <v>US official</v>
      </c>
    </row>
    <row r="1804" spans="1:19" x14ac:dyDescent="0.2">
      <c r="A1804" t="s">
        <v>5979</v>
      </c>
      <c r="B1804" t="s">
        <v>649</v>
      </c>
      <c r="C1804" t="s">
        <v>1198</v>
      </c>
      <c r="D1804" t="s">
        <v>1666</v>
      </c>
      <c r="E1804" t="s">
        <v>3934</v>
      </c>
      <c r="F1804" t="s">
        <v>1612</v>
      </c>
      <c r="I1804" t="s">
        <v>1077</v>
      </c>
      <c r="K1804">
        <v>1909</v>
      </c>
      <c r="L1804">
        <v>1909</v>
      </c>
      <c r="M1804" t="s">
        <v>228</v>
      </c>
      <c r="N1804" t="s">
        <v>222</v>
      </c>
      <c r="O1804" t="s">
        <v>5847</v>
      </c>
      <c r="P1804" t="s">
        <v>5980</v>
      </c>
      <c r="Q1804" t="str">
        <f>IF($C1804="","",IFERROR(VLOOKUP($C1804,sources!$A$2:$N$200,2,FALSE()),"?"))</f>
        <v>Map</v>
      </c>
      <c r="S1804" t="str">
        <f>IF($C1804="","",IFERROR(VLOOKUP($C1804,sources!$A$2:$N$200,9,FALSE()),"?"))</f>
        <v>US official</v>
      </c>
    </row>
    <row r="1805" spans="1:19" x14ac:dyDescent="0.2">
      <c r="A1805" t="s">
        <v>5981</v>
      </c>
      <c r="B1805" t="s">
        <v>802</v>
      </c>
      <c r="C1805" t="s">
        <v>1198</v>
      </c>
      <c r="D1805" t="s">
        <v>1666</v>
      </c>
      <c r="E1805" t="s">
        <v>803</v>
      </c>
      <c r="F1805" t="s">
        <v>1612</v>
      </c>
      <c r="I1805" t="s">
        <v>1077</v>
      </c>
      <c r="K1805">
        <v>1909</v>
      </c>
      <c r="L1805">
        <v>1909</v>
      </c>
      <c r="M1805" t="s">
        <v>228</v>
      </c>
      <c r="N1805" t="s">
        <v>222</v>
      </c>
      <c r="O1805" t="s">
        <v>5847</v>
      </c>
      <c r="P1805" t="s">
        <v>5982</v>
      </c>
      <c r="Q1805" t="str">
        <f>IF($C1805="","",IFERROR(VLOOKUP($C1805,sources!$A$2:$N$200,2,FALSE()),"?"))</f>
        <v>Map</v>
      </c>
      <c r="S1805" t="str">
        <f>IF($C1805="","",IFERROR(VLOOKUP($C1805,sources!$A$2:$N$200,9,FALSE()),"?"))</f>
        <v>US official</v>
      </c>
    </row>
    <row r="1806" spans="1:19" x14ac:dyDescent="0.2">
      <c r="A1806" t="s">
        <v>5983</v>
      </c>
      <c r="B1806" t="s">
        <v>720</v>
      </c>
      <c r="C1806" t="s">
        <v>1198</v>
      </c>
      <c r="D1806" t="s">
        <v>1666</v>
      </c>
      <c r="E1806" t="s">
        <v>721</v>
      </c>
      <c r="F1806" t="s">
        <v>1612</v>
      </c>
      <c r="I1806" t="s">
        <v>1077</v>
      </c>
      <c r="K1806">
        <v>1909</v>
      </c>
      <c r="L1806">
        <v>1909</v>
      </c>
      <c r="M1806" t="s">
        <v>228</v>
      </c>
      <c r="N1806" t="s">
        <v>222</v>
      </c>
      <c r="O1806" t="s">
        <v>5847</v>
      </c>
      <c r="P1806" t="s">
        <v>5984</v>
      </c>
      <c r="Q1806" t="str">
        <f>IF($C1806="","",IFERROR(VLOOKUP($C1806,sources!$A$2:$N$200,2,FALSE()),"?"))</f>
        <v>Map</v>
      </c>
      <c r="S1806" t="str">
        <f>IF($C1806="","",IFERROR(VLOOKUP($C1806,sources!$A$2:$N$200,9,FALSE()),"?"))</f>
        <v>US official</v>
      </c>
    </row>
    <row r="1807" spans="1:19" x14ac:dyDescent="0.2">
      <c r="A1807" t="s">
        <v>5985</v>
      </c>
      <c r="B1807" t="s">
        <v>795</v>
      </c>
      <c r="C1807" t="s">
        <v>1198</v>
      </c>
      <c r="D1807" t="s">
        <v>1666</v>
      </c>
      <c r="E1807" t="s">
        <v>796</v>
      </c>
      <c r="F1807" t="s">
        <v>1612</v>
      </c>
      <c r="I1807" t="s">
        <v>1077</v>
      </c>
      <c r="K1807">
        <v>1909</v>
      </c>
      <c r="L1807">
        <v>1909</v>
      </c>
      <c r="M1807" t="s">
        <v>228</v>
      </c>
      <c r="N1807" t="s">
        <v>222</v>
      </c>
      <c r="O1807" t="s">
        <v>5847</v>
      </c>
      <c r="P1807" t="s">
        <v>5986</v>
      </c>
      <c r="Q1807" t="str">
        <f>IF($C1807="","",IFERROR(VLOOKUP($C1807,sources!$A$2:$N$200,2,FALSE()),"?"))</f>
        <v>Map</v>
      </c>
      <c r="S1807" t="str">
        <f>IF($C1807="","",IFERROR(VLOOKUP($C1807,sources!$A$2:$N$200,9,FALSE()),"?"))</f>
        <v>US official</v>
      </c>
    </row>
    <row r="1808" spans="1:19" x14ac:dyDescent="0.2">
      <c r="A1808" t="s">
        <v>5987</v>
      </c>
      <c r="B1808" t="s">
        <v>830</v>
      </c>
      <c r="C1808" t="s">
        <v>1198</v>
      </c>
      <c r="D1808" t="s">
        <v>1666</v>
      </c>
      <c r="E1808" t="s">
        <v>831</v>
      </c>
      <c r="F1808" t="s">
        <v>1612</v>
      </c>
      <c r="I1808" t="s">
        <v>1077</v>
      </c>
      <c r="K1808">
        <v>1909</v>
      </c>
      <c r="L1808">
        <v>1909</v>
      </c>
      <c r="M1808" t="s">
        <v>228</v>
      </c>
      <c r="N1808" t="s">
        <v>222</v>
      </c>
      <c r="O1808" t="s">
        <v>5847</v>
      </c>
      <c r="P1808" t="s">
        <v>5988</v>
      </c>
      <c r="Q1808" t="str">
        <f>IF($C1808="","",IFERROR(VLOOKUP($C1808,sources!$A$2:$N$200,2,FALSE()),"?"))</f>
        <v>Map</v>
      </c>
      <c r="S1808" t="str">
        <f>IF($C1808="","",IFERROR(VLOOKUP($C1808,sources!$A$2:$N$200,9,FALSE()),"?"))</f>
        <v>US official</v>
      </c>
    </row>
    <row r="1809" spans="1:19" x14ac:dyDescent="0.2">
      <c r="A1809" t="s">
        <v>5989</v>
      </c>
      <c r="B1809" t="s">
        <v>835</v>
      </c>
      <c r="C1809" t="s">
        <v>1198</v>
      </c>
      <c r="D1809" t="s">
        <v>1666</v>
      </c>
      <c r="E1809" t="s">
        <v>836</v>
      </c>
      <c r="F1809" t="s">
        <v>1612</v>
      </c>
      <c r="I1809" t="s">
        <v>1077</v>
      </c>
      <c r="K1809">
        <v>1909</v>
      </c>
      <c r="L1809">
        <v>1909</v>
      </c>
      <c r="M1809" t="s">
        <v>228</v>
      </c>
      <c r="N1809" t="s">
        <v>222</v>
      </c>
      <c r="O1809" t="s">
        <v>5847</v>
      </c>
      <c r="P1809" t="s">
        <v>5990</v>
      </c>
      <c r="Q1809" t="str">
        <f>IF($C1809="","",IFERROR(VLOOKUP($C1809,sources!$A$2:$N$200,2,FALSE()),"?"))</f>
        <v>Map</v>
      </c>
      <c r="S1809" t="str">
        <f>IF($C1809="","",IFERROR(VLOOKUP($C1809,sources!$A$2:$N$200,9,FALSE()),"?"))</f>
        <v>US official</v>
      </c>
    </row>
    <row r="1810" spans="1:19" x14ac:dyDescent="0.2">
      <c r="A1810" t="s">
        <v>5991</v>
      </c>
      <c r="B1810" t="s">
        <v>854</v>
      </c>
      <c r="C1810" t="s">
        <v>1198</v>
      </c>
      <c r="D1810" t="s">
        <v>1666</v>
      </c>
      <c r="E1810" t="s">
        <v>855</v>
      </c>
      <c r="F1810" t="s">
        <v>1612</v>
      </c>
      <c r="I1810" t="s">
        <v>1077</v>
      </c>
      <c r="K1810">
        <v>1909</v>
      </c>
      <c r="L1810">
        <v>1909</v>
      </c>
      <c r="M1810" t="s">
        <v>228</v>
      </c>
      <c r="N1810" t="s">
        <v>222</v>
      </c>
      <c r="O1810" t="s">
        <v>5847</v>
      </c>
      <c r="P1810" t="s">
        <v>5992</v>
      </c>
      <c r="Q1810" t="str">
        <f>IF($C1810="","",IFERROR(VLOOKUP($C1810,sources!$A$2:$N$200,2,FALSE()),"?"))</f>
        <v>Map</v>
      </c>
      <c r="S1810" t="str">
        <f>IF($C1810="","",IFERROR(VLOOKUP($C1810,sources!$A$2:$N$200,9,FALSE()),"?"))</f>
        <v>US official</v>
      </c>
    </row>
    <row r="1811" spans="1:19" x14ac:dyDescent="0.2">
      <c r="A1811" t="s">
        <v>5993</v>
      </c>
      <c r="B1811" t="s">
        <v>998</v>
      </c>
      <c r="C1811" t="s">
        <v>1198</v>
      </c>
      <c r="D1811" t="s">
        <v>1599</v>
      </c>
      <c r="E1811" t="s">
        <v>5994</v>
      </c>
      <c r="F1811" t="s">
        <v>1612</v>
      </c>
      <c r="I1811" t="s">
        <v>1077</v>
      </c>
      <c r="K1811">
        <v>1909</v>
      </c>
      <c r="L1811">
        <v>1909</v>
      </c>
      <c r="M1811" t="s">
        <v>228</v>
      </c>
      <c r="N1811" t="s">
        <v>209</v>
      </c>
      <c r="O1811" t="s">
        <v>5847</v>
      </c>
      <c r="P1811" t="s">
        <v>5995</v>
      </c>
      <c r="Q1811" t="str">
        <f>IF($C1811="","",IFERROR(VLOOKUP($C1811,sources!$A$2:$N$200,2,FALSE()),"?"))</f>
        <v>Map</v>
      </c>
      <c r="S1811" t="str">
        <f>IF($C1811="","",IFERROR(VLOOKUP($C1811,sources!$A$2:$N$200,9,FALSE()),"?"))</f>
        <v>US official</v>
      </c>
    </row>
    <row r="1812" spans="1:19" x14ac:dyDescent="0.2">
      <c r="A1812" t="s">
        <v>5996</v>
      </c>
      <c r="B1812" t="s">
        <v>866</v>
      </c>
      <c r="C1812" t="s">
        <v>1198</v>
      </c>
      <c r="D1812" t="s">
        <v>1666</v>
      </c>
      <c r="E1812" t="s">
        <v>867</v>
      </c>
      <c r="F1812" t="s">
        <v>1612</v>
      </c>
      <c r="I1812" t="s">
        <v>1077</v>
      </c>
      <c r="K1812">
        <v>1909</v>
      </c>
      <c r="L1812">
        <v>1909</v>
      </c>
      <c r="M1812" t="s">
        <v>228</v>
      </c>
      <c r="N1812" t="s">
        <v>222</v>
      </c>
      <c r="O1812" t="s">
        <v>5847</v>
      </c>
      <c r="P1812" t="s">
        <v>5997</v>
      </c>
      <c r="Q1812" t="str">
        <f>IF($C1812="","",IFERROR(VLOOKUP($C1812,sources!$A$2:$N$200,2,FALSE()),"?"))</f>
        <v>Map</v>
      </c>
      <c r="S1812" t="str">
        <f>IF($C1812="","",IFERROR(VLOOKUP($C1812,sources!$A$2:$N$200,9,FALSE()),"?"))</f>
        <v>US official</v>
      </c>
    </row>
    <row r="1813" spans="1:19" x14ac:dyDescent="0.2">
      <c r="A1813" t="s">
        <v>5998</v>
      </c>
      <c r="B1813" t="s">
        <v>907</v>
      </c>
      <c r="C1813" t="s">
        <v>1198</v>
      </c>
      <c r="D1813" t="s">
        <v>1666</v>
      </c>
      <c r="E1813" t="s">
        <v>908</v>
      </c>
      <c r="F1813" t="s">
        <v>1612</v>
      </c>
      <c r="I1813" t="s">
        <v>1077</v>
      </c>
      <c r="K1813">
        <v>1909</v>
      </c>
      <c r="L1813">
        <v>1909</v>
      </c>
      <c r="M1813" t="s">
        <v>228</v>
      </c>
      <c r="N1813" t="s">
        <v>222</v>
      </c>
      <c r="O1813" t="s">
        <v>5847</v>
      </c>
      <c r="P1813" t="s">
        <v>5999</v>
      </c>
      <c r="Q1813" t="str">
        <f>IF($C1813="","",IFERROR(VLOOKUP($C1813,sources!$A$2:$N$200,2,FALSE()),"?"))</f>
        <v>Map</v>
      </c>
      <c r="S1813" t="str">
        <f>IF($C1813="","",IFERROR(VLOOKUP($C1813,sources!$A$2:$N$200,9,FALSE()),"?"))</f>
        <v>US official</v>
      </c>
    </row>
    <row r="1814" spans="1:19" x14ac:dyDescent="0.2">
      <c r="A1814" t="s">
        <v>6000</v>
      </c>
      <c r="B1814" t="s">
        <v>911</v>
      </c>
      <c r="C1814" t="s">
        <v>1198</v>
      </c>
      <c r="D1814" t="s">
        <v>1666</v>
      </c>
      <c r="E1814" t="s">
        <v>912</v>
      </c>
      <c r="F1814" t="s">
        <v>1612</v>
      </c>
      <c r="I1814" t="s">
        <v>1077</v>
      </c>
      <c r="K1814">
        <v>1909</v>
      </c>
      <c r="L1814">
        <v>1909</v>
      </c>
      <c r="M1814" t="s">
        <v>228</v>
      </c>
      <c r="N1814" t="s">
        <v>222</v>
      </c>
      <c r="O1814" t="s">
        <v>5847</v>
      </c>
      <c r="P1814" t="s">
        <v>6001</v>
      </c>
      <c r="Q1814" t="str">
        <f>IF($C1814="","",IFERROR(VLOOKUP($C1814,sources!$A$2:$N$200,2,FALSE()),"?"))</f>
        <v>Map</v>
      </c>
      <c r="S1814" t="str">
        <f>IF($C1814="","",IFERROR(VLOOKUP($C1814,sources!$A$2:$N$200,9,FALSE()),"?"))</f>
        <v>US official</v>
      </c>
    </row>
    <row r="1815" spans="1:19" x14ac:dyDescent="0.2">
      <c r="A1815" t="s">
        <v>6002</v>
      </c>
      <c r="B1815" t="s">
        <v>947</v>
      </c>
      <c r="C1815" t="s">
        <v>1198</v>
      </c>
      <c r="D1815" t="s">
        <v>1666</v>
      </c>
      <c r="E1815" t="s">
        <v>949</v>
      </c>
      <c r="F1815" t="s">
        <v>1612</v>
      </c>
      <c r="I1815" t="s">
        <v>1077</v>
      </c>
      <c r="K1815">
        <v>1909</v>
      </c>
      <c r="L1815">
        <v>1909</v>
      </c>
      <c r="M1815" t="s">
        <v>228</v>
      </c>
      <c r="N1815" t="s">
        <v>222</v>
      </c>
      <c r="O1815" t="s">
        <v>5847</v>
      </c>
      <c r="P1815" t="s">
        <v>6003</v>
      </c>
      <c r="Q1815" t="str">
        <f>IF($C1815="","",IFERROR(VLOOKUP($C1815,sources!$A$2:$N$200,2,FALSE()),"?"))</f>
        <v>Map</v>
      </c>
      <c r="S1815" t="str">
        <f>IF($C1815="","",IFERROR(VLOOKUP($C1815,sources!$A$2:$N$200,9,FALSE()),"?"))</f>
        <v>US official</v>
      </c>
    </row>
    <row r="1816" spans="1:19" x14ac:dyDescent="0.2">
      <c r="A1816" t="s">
        <v>6004</v>
      </c>
      <c r="B1816" t="s">
        <v>947</v>
      </c>
      <c r="C1816" t="s">
        <v>1198</v>
      </c>
      <c r="D1816" t="s">
        <v>1666</v>
      </c>
      <c r="E1816" t="s">
        <v>948</v>
      </c>
      <c r="F1816" t="s">
        <v>1612</v>
      </c>
      <c r="I1816" t="s">
        <v>1077</v>
      </c>
      <c r="K1816">
        <v>1909</v>
      </c>
      <c r="L1816">
        <v>1909</v>
      </c>
      <c r="M1816" t="s">
        <v>228</v>
      </c>
      <c r="N1816" t="s">
        <v>222</v>
      </c>
      <c r="O1816" t="s">
        <v>5847</v>
      </c>
      <c r="P1816" t="s">
        <v>6005</v>
      </c>
      <c r="Q1816" t="str">
        <f>IF($C1816="","",IFERROR(VLOOKUP($C1816,sources!$A$2:$N$200,2,FALSE()),"?"))</f>
        <v>Map</v>
      </c>
      <c r="S1816" t="str">
        <f>IF($C1816="","",IFERROR(VLOOKUP($C1816,sources!$A$2:$N$200,9,FALSE()),"?"))</f>
        <v>US official</v>
      </c>
    </row>
    <row r="1817" spans="1:19" x14ac:dyDescent="0.2">
      <c r="A1817" t="s">
        <v>6006</v>
      </c>
      <c r="B1817" t="s">
        <v>915</v>
      </c>
      <c r="C1817" t="s">
        <v>1198</v>
      </c>
      <c r="D1817" t="s">
        <v>1666</v>
      </c>
      <c r="E1817" t="s">
        <v>916</v>
      </c>
      <c r="F1817" t="s">
        <v>1612</v>
      </c>
      <c r="I1817" t="s">
        <v>1077</v>
      </c>
      <c r="K1817">
        <v>1909</v>
      </c>
      <c r="L1817">
        <v>1909</v>
      </c>
      <c r="M1817" t="s">
        <v>228</v>
      </c>
      <c r="N1817" t="s">
        <v>222</v>
      </c>
      <c r="O1817" t="s">
        <v>5847</v>
      </c>
      <c r="P1817" t="s">
        <v>6007</v>
      </c>
      <c r="Q1817" t="str">
        <f>IF($C1817="","",IFERROR(VLOOKUP($C1817,sources!$A$2:$N$200,2,FALSE()),"?"))</f>
        <v>Map</v>
      </c>
      <c r="S1817" t="str">
        <f>IF($C1817="","",IFERROR(VLOOKUP($C1817,sources!$A$2:$N$200,9,FALSE()),"?"))</f>
        <v>US official</v>
      </c>
    </row>
    <row r="1818" spans="1:19" x14ac:dyDescent="0.2">
      <c r="A1818" t="s">
        <v>6008</v>
      </c>
      <c r="B1818" t="s">
        <v>918</v>
      </c>
      <c r="C1818" t="s">
        <v>1198</v>
      </c>
      <c r="D1818" t="s">
        <v>1666</v>
      </c>
      <c r="E1818" t="s">
        <v>919</v>
      </c>
      <c r="F1818" t="s">
        <v>1612</v>
      </c>
      <c r="I1818" t="s">
        <v>1077</v>
      </c>
      <c r="K1818">
        <v>1909</v>
      </c>
      <c r="L1818">
        <v>1909</v>
      </c>
      <c r="M1818" t="s">
        <v>228</v>
      </c>
      <c r="N1818" t="s">
        <v>222</v>
      </c>
      <c r="O1818" t="s">
        <v>5847</v>
      </c>
      <c r="P1818" t="s">
        <v>6009</v>
      </c>
      <c r="Q1818" t="str">
        <f>IF($C1818="","",IFERROR(VLOOKUP($C1818,sources!$A$2:$N$200,2,FALSE()),"?"))</f>
        <v>Map</v>
      </c>
      <c r="S1818" t="str">
        <f>IF($C1818="","",IFERROR(VLOOKUP($C1818,sources!$A$2:$N$200,9,FALSE()),"?"))</f>
        <v>US official</v>
      </c>
    </row>
    <row r="1819" spans="1:19" x14ac:dyDescent="0.2">
      <c r="A1819" t="s">
        <v>6010</v>
      </c>
      <c r="B1819" t="s">
        <v>426</v>
      </c>
      <c r="C1819" t="s">
        <v>1354</v>
      </c>
      <c r="D1819" t="s">
        <v>1666</v>
      </c>
      <c r="E1819" t="s">
        <v>427</v>
      </c>
      <c r="F1819" t="s">
        <v>1612</v>
      </c>
      <c r="I1819" t="s">
        <v>1077</v>
      </c>
      <c r="K1819">
        <v>1905</v>
      </c>
      <c r="L1819">
        <v>1906</v>
      </c>
      <c r="M1819" t="s">
        <v>228</v>
      </c>
      <c r="N1819" t="s">
        <v>228</v>
      </c>
      <c r="O1819" t="s">
        <v>5847</v>
      </c>
      <c r="P1819" t="s">
        <v>6011</v>
      </c>
      <c r="Q1819" t="str">
        <f>IF($C1819="","",IFERROR(VLOOKUP($C1819,sources!$A$2:$N$200,2,FALSE()),"?"))</f>
        <v>Map</v>
      </c>
      <c r="S1819" t="str">
        <f>IF($C1819="","",IFERROR(VLOOKUP($C1819,sources!$A$2:$N$200,9,FALSE()),"?"))</f>
        <v>US official</v>
      </c>
    </row>
    <row r="1820" spans="1:19" x14ac:dyDescent="0.2">
      <c r="A1820" t="s">
        <v>6012</v>
      </c>
      <c r="B1820" t="s">
        <v>514</v>
      </c>
      <c r="C1820" t="s">
        <v>1354</v>
      </c>
      <c r="D1820" t="s">
        <v>1585</v>
      </c>
      <c r="E1820" t="s">
        <v>515</v>
      </c>
      <c r="F1820" t="s">
        <v>1612</v>
      </c>
      <c r="I1820" t="s">
        <v>1077</v>
      </c>
      <c r="K1820">
        <v>1905</v>
      </c>
      <c r="L1820">
        <v>1906</v>
      </c>
      <c r="M1820" t="s">
        <v>228</v>
      </c>
      <c r="N1820" t="s">
        <v>222</v>
      </c>
      <c r="O1820" t="s">
        <v>5847</v>
      </c>
      <c r="P1820" t="s">
        <v>6013</v>
      </c>
      <c r="Q1820" t="str">
        <f>IF($C1820="","",IFERROR(VLOOKUP($C1820,sources!$A$2:$N$200,2,FALSE()),"?"))</f>
        <v>Map</v>
      </c>
      <c r="S1820" t="str">
        <f>IF($C1820="","",IFERROR(VLOOKUP($C1820,sources!$A$2:$N$200,9,FALSE()),"?"))</f>
        <v>US official</v>
      </c>
    </row>
    <row r="1821" spans="1:19" x14ac:dyDescent="0.2">
      <c r="A1821" t="s">
        <v>6014</v>
      </c>
      <c r="B1821" t="s">
        <v>622</v>
      </c>
      <c r="C1821" t="s">
        <v>1354</v>
      </c>
      <c r="D1821" t="s">
        <v>1585</v>
      </c>
      <c r="E1821" t="s">
        <v>623</v>
      </c>
      <c r="F1821" t="s">
        <v>1612</v>
      </c>
      <c r="I1821" t="s">
        <v>1077</v>
      </c>
      <c r="K1821">
        <v>1905</v>
      </c>
      <c r="L1821">
        <v>1906</v>
      </c>
      <c r="M1821" t="s">
        <v>228</v>
      </c>
      <c r="N1821" t="s">
        <v>222</v>
      </c>
      <c r="O1821" t="s">
        <v>5847</v>
      </c>
      <c r="P1821" t="s">
        <v>6015</v>
      </c>
      <c r="Q1821" t="str">
        <f>IF($C1821="","",IFERROR(VLOOKUP($C1821,sources!$A$2:$N$200,2,FALSE()),"?"))</f>
        <v>Map</v>
      </c>
      <c r="S1821" t="str">
        <f>IF($C1821="","",IFERROR(VLOOKUP($C1821,sources!$A$2:$N$200,9,FALSE()),"?"))</f>
        <v>US official</v>
      </c>
    </row>
    <row r="1822" spans="1:19" x14ac:dyDescent="0.2">
      <c r="A1822" t="s">
        <v>6016</v>
      </c>
      <c r="B1822" t="s">
        <v>911</v>
      </c>
      <c r="C1822" t="s">
        <v>1354</v>
      </c>
      <c r="D1822" t="s">
        <v>1666</v>
      </c>
      <c r="E1822" t="s">
        <v>912</v>
      </c>
      <c r="F1822" t="s">
        <v>1612</v>
      </c>
      <c r="I1822" t="s">
        <v>1077</v>
      </c>
      <c r="K1822">
        <v>1905</v>
      </c>
      <c r="L1822">
        <v>1906</v>
      </c>
      <c r="M1822" t="s">
        <v>228</v>
      </c>
      <c r="N1822" t="s">
        <v>222</v>
      </c>
      <c r="O1822" t="s">
        <v>5847</v>
      </c>
      <c r="P1822" t="s">
        <v>6017</v>
      </c>
      <c r="Q1822" t="str">
        <f>IF($C1822="","",IFERROR(VLOOKUP($C1822,sources!$A$2:$N$200,2,FALSE()),"?"))</f>
        <v>Map</v>
      </c>
      <c r="S1822" t="str">
        <f>IF($C1822="","",IFERROR(VLOOKUP($C1822,sources!$A$2:$N$200,9,FALSE()),"?"))</f>
        <v>US official</v>
      </c>
    </row>
    <row r="1823" spans="1:19" x14ac:dyDescent="0.2">
      <c r="A1823" t="s">
        <v>6018</v>
      </c>
      <c r="B1823" t="s">
        <v>915</v>
      </c>
      <c r="C1823" t="s">
        <v>1354</v>
      </c>
      <c r="D1823" t="s">
        <v>1666</v>
      </c>
      <c r="E1823" t="s">
        <v>916</v>
      </c>
      <c r="F1823" t="s">
        <v>1612</v>
      </c>
      <c r="I1823" t="s">
        <v>1077</v>
      </c>
      <c r="K1823">
        <v>1905</v>
      </c>
      <c r="L1823">
        <v>1906</v>
      </c>
      <c r="M1823" t="s">
        <v>228</v>
      </c>
      <c r="N1823" t="s">
        <v>222</v>
      </c>
      <c r="O1823" t="s">
        <v>5847</v>
      </c>
      <c r="P1823" t="s">
        <v>6019</v>
      </c>
      <c r="Q1823" t="str">
        <f>IF($C1823="","",IFERROR(VLOOKUP($C1823,sources!$A$2:$N$200,2,FALSE()),"?"))</f>
        <v>Map</v>
      </c>
      <c r="S1823" t="str">
        <f>IF($C1823="","",IFERROR(VLOOKUP($C1823,sources!$A$2:$N$200,9,FALSE()),"?"))</f>
        <v>US official</v>
      </c>
    </row>
    <row r="1824" spans="1:19" x14ac:dyDescent="0.2">
      <c r="A1824" t="s">
        <v>6020</v>
      </c>
      <c r="B1824" t="s">
        <v>918</v>
      </c>
      <c r="C1824" t="s">
        <v>1354</v>
      </c>
      <c r="D1824" t="s">
        <v>1666</v>
      </c>
      <c r="E1824" t="s">
        <v>919</v>
      </c>
      <c r="F1824" t="s">
        <v>1612</v>
      </c>
      <c r="I1824" t="s">
        <v>1077</v>
      </c>
      <c r="K1824">
        <v>1905</v>
      </c>
      <c r="L1824">
        <v>1906</v>
      </c>
      <c r="M1824" t="s">
        <v>228</v>
      </c>
      <c r="N1824" t="s">
        <v>222</v>
      </c>
      <c r="O1824" t="s">
        <v>5847</v>
      </c>
      <c r="P1824" t="s">
        <v>6021</v>
      </c>
      <c r="Q1824" t="str">
        <f>IF($C1824="","",IFERROR(VLOOKUP($C1824,sources!$A$2:$N$200,2,FALSE()),"?"))</f>
        <v>Map</v>
      </c>
      <c r="S1824" t="str">
        <f>IF($C1824="","",IFERROR(VLOOKUP($C1824,sources!$A$2:$N$200,9,FALSE()),"?"))</f>
        <v>US official</v>
      </c>
    </row>
    <row r="1825" spans="1:19" x14ac:dyDescent="0.2">
      <c r="A1825" t="s">
        <v>6022</v>
      </c>
      <c r="B1825" t="s">
        <v>921</v>
      </c>
      <c r="C1825" t="s">
        <v>1354</v>
      </c>
      <c r="D1825" t="s">
        <v>1666</v>
      </c>
      <c r="E1825" t="s">
        <v>922</v>
      </c>
      <c r="F1825" t="s">
        <v>1612</v>
      </c>
      <c r="I1825" t="s">
        <v>1077</v>
      </c>
      <c r="K1825">
        <v>1905</v>
      </c>
      <c r="L1825">
        <v>1906</v>
      </c>
      <c r="M1825" t="s">
        <v>228</v>
      </c>
      <c r="N1825" t="s">
        <v>228</v>
      </c>
      <c r="O1825" t="s">
        <v>5847</v>
      </c>
      <c r="P1825" t="s">
        <v>6023</v>
      </c>
      <c r="Q1825" t="str">
        <f>IF($C1825="","",IFERROR(VLOOKUP($C1825,sources!$A$2:$N$200,2,FALSE()),"?"))</f>
        <v>Map</v>
      </c>
      <c r="S1825" t="str">
        <f>IF($C1825="","",IFERROR(VLOOKUP($C1825,sources!$A$2:$N$200,9,FALSE()),"?"))</f>
        <v>US official</v>
      </c>
    </row>
    <row r="1826" spans="1:19" x14ac:dyDescent="0.2">
      <c r="A1826" t="s">
        <v>6024</v>
      </c>
      <c r="B1826" t="s">
        <v>947</v>
      </c>
      <c r="C1826" t="s">
        <v>1354</v>
      </c>
      <c r="D1826" t="s">
        <v>1666</v>
      </c>
      <c r="E1826" t="s">
        <v>948</v>
      </c>
      <c r="F1826" t="s">
        <v>1612</v>
      </c>
      <c r="I1826" t="s">
        <v>1077</v>
      </c>
      <c r="K1826">
        <v>1905</v>
      </c>
      <c r="L1826">
        <v>1906</v>
      </c>
      <c r="M1826" t="s">
        <v>228</v>
      </c>
      <c r="N1826" t="s">
        <v>222</v>
      </c>
      <c r="O1826" t="s">
        <v>5847</v>
      </c>
      <c r="P1826" t="s">
        <v>6025</v>
      </c>
      <c r="Q1826" t="str">
        <f>IF($C1826="","",IFERROR(VLOOKUP($C1826,sources!$A$2:$N$200,2,FALSE()),"?"))</f>
        <v>Map</v>
      </c>
      <c r="S1826" t="str">
        <f>IF($C1826="","",IFERROR(VLOOKUP($C1826,sources!$A$2:$N$200,9,FALSE()),"?"))</f>
        <v>US official</v>
      </c>
    </row>
    <row r="1827" spans="1:19" x14ac:dyDescent="0.2">
      <c r="A1827" t="s">
        <v>6026</v>
      </c>
      <c r="B1827" t="s">
        <v>947</v>
      </c>
      <c r="C1827" t="s">
        <v>1354</v>
      </c>
      <c r="D1827" t="s">
        <v>1666</v>
      </c>
      <c r="E1827" t="s">
        <v>949</v>
      </c>
      <c r="F1827" t="s">
        <v>1612</v>
      </c>
      <c r="I1827" t="s">
        <v>1077</v>
      </c>
      <c r="K1827">
        <v>1905</v>
      </c>
      <c r="L1827">
        <v>1906</v>
      </c>
      <c r="M1827" t="s">
        <v>228</v>
      </c>
      <c r="N1827" t="s">
        <v>222</v>
      </c>
      <c r="O1827" t="s">
        <v>5847</v>
      </c>
      <c r="P1827" t="s">
        <v>6027</v>
      </c>
      <c r="Q1827" t="str">
        <f>IF($C1827="","",IFERROR(VLOOKUP($C1827,sources!$A$2:$N$200,2,FALSE()),"?"))</f>
        <v>Map</v>
      </c>
      <c r="S1827" t="str">
        <f>IF($C1827="","",IFERROR(VLOOKUP($C1827,sources!$A$2:$N$200,9,FALSE()),"?"))</f>
        <v>US official</v>
      </c>
    </row>
    <row r="1828" spans="1:19" x14ac:dyDescent="0.2">
      <c r="A1828" t="s">
        <v>6028</v>
      </c>
      <c r="B1828" t="s">
        <v>466</v>
      </c>
      <c r="C1828" t="s">
        <v>1354</v>
      </c>
      <c r="D1828" t="s">
        <v>1585</v>
      </c>
      <c r="E1828" t="s">
        <v>468</v>
      </c>
      <c r="F1828" t="s">
        <v>1612</v>
      </c>
      <c r="I1828" t="s">
        <v>1077</v>
      </c>
      <c r="K1828">
        <v>1905</v>
      </c>
      <c r="L1828">
        <v>1906</v>
      </c>
      <c r="M1828" t="s">
        <v>228</v>
      </c>
      <c r="N1828" t="s">
        <v>222</v>
      </c>
      <c r="O1828" t="s">
        <v>5847</v>
      </c>
      <c r="P1828" t="s">
        <v>6029</v>
      </c>
      <c r="Q1828" t="str">
        <f>IF($C1828="","",IFERROR(VLOOKUP($C1828,sources!$A$2:$N$200,2,FALSE()),"?"))</f>
        <v>Map</v>
      </c>
      <c r="S1828" t="str">
        <f>IF($C1828="","",IFERROR(VLOOKUP($C1828,sources!$A$2:$N$200,9,FALSE()),"?"))</f>
        <v>US official</v>
      </c>
    </row>
    <row r="1829" spans="1:19" x14ac:dyDescent="0.2">
      <c r="A1829" t="s">
        <v>6030</v>
      </c>
      <c r="B1829" t="s">
        <v>487</v>
      </c>
      <c r="C1829" t="s">
        <v>1354</v>
      </c>
      <c r="D1829" t="s">
        <v>1599</v>
      </c>
      <c r="E1829" t="s">
        <v>6031</v>
      </c>
      <c r="F1829" t="s">
        <v>1612</v>
      </c>
      <c r="I1829" t="s">
        <v>1077</v>
      </c>
      <c r="K1829">
        <v>1905</v>
      </c>
      <c r="L1829">
        <v>1906</v>
      </c>
      <c r="M1829" t="s">
        <v>228</v>
      </c>
      <c r="N1829" t="s">
        <v>228</v>
      </c>
      <c r="O1829" t="s">
        <v>5847</v>
      </c>
      <c r="P1829" t="s">
        <v>6032</v>
      </c>
      <c r="Q1829" t="str">
        <f>IF($C1829="","",IFERROR(VLOOKUP($C1829,sources!$A$2:$N$200,2,FALSE()),"?"))</f>
        <v>Map</v>
      </c>
      <c r="S1829" t="str">
        <f>IF($C1829="","",IFERROR(VLOOKUP($C1829,sources!$A$2:$N$200,9,FALSE()),"?"))</f>
        <v>US official</v>
      </c>
    </row>
    <row r="1830" spans="1:19" x14ac:dyDescent="0.2">
      <c r="A1830" t="s">
        <v>6033</v>
      </c>
      <c r="B1830" t="s">
        <v>783</v>
      </c>
      <c r="C1830" t="s">
        <v>1354</v>
      </c>
      <c r="D1830" t="s">
        <v>1599</v>
      </c>
      <c r="E1830" t="s">
        <v>6034</v>
      </c>
      <c r="F1830" t="s">
        <v>1612</v>
      </c>
      <c r="I1830" t="s">
        <v>1077</v>
      </c>
      <c r="K1830">
        <v>1905</v>
      </c>
      <c r="L1830">
        <v>1906</v>
      </c>
      <c r="M1830" t="s">
        <v>228</v>
      </c>
      <c r="N1830" t="s">
        <v>228</v>
      </c>
      <c r="O1830" t="s">
        <v>5847</v>
      </c>
      <c r="P1830" t="s">
        <v>6035</v>
      </c>
      <c r="Q1830" t="str">
        <f>IF($C1830="","",IFERROR(VLOOKUP($C1830,sources!$A$2:$N$200,2,FALSE()),"?"))</f>
        <v>Map</v>
      </c>
      <c r="S1830" t="str">
        <f>IF($C1830="","",IFERROR(VLOOKUP($C1830,sources!$A$2:$N$200,9,FALSE()),"?"))</f>
        <v>US official</v>
      </c>
    </row>
    <row r="1831" spans="1:19" x14ac:dyDescent="0.2">
      <c r="A1831" t="s">
        <v>6036</v>
      </c>
      <c r="B1831" t="s">
        <v>786</v>
      </c>
      <c r="C1831" t="s">
        <v>1354</v>
      </c>
      <c r="D1831" t="s">
        <v>1599</v>
      </c>
      <c r="E1831" t="s">
        <v>6037</v>
      </c>
      <c r="F1831" t="s">
        <v>1612</v>
      </c>
      <c r="I1831" t="s">
        <v>1077</v>
      </c>
      <c r="K1831">
        <v>1905</v>
      </c>
      <c r="L1831">
        <v>1906</v>
      </c>
      <c r="M1831" t="s">
        <v>228</v>
      </c>
      <c r="N1831" t="s">
        <v>222</v>
      </c>
      <c r="O1831" t="s">
        <v>5847</v>
      </c>
      <c r="P1831" t="s">
        <v>6038</v>
      </c>
      <c r="Q1831" t="str">
        <f>IF($C1831="","",IFERROR(VLOOKUP($C1831,sources!$A$2:$N$200,2,FALSE()),"?"))</f>
        <v>Map</v>
      </c>
      <c r="S1831" t="str">
        <f>IF($C1831="","",IFERROR(VLOOKUP($C1831,sources!$A$2:$N$200,9,FALSE()),"?"))</f>
        <v>US official</v>
      </c>
    </row>
    <row r="1832" spans="1:19" x14ac:dyDescent="0.2">
      <c r="A1832" t="s">
        <v>6039</v>
      </c>
      <c r="B1832" t="s">
        <v>795</v>
      </c>
      <c r="C1832" t="s">
        <v>1354</v>
      </c>
      <c r="D1832" t="s">
        <v>1599</v>
      </c>
      <c r="E1832" t="s">
        <v>5920</v>
      </c>
      <c r="F1832" t="s">
        <v>1612</v>
      </c>
      <c r="I1832" t="s">
        <v>1077</v>
      </c>
      <c r="K1832">
        <v>1905</v>
      </c>
      <c r="L1832">
        <v>1906</v>
      </c>
      <c r="M1832" t="s">
        <v>228</v>
      </c>
      <c r="N1832" t="s">
        <v>228</v>
      </c>
      <c r="O1832" t="s">
        <v>5847</v>
      </c>
      <c r="P1832" t="s">
        <v>6040</v>
      </c>
      <c r="Q1832" t="str">
        <f>IF($C1832="","",IFERROR(VLOOKUP($C1832,sources!$A$2:$N$200,2,FALSE()),"?"))</f>
        <v>Map</v>
      </c>
      <c r="S1832" t="str">
        <f>IF($C1832="","",IFERROR(VLOOKUP($C1832,sources!$A$2:$N$200,9,FALSE()),"?"))</f>
        <v>US official</v>
      </c>
    </row>
    <row r="1833" spans="1:19" x14ac:dyDescent="0.2">
      <c r="A1833" t="s">
        <v>6041</v>
      </c>
      <c r="B1833" t="s">
        <v>951</v>
      </c>
      <c r="C1833" t="s">
        <v>1354</v>
      </c>
      <c r="D1833" t="s">
        <v>1666</v>
      </c>
      <c r="E1833" t="s">
        <v>953</v>
      </c>
      <c r="F1833" t="s">
        <v>1612</v>
      </c>
      <c r="I1833" t="s">
        <v>1077</v>
      </c>
      <c r="K1833">
        <v>1905</v>
      </c>
      <c r="L1833">
        <v>1906</v>
      </c>
      <c r="M1833" t="s">
        <v>228</v>
      </c>
      <c r="N1833" t="s">
        <v>222</v>
      </c>
      <c r="O1833" t="s">
        <v>5847</v>
      </c>
      <c r="P1833" t="s">
        <v>6042</v>
      </c>
      <c r="Q1833" t="str">
        <f>IF($C1833="","",IFERROR(VLOOKUP($C1833,sources!$A$2:$N$200,2,FALSE()),"?"))</f>
        <v>Map</v>
      </c>
      <c r="S1833" t="str">
        <f>IF($C1833="","",IFERROR(VLOOKUP($C1833,sources!$A$2:$N$200,9,FALSE()),"?"))</f>
        <v>US official</v>
      </c>
    </row>
    <row r="1834" spans="1:19" x14ac:dyDescent="0.2">
      <c r="A1834" t="s">
        <v>6043</v>
      </c>
      <c r="B1834" t="s">
        <v>957</v>
      </c>
      <c r="C1834" t="s">
        <v>1354</v>
      </c>
      <c r="D1834" t="s">
        <v>1666</v>
      </c>
      <c r="E1834" t="s">
        <v>958</v>
      </c>
      <c r="F1834" t="s">
        <v>1612</v>
      </c>
      <c r="I1834" t="s">
        <v>1077</v>
      </c>
      <c r="K1834">
        <v>1905</v>
      </c>
      <c r="L1834">
        <v>1906</v>
      </c>
      <c r="M1834" t="s">
        <v>228</v>
      </c>
      <c r="N1834" t="s">
        <v>228</v>
      </c>
      <c r="O1834" t="s">
        <v>5847</v>
      </c>
      <c r="P1834" t="s">
        <v>6044</v>
      </c>
      <c r="Q1834" t="str">
        <f>IF($C1834="","",IFERROR(VLOOKUP($C1834,sources!$A$2:$N$200,2,FALSE()),"?"))</f>
        <v>Map</v>
      </c>
      <c r="S1834" t="str">
        <f>IF($C1834="","",IFERROR(VLOOKUP($C1834,sources!$A$2:$N$200,9,FALSE()),"?"))</f>
        <v>US official</v>
      </c>
    </row>
    <row r="1835" spans="1:19" x14ac:dyDescent="0.2">
      <c r="A1835" t="s">
        <v>6045</v>
      </c>
      <c r="B1835" t="s">
        <v>974</v>
      </c>
      <c r="C1835" t="s">
        <v>1354</v>
      </c>
      <c r="D1835" t="s">
        <v>1666</v>
      </c>
      <c r="E1835" t="s">
        <v>5928</v>
      </c>
      <c r="F1835" t="s">
        <v>1612</v>
      </c>
      <c r="I1835" t="s">
        <v>1077</v>
      </c>
      <c r="K1835">
        <v>1905</v>
      </c>
      <c r="L1835">
        <v>1906</v>
      </c>
      <c r="M1835" t="s">
        <v>228</v>
      </c>
      <c r="N1835" t="s">
        <v>228</v>
      </c>
      <c r="O1835" t="s">
        <v>5847</v>
      </c>
      <c r="P1835" t="s">
        <v>6046</v>
      </c>
      <c r="Q1835" t="str">
        <f>IF($C1835="","",IFERROR(VLOOKUP($C1835,sources!$A$2:$N$200,2,FALSE()),"?"))</f>
        <v>Map</v>
      </c>
      <c r="S1835" t="str">
        <f>IF($C1835="","",IFERROR(VLOOKUP($C1835,sources!$A$2:$N$200,9,FALSE()),"?"))</f>
        <v>US official</v>
      </c>
    </row>
    <row r="1836" spans="1:19" x14ac:dyDescent="0.2">
      <c r="A1836" t="s">
        <v>6047</v>
      </c>
      <c r="B1836" t="s">
        <v>981</v>
      </c>
      <c r="C1836" t="s">
        <v>1354</v>
      </c>
      <c r="D1836" t="s">
        <v>1666</v>
      </c>
      <c r="E1836" t="s">
        <v>982</v>
      </c>
      <c r="F1836" t="s">
        <v>1612</v>
      </c>
      <c r="I1836" t="s">
        <v>1077</v>
      </c>
      <c r="K1836">
        <v>1905</v>
      </c>
      <c r="L1836">
        <v>1906</v>
      </c>
      <c r="M1836" t="s">
        <v>228</v>
      </c>
      <c r="N1836" t="s">
        <v>228</v>
      </c>
      <c r="O1836" t="s">
        <v>5847</v>
      </c>
      <c r="P1836" t="s">
        <v>6048</v>
      </c>
      <c r="Q1836" t="str">
        <f>IF($C1836="","",IFERROR(VLOOKUP($C1836,sources!$A$2:$N$200,2,FALSE()),"?"))</f>
        <v>Map</v>
      </c>
      <c r="S1836" t="str">
        <f>IF($C1836="","",IFERROR(VLOOKUP($C1836,sources!$A$2:$N$200,9,FALSE()),"?"))</f>
        <v>US official</v>
      </c>
    </row>
    <row r="1837" spans="1:19" x14ac:dyDescent="0.2">
      <c r="A1837" t="s">
        <v>6049</v>
      </c>
      <c r="B1837" t="s">
        <v>966</v>
      </c>
      <c r="C1837" t="s">
        <v>1354</v>
      </c>
      <c r="D1837" t="s">
        <v>1599</v>
      </c>
      <c r="E1837" t="s">
        <v>6050</v>
      </c>
      <c r="F1837" t="s">
        <v>1612</v>
      </c>
      <c r="I1837" t="s">
        <v>1077</v>
      </c>
      <c r="K1837">
        <v>1905</v>
      </c>
      <c r="L1837">
        <v>1906</v>
      </c>
      <c r="M1837" t="s">
        <v>228</v>
      </c>
      <c r="N1837" t="s">
        <v>222</v>
      </c>
      <c r="O1837" t="s">
        <v>5847</v>
      </c>
      <c r="P1837" t="s">
        <v>6051</v>
      </c>
      <c r="Q1837" t="str">
        <f>IF($C1837="","",IFERROR(VLOOKUP($C1837,sources!$A$2:$N$200,2,FALSE()),"?"))</f>
        <v>Map</v>
      </c>
      <c r="S1837" t="str">
        <f>IF($C1837="","",IFERROR(VLOOKUP($C1837,sources!$A$2:$N$200,9,FALSE()),"?"))</f>
        <v>US official</v>
      </c>
    </row>
    <row r="1838" spans="1:19" x14ac:dyDescent="0.2">
      <c r="A1838" t="s">
        <v>6052</v>
      </c>
      <c r="B1838" t="s">
        <v>962</v>
      </c>
      <c r="C1838" t="s">
        <v>1354</v>
      </c>
      <c r="D1838" t="s">
        <v>1666</v>
      </c>
      <c r="E1838" t="s">
        <v>963</v>
      </c>
      <c r="F1838" t="s">
        <v>1612</v>
      </c>
      <c r="I1838" t="s">
        <v>1077</v>
      </c>
      <c r="K1838">
        <v>1905</v>
      </c>
      <c r="L1838">
        <v>1906</v>
      </c>
      <c r="M1838" t="s">
        <v>228</v>
      </c>
      <c r="N1838" t="s">
        <v>228</v>
      </c>
      <c r="O1838" t="s">
        <v>5847</v>
      </c>
      <c r="P1838" t="s">
        <v>6053</v>
      </c>
      <c r="Q1838" t="str">
        <f>IF($C1838="","",IFERROR(VLOOKUP($C1838,sources!$A$2:$N$200,2,FALSE()),"?"))</f>
        <v>Map</v>
      </c>
      <c r="S1838" t="str">
        <f>IF($C1838="","",IFERROR(VLOOKUP($C1838,sources!$A$2:$N$200,9,FALSE()),"?"))</f>
        <v>US official</v>
      </c>
    </row>
    <row r="1839" spans="1:19" x14ac:dyDescent="0.2">
      <c r="A1839" t="s">
        <v>6054</v>
      </c>
      <c r="B1839" t="s">
        <v>955</v>
      </c>
      <c r="C1839" t="s">
        <v>1354</v>
      </c>
      <c r="D1839" t="s">
        <v>1666</v>
      </c>
      <c r="E1839" t="s">
        <v>6055</v>
      </c>
      <c r="F1839" t="s">
        <v>1612</v>
      </c>
      <c r="I1839" t="s">
        <v>1077</v>
      </c>
      <c r="K1839">
        <v>1905</v>
      </c>
      <c r="L1839">
        <v>1906</v>
      </c>
      <c r="M1839" t="s">
        <v>228</v>
      </c>
      <c r="N1839" t="s">
        <v>228</v>
      </c>
      <c r="O1839" t="s">
        <v>5847</v>
      </c>
      <c r="P1839" t="s">
        <v>6056</v>
      </c>
      <c r="Q1839" t="str">
        <f>IF($C1839="","",IFERROR(VLOOKUP($C1839,sources!$A$2:$N$200,2,FALSE()),"?"))</f>
        <v>Map</v>
      </c>
      <c r="S1839" t="str">
        <f>IF($C1839="","",IFERROR(VLOOKUP($C1839,sources!$A$2:$N$200,9,FALSE()),"?"))</f>
        <v>US official</v>
      </c>
    </row>
    <row r="1840" spans="1:19" x14ac:dyDescent="0.2">
      <c r="A1840" t="s">
        <v>6057</v>
      </c>
      <c r="B1840" t="s">
        <v>978</v>
      </c>
      <c r="C1840" t="s">
        <v>1354</v>
      </c>
      <c r="D1840" t="s">
        <v>1666</v>
      </c>
      <c r="E1840" t="s">
        <v>979</v>
      </c>
      <c r="F1840" t="s">
        <v>1612</v>
      </c>
      <c r="I1840" t="s">
        <v>1077</v>
      </c>
      <c r="K1840">
        <v>1905</v>
      </c>
      <c r="L1840">
        <v>1906</v>
      </c>
      <c r="M1840" t="s">
        <v>228</v>
      </c>
      <c r="N1840" t="s">
        <v>228</v>
      </c>
      <c r="O1840" t="s">
        <v>5847</v>
      </c>
      <c r="P1840" t="s">
        <v>6058</v>
      </c>
      <c r="Q1840" t="str">
        <f>IF($C1840="","",IFERROR(VLOOKUP($C1840,sources!$A$2:$N$200,2,FALSE()),"?"))</f>
        <v>Map</v>
      </c>
      <c r="S1840" t="str">
        <f>IF($C1840="","",IFERROR(VLOOKUP($C1840,sources!$A$2:$N$200,9,FALSE()),"?"))</f>
        <v>US official</v>
      </c>
    </row>
    <row r="1841" spans="1:19" x14ac:dyDescent="0.2">
      <c r="A1841" t="s">
        <v>6059</v>
      </c>
      <c r="B1841" t="s">
        <v>985</v>
      </c>
      <c r="C1841" t="s">
        <v>1354</v>
      </c>
      <c r="D1841" t="s">
        <v>1666</v>
      </c>
      <c r="E1841" t="s">
        <v>986</v>
      </c>
      <c r="F1841" t="s">
        <v>1612</v>
      </c>
      <c r="I1841" t="s">
        <v>1077</v>
      </c>
      <c r="K1841">
        <v>1905</v>
      </c>
      <c r="L1841">
        <v>1906</v>
      </c>
      <c r="M1841" t="s">
        <v>228</v>
      </c>
      <c r="N1841" t="s">
        <v>209</v>
      </c>
      <c r="O1841" t="s">
        <v>5847</v>
      </c>
      <c r="P1841" t="s">
        <v>6060</v>
      </c>
      <c r="Q1841" t="str">
        <f>IF($C1841="","",IFERROR(VLOOKUP($C1841,sources!$A$2:$N$200,2,FALSE()),"?"))</f>
        <v>Map</v>
      </c>
      <c r="S1841" t="str">
        <f>IF($C1841="","",IFERROR(VLOOKUP($C1841,sources!$A$2:$N$200,9,FALSE()),"?"))</f>
        <v>US official</v>
      </c>
    </row>
    <row r="1842" spans="1:19" x14ac:dyDescent="0.2">
      <c r="A1842" t="s">
        <v>6061</v>
      </c>
      <c r="B1842" t="s">
        <v>854</v>
      </c>
      <c r="C1842" t="s">
        <v>1354</v>
      </c>
      <c r="D1842" t="s">
        <v>1666</v>
      </c>
      <c r="E1842" t="s">
        <v>855</v>
      </c>
      <c r="F1842" t="s">
        <v>1612</v>
      </c>
      <c r="I1842" t="s">
        <v>1077</v>
      </c>
      <c r="K1842">
        <v>1905</v>
      </c>
      <c r="L1842">
        <v>1906</v>
      </c>
      <c r="M1842" t="s">
        <v>228</v>
      </c>
      <c r="N1842" t="s">
        <v>222</v>
      </c>
      <c r="O1842" t="s">
        <v>5847</v>
      </c>
      <c r="P1842" t="s">
        <v>6062</v>
      </c>
      <c r="Q1842" t="str">
        <f>IF($C1842="","",IFERROR(VLOOKUP($C1842,sources!$A$2:$N$200,2,FALSE()),"?"))</f>
        <v>Map</v>
      </c>
      <c r="S1842" t="str">
        <f>IF($C1842="","",IFERROR(VLOOKUP($C1842,sources!$A$2:$N$200,9,FALSE()),"?"))</f>
        <v>US official</v>
      </c>
    </row>
    <row r="1843" spans="1:19" x14ac:dyDescent="0.2">
      <c r="A1843" t="s">
        <v>6063</v>
      </c>
      <c r="B1843" t="s">
        <v>730</v>
      </c>
      <c r="C1843" t="s">
        <v>1354</v>
      </c>
      <c r="D1843" t="s">
        <v>1666</v>
      </c>
      <c r="F1843" t="s">
        <v>1612</v>
      </c>
      <c r="I1843" t="s">
        <v>1077</v>
      </c>
      <c r="K1843">
        <v>1905</v>
      </c>
      <c r="L1843">
        <v>1906</v>
      </c>
      <c r="M1843" t="s">
        <v>228</v>
      </c>
      <c r="N1843" t="s">
        <v>228</v>
      </c>
      <c r="O1843" t="s">
        <v>5847</v>
      </c>
      <c r="P1843" t="s">
        <v>6064</v>
      </c>
      <c r="Q1843" t="str">
        <f>IF($C1843="","",IFERROR(VLOOKUP($C1843,sources!$A$2:$N$200,2,FALSE()),"?"))</f>
        <v>Map</v>
      </c>
      <c r="S1843" t="str">
        <f>IF($C1843="","",IFERROR(VLOOKUP($C1843,sources!$A$2:$N$200,9,FALSE()),"?"))</f>
        <v>US official</v>
      </c>
    </row>
    <row r="1844" spans="1:19" x14ac:dyDescent="0.2">
      <c r="A1844" t="s">
        <v>6065</v>
      </c>
      <c r="B1844" t="s">
        <v>733</v>
      </c>
      <c r="C1844" t="s">
        <v>1354</v>
      </c>
      <c r="D1844" t="s">
        <v>1666</v>
      </c>
      <c r="F1844" t="s">
        <v>1612</v>
      </c>
      <c r="I1844" t="s">
        <v>1077</v>
      </c>
      <c r="K1844">
        <v>1905</v>
      </c>
      <c r="L1844">
        <v>1906</v>
      </c>
      <c r="M1844" t="s">
        <v>228</v>
      </c>
      <c r="N1844" t="s">
        <v>228</v>
      </c>
      <c r="O1844" t="s">
        <v>5847</v>
      </c>
      <c r="P1844" t="s">
        <v>6064</v>
      </c>
      <c r="Q1844" t="str">
        <f>IF($C1844="","",IFERROR(VLOOKUP($C1844,sources!$A$2:$N$200,2,FALSE()),"?"))</f>
        <v>Map</v>
      </c>
      <c r="S1844" t="str">
        <f>IF($C1844="","",IFERROR(VLOOKUP($C1844,sources!$A$2:$N$200,9,FALSE()),"?"))</f>
        <v>US official</v>
      </c>
    </row>
    <row r="1845" spans="1:19" x14ac:dyDescent="0.2">
      <c r="A1845" t="s">
        <v>6066</v>
      </c>
      <c r="B1845" t="s">
        <v>736</v>
      </c>
      <c r="C1845" t="s">
        <v>1354</v>
      </c>
      <c r="D1845" t="s">
        <v>1666</v>
      </c>
      <c r="F1845" t="s">
        <v>1612</v>
      </c>
      <c r="I1845" t="s">
        <v>1077</v>
      </c>
      <c r="K1845">
        <v>1905</v>
      </c>
      <c r="L1845">
        <v>1906</v>
      </c>
      <c r="M1845" t="s">
        <v>228</v>
      </c>
      <c r="N1845" t="s">
        <v>228</v>
      </c>
      <c r="O1845" t="s">
        <v>5847</v>
      </c>
      <c r="P1845" t="s">
        <v>6064</v>
      </c>
      <c r="Q1845" t="str">
        <f>IF($C1845="","",IFERROR(VLOOKUP($C1845,sources!$A$2:$N$200,2,FALSE()),"?"))</f>
        <v>Map</v>
      </c>
      <c r="S1845" t="str">
        <f>IF($C1845="","",IFERROR(VLOOKUP($C1845,sources!$A$2:$N$200,9,FALSE()),"?"))</f>
        <v>US official</v>
      </c>
    </row>
    <row r="1846" spans="1:19" x14ac:dyDescent="0.2">
      <c r="A1846" t="s">
        <v>6067</v>
      </c>
      <c r="B1846" t="s">
        <v>739</v>
      </c>
      <c r="C1846" t="s">
        <v>1354</v>
      </c>
      <c r="D1846" t="s">
        <v>1666</v>
      </c>
      <c r="F1846" t="s">
        <v>1612</v>
      </c>
      <c r="I1846" t="s">
        <v>1077</v>
      </c>
      <c r="K1846">
        <v>1905</v>
      </c>
      <c r="L1846">
        <v>1906</v>
      </c>
      <c r="M1846" t="s">
        <v>228</v>
      </c>
      <c r="N1846" t="s">
        <v>228</v>
      </c>
      <c r="O1846" t="s">
        <v>5847</v>
      </c>
      <c r="P1846" t="s">
        <v>6064</v>
      </c>
      <c r="Q1846" t="str">
        <f>IF($C1846="","",IFERROR(VLOOKUP($C1846,sources!$A$2:$N$200,2,FALSE()),"?"))</f>
        <v>Map</v>
      </c>
      <c r="S1846" t="str">
        <f>IF($C1846="","",IFERROR(VLOOKUP($C1846,sources!$A$2:$N$200,9,FALSE()),"?"))</f>
        <v>US official</v>
      </c>
    </row>
    <row r="1847" spans="1:19" x14ac:dyDescent="0.2">
      <c r="A1847" t="s">
        <v>6068</v>
      </c>
      <c r="B1847" t="s">
        <v>742</v>
      </c>
      <c r="C1847" t="s">
        <v>1354</v>
      </c>
      <c r="D1847" t="s">
        <v>1666</v>
      </c>
      <c r="F1847" t="s">
        <v>1612</v>
      </c>
      <c r="I1847" t="s">
        <v>1077</v>
      </c>
      <c r="K1847">
        <v>1905</v>
      </c>
      <c r="L1847">
        <v>1906</v>
      </c>
      <c r="M1847" t="s">
        <v>228</v>
      </c>
      <c r="N1847" t="s">
        <v>228</v>
      </c>
      <c r="O1847" t="s">
        <v>5847</v>
      </c>
      <c r="P1847" t="s">
        <v>6064</v>
      </c>
      <c r="Q1847" t="str">
        <f>IF($C1847="","",IFERROR(VLOOKUP($C1847,sources!$A$2:$N$200,2,FALSE()),"?"))</f>
        <v>Map</v>
      </c>
      <c r="S1847" t="str">
        <f>IF($C1847="","",IFERROR(VLOOKUP($C1847,sources!$A$2:$N$200,9,FALSE()),"?"))</f>
        <v>US official</v>
      </c>
    </row>
    <row r="1848" spans="1:19" x14ac:dyDescent="0.2">
      <c r="A1848" t="s">
        <v>6069</v>
      </c>
      <c r="B1848" t="s">
        <v>746</v>
      </c>
      <c r="C1848" t="s">
        <v>1354</v>
      </c>
      <c r="D1848" t="s">
        <v>1666</v>
      </c>
      <c r="F1848" t="s">
        <v>1612</v>
      </c>
      <c r="I1848" t="s">
        <v>1077</v>
      </c>
      <c r="K1848">
        <v>1905</v>
      </c>
      <c r="L1848">
        <v>1906</v>
      </c>
      <c r="M1848" t="s">
        <v>228</v>
      </c>
      <c r="N1848" t="s">
        <v>228</v>
      </c>
      <c r="O1848" t="s">
        <v>5847</v>
      </c>
      <c r="P1848" t="s">
        <v>6064</v>
      </c>
      <c r="Q1848" t="str">
        <f>IF($C1848="","",IFERROR(VLOOKUP($C1848,sources!$A$2:$N$200,2,FALSE()),"?"))</f>
        <v>Map</v>
      </c>
      <c r="S1848" t="str">
        <f>IF($C1848="","",IFERROR(VLOOKUP($C1848,sources!$A$2:$N$200,9,FALSE()),"?"))</f>
        <v>US official</v>
      </c>
    </row>
    <row r="1849" spans="1:19" x14ac:dyDescent="0.2">
      <c r="A1849" t="s">
        <v>6070</v>
      </c>
      <c r="B1849" t="s">
        <v>749</v>
      </c>
      <c r="C1849" t="s">
        <v>1354</v>
      </c>
      <c r="D1849" t="s">
        <v>1666</v>
      </c>
      <c r="F1849" t="s">
        <v>1612</v>
      </c>
      <c r="I1849" t="s">
        <v>1077</v>
      </c>
      <c r="K1849">
        <v>1905</v>
      </c>
      <c r="L1849">
        <v>1906</v>
      </c>
      <c r="M1849" t="s">
        <v>228</v>
      </c>
      <c r="N1849" t="s">
        <v>228</v>
      </c>
      <c r="O1849" t="s">
        <v>5847</v>
      </c>
      <c r="P1849" t="s">
        <v>6064</v>
      </c>
      <c r="Q1849" t="str">
        <f>IF($C1849="","",IFERROR(VLOOKUP($C1849,sources!$A$2:$N$200,2,FALSE()),"?"))</f>
        <v>Map</v>
      </c>
      <c r="S1849" t="str">
        <f>IF($C1849="","",IFERROR(VLOOKUP($C1849,sources!$A$2:$N$200,9,FALSE()),"?"))</f>
        <v>US official</v>
      </c>
    </row>
    <row r="1850" spans="1:19" x14ac:dyDescent="0.2">
      <c r="A1850" t="s">
        <v>6071</v>
      </c>
      <c r="B1850" t="s">
        <v>752</v>
      </c>
      <c r="C1850" t="s">
        <v>1354</v>
      </c>
      <c r="D1850" t="s">
        <v>1666</v>
      </c>
      <c r="F1850" t="s">
        <v>1612</v>
      </c>
      <c r="I1850" t="s">
        <v>1077</v>
      </c>
      <c r="K1850">
        <v>1905</v>
      </c>
      <c r="L1850">
        <v>1906</v>
      </c>
      <c r="M1850" t="s">
        <v>228</v>
      </c>
      <c r="N1850" t="s">
        <v>228</v>
      </c>
      <c r="O1850" t="s">
        <v>5847</v>
      </c>
      <c r="P1850" t="s">
        <v>6064</v>
      </c>
      <c r="Q1850" t="str">
        <f>IF($C1850="","",IFERROR(VLOOKUP($C1850,sources!$A$2:$N$200,2,FALSE()),"?"))</f>
        <v>Map</v>
      </c>
      <c r="S1850" t="str">
        <f>IF($C1850="","",IFERROR(VLOOKUP($C1850,sources!$A$2:$N$200,9,FALSE()),"?"))</f>
        <v>US official</v>
      </c>
    </row>
    <row r="1851" spans="1:19" x14ac:dyDescent="0.2">
      <c r="A1851" t="s">
        <v>6072</v>
      </c>
      <c r="B1851" t="s">
        <v>765</v>
      </c>
      <c r="C1851" t="s">
        <v>1354</v>
      </c>
      <c r="D1851" t="s">
        <v>1666</v>
      </c>
      <c r="F1851" t="s">
        <v>1612</v>
      </c>
      <c r="I1851" t="s">
        <v>1077</v>
      </c>
      <c r="K1851">
        <v>1905</v>
      </c>
      <c r="L1851">
        <v>1906</v>
      </c>
      <c r="M1851" t="s">
        <v>228</v>
      </c>
      <c r="N1851" t="s">
        <v>228</v>
      </c>
      <c r="O1851" t="s">
        <v>5847</v>
      </c>
      <c r="P1851" t="s">
        <v>6064</v>
      </c>
      <c r="Q1851" t="str">
        <f>IF($C1851="","",IFERROR(VLOOKUP($C1851,sources!$A$2:$N$200,2,FALSE()),"?"))</f>
        <v>Map</v>
      </c>
      <c r="S1851" t="str">
        <f>IF($C1851="","",IFERROR(VLOOKUP($C1851,sources!$A$2:$N$200,9,FALSE()),"?"))</f>
        <v>US official</v>
      </c>
    </row>
    <row r="1852" spans="1:19" x14ac:dyDescent="0.2">
      <c r="A1852" t="s">
        <v>6073</v>
      </c>
      <c r="B1852" t="s">
        <v>768</v>
      </c>
      <c r="C1852" t="s">
        <v>1354</v>
      </c>
      <c r="D1852" t="s">
        <v>1666</v>
      </c>
      <c r="F1852" t="s">
        <v>1612</v>
      </c>
      <c r="I1852" t="s">
        <v>1077</v>
      </c>
      <c r="K1852">
        <v>1905</v>
      </c>
      <c r="L1852">
        <v>1906</v>
      </c>
      <c r="M1852" t="s">
        <v>228</v>
      </c>
      <c r="N1852" t="s">
        <v>228</v>
      </c>
      <c r="O1852" t="s">
        <v>5847</v>
      </c>
      <c r="P1852" t="s">
        <v>6064</v>
      </c>
      <c r="Q1852" t="str">
        <f>IF($C1852="","",IFERROR(VLOOKUP($C1852,sources!$A$2:$N$200,2,FALSE()),"?"))</f>
        <v>Map</v>
      </c>
      <c r="S1852" t="str">
        <f>IF($C1852="","",IFERROR(VLOOKUP($C1852,sources!$A$2:$N$200,9,FALSE()),"?"))</f>
        <v>US official</v>
      </c>
    </row>
    <row r="1853" spans="1:19" x14ac:dyDescent="0.2">
      <c r="A1853" t="s">
        <v>6074</v>
      </c>
      <c r="B1853" t="s">
        <v>810</v>
      </c>
      <c r="C1853" t="s">
        <v>1354</v>
      </c>
      <c r="D1853" t="s">
        <v>1666</v>
      </c>
      <c r="F1853" t="s">
        <v>1612</v>
      </c>
      <c r="I1853" t="s">
        <v>1077</v>
      </c>
      <c r="K1853">
        <v>1905</v>
      </c>
      <c r="L1853">
        <v>1906</v>
      </c>
      <c r="M1853" t="s">
        <v>228</v>
      </c>
      <c r="N1853" t="s">
        <v>228</v>
      </c>
      <c r="O1853" t="s">
        <v>5847</v>
      </c>
      <c r="P1853" t="s">
        <v>6064</v>
      </c>
      <c r="Q1853" t="str">
        <f>IF($C1853="","",IFERROR(VLOOKUP($C1853,sources!$A$2:$N$200,2,FALSE()),"?"))</f>
        <v>Map</v>
      </c>
      <c r="S1853" t="str">
        <f>IF($C1853="","",IFERROR(VLOOKUP($C1853,sources!$A$2:$N$200,9,FALSE()),"?"))</f>
        <v>US official</v>
      </c>
    </row>
    <row r="1854" spans="1:19" x14ac:dyDescent="0.2">
      <c r="A1854" t="s">
        <v>6075</v>
      </c>
      <c r="B1854" t="s">
        <v>892</v>
      </c>
      <c r="C1854" t="s">
        <v>1354</v>
      </c>
      <c r="D1854" t="s">
        <v>1666</v>
      </c>
      <c r="F1854" t="s">
        <v>1612</v>
      </c>
      <c r="I1854" t="s">
        <v>1077</v>
      </c>
      <c r="K1854">
        <v>1905</v>
      </c>
      <c r="L1854">
        <v>1906</v>
      </c>
      <c r="M1854" t="s">
        <v>228</v>
      </c>
      <c r="N1854" t="s">
        <v>228</v>
      </c>
      <c r="O1854" t="s">
        <v>5847</v>
      </c>
      <c r="P1854" t="s">
        <v>6064</v>
      </c>
      <c r="Q1854" t="str">
        <f>IF($C1854="","",IFERROR(VLOOKUP($C1854,sources!$A$2:$N$200,2,FALSE()),"?"))</f>
        <v>Map</v>
      </c>
      <c r="S1854" t="str">
        <f>IF($C1854="","",IFERROR(VLOOKUP($C1854,sources!$A$2:$N$200,9,FALSE()),"?"))</f>
        <v>US official</v>
      </c>
    </row>
    <row r="1855" spans="1:19" x14ac:dyDescent="0.2">
      <c r="A1855" t="s">
        <v>6076</v>
      </c>
      <c r="B1855" t="s">
        <v>895</v>
      </c>
      <c r="C1855" t="s">
        <v>1354</v>
      </c>
      <c r="D1855" t="s">
        <v>1666</v>
      </c>
      <c r="F1855" t="s">
        <v>1612</v>
      </c>
      <c r="I1855" t="s">
        <v>1077</v>
      </c>
      <c r="K1855">
        <v>1905</v>
      </c>
      <c r="L1855">
        <v>1906</v>
      </c>
      <c r="M1855" t="s">
        <v>228</v>
      </c>
      <c r="N1855" t="s">
        <v>228</v>
      </c>
      <c r="O1855" t="s">
        <v>5847</v>
      </c>
      <c r="P1855" t="s">
        <v>6064</v>
      </c>
      <c r="Q1855" t="str">
        <f>IF($C1855="","",IFERROR(VLOOKUP($C1855,sources!$A$2:$N$200,2,FALSE()),"?"))</f>
        <v>Map</v>
      </c>
      <c r="S1855" t="str">
        <f>IF($C1855="","",IFERROR(VLOOKUP($C1855,sources!$A$2:$N$200,9,FALSE()),"?"))</f>
        <v>US official</v>
      </c>
    </row>
    <row r="1856" spans="1:19" x14ac:dyDescent="0.2">
      <c r="A1856" t="s">
        <v>6077</v>
      </c>
      <c r="B1856" t="s">
        <v>898</v>
      </c>
      <c r="C1856" t="s">
        <v>1354</v>
      </c>
      <c r="D1856" t="s">
        <v>1666</v>
      </c>
      <c r="F1856" t="s">
        <v>1612</v>
      </c>
      <c r="I1856" t="s">
        <v>1077</v>
      </c>
      <c r="K1856">
        <v>1905</v>
      </c>
      <c r="L1856">
        <v>1906</v>
      </c>
      <c r="M1856" t="s">
        <v>228</v>
      </c>
      <c r="N1856" t="s">
        <v>228</v>
      </c>
      <c r="O1856" t="s">
        <v>5847</v>
      </c>
      <c r="P1856" t="s">
        <v>6064</v>
      </c>
      <c r="Q1856" t="str">
        <f>IF($C1856="","",IFERROR(VLOOKUP($C1856,sources!$A$2:$N$200,2,FALSE()),"?"))</f>
        <v>Map</v>
      </c>
      <c r="S1856" t="str">
        <f>IF($C1856="","",IFERROR(VLOOKUP($C1856,sources!$A$2:$N$200,9,FALSE()),"?"))</f>
        <v>US official</v>
      </c>
    </row>
    <row r="1857" spans="1:19" x14ac:dyDescent="0.2">
      <c r="A1857" t="s">
        <v>6078</v>
      </c>
      <c r="B1857" t="s">
        <v>759</v>
      </c>
      <c r="C1857" t="s">
        <v>1354</v>
      </c>
      <c r="D1857" t="s">
        <v>1666</v>
      </c>
      <c r="E1857" t="s">
        <v>760</v>
      </c>
      <c r="F1857" t="s">
        <v>1612</v>
      </c>
      <c r="I1857" t="s">
        <v>1077</v>
      </c>
      <c r="K1857">
        <v>1905</v>
      </c>
      <c r="L1857">
        <v>1906</v>
      </c>
      <c r="M1857" t="s">
        <v>228</v>
      </c>
      <c r="N1857" t="s">
        <v>228</v>
      </c>
      <c r="O1857" t="s">
        <v>5847</v>
      </c>
      <c r="P1857" t="s">
        <v>6079</v>
      </c>
      <c r="Q1857" t="str">
        <f>IF($C1857="","",IFERROR(VLOOKUP($C1857,sources!$A$2:$N$200,2,FALSE()),"?"))</f>
        <v>Map</v>
      </c>
      <c r="S1857" t="str">
        <f>IF($C1857="","",IFERROR(VLOOKUP($C1857,sources!$A$2:$N$200,9,FALSE()),"?"))</f>
        <v>US official</v>
      </c>
    </row>
    <row r="1858" spans="1:19" x14ac:dyDescent="0.2">
      <c r="A1858" t="s">
        <v>6080</v>
      </c>
      <c r="B1858" t="s">
        <v>762</v>
      </c>
      <c r="C1858" t="s">
        <v>1354</v>
      </c>
      <c r="D1858" t="s">
        <v>1666</v>
      </c>
      <c r="E1858" t="s">
        <v>763</v>
      </c>
      <c r="F1858" t="s">
        <v>1612</v>
      </c>
      <c r="I1858" t="s">
        <v>1077</v>
      </c>
      <c r="K1858">
        <v>1905</v>
      </c>
      <c r="L1858">
        <v>1906</v>
      </c>
      <c r="M1858" t="s">
        <v>228</v>
      </c>
      <c r="N1858" t="s">
        <v>228</v>
      </c>
      <c r="O1858" t="s">
        <v>5847</v>
      </c>
      <c r="P1858" t="s">
        <v>6081</v>
      </c>
      <c r="Q1858" t="str">
        <f>IF($C1858="","",IFERROR(VLOOKUP($C1858,sources!$A$2:$N$200,2,FALSE()),"?"))</f>
        <v>Map</v>
      </c>
      <c r="S1858" t="str">
        <f>IF($C1858="","",IFERROR(VLOOKUP($C1858,sources!$A$2:$N$200,9,FALSE()),"?"))</f>
        <v>US official</v>
      </c>
    </row>
    <row r="1859" spans="1:19" x14ac:dyDescent="0.2">
      <c r="A1859" t="s">
        <v>6082</v>
      </c>
      <c r="B1859" t="s">
        <v>475</v>
      </c>
      <c r="C1859" t="s">
        <v>1354</v>
      </c>
      <c r="D1859" t="s">
        <v>1666</v>
      </c>
      <c r="E1859" t="s">
        <v>476</v>
      </c>
      <c r="F1859" t="s">
        <v>1612</v>
      </c>
      <c r="I1859" t="s">
        <v>1077</v>
      </c>
      <c r="K1859">
        <v>1905</v>
      </c>
      <c r="L1859">
        <v>1906</v>
      </c>
      <c r="M1859" t="s">
        <v>228</v>
      </c>
      <c r="N1859" t="s">
        <v>222</v>
      </c>
      <c r="O1859" t="s">
        <v>5847</v>
      </c>
      <c r="P1859" t="s">
        <v>6083</v>
      </c>
      <c r="Q1859" t="str">
        <f>IF($C1859="","",IFERROR(VLOOKUP($C1859,sources!$A$2:$N$200,2,FALSE()),"?"))</f>
        <v>Map</v>
      </c>
      <c r="S1859" t="str">
        <f>IF($C1859="","",IFERROR(VLOOKUP($C1859,sources!$A$2:$N$200,9,FALSE()),"?"))</f>
        <v>US official</v>
      </c>
    </row>
    <row r="1860" spans="1:19" x14ac:dyDescent="0.2">
      <c r="A1860" t="s">
        <v>6084</v>
      </c>
      <c r="B1860" t="s">
        <v>484</v>
      </c>
      <c r="C1860" t="s">
        <v>1354</v>
      </c>
      <c r="D1860" t="s">
        <v>1666</v>
      </c>
      <c r="E1860" t="s">
        <v>485</v>
      </c>
      <c r="F1860" t="s">
        <v>1612</v>
      </c>
      <c r="I1860" t="s">
        <v>1077</v>
      </c>
      <c r="K1860">
        <v>1905</v>
      </c>
      <c r="L1860">
        <v>1906</v>
      </c>
      <c r="M1860" t="s">
        <v>228</v>
      </c>
      <c r="N1860" t="s">
        <v>228</v>
      </c>
      <c r="O1860" t="s">
        <v>5847</v>
      </c>
      <c r="P1860" t="s">
        <v>6085</v>
      </c>
      <c r="Q1860" t="str">
        <f>IF($C1860="","",IFERROR(VLOOKUP($C1860,sources!$A$2:$N$200,2,FALSE()),"?"))</f>
        <v>Map</v>
      </c>
      <c r="S1860" t="str">
        <f>IF($C1860="","",IFERROR(VLOOKUP($C1860,sources!$A$2:$N$200,9,FALSE()),"?"))</f>
        <v>US official</v>
      </c>
    </row>
    <row r="1861" spans="1:19" x14ac:dyDescent="0.2">
      <c r="A1861" t="s">
        <v>6086</v>
      </c>
      <c r="B1861" t="s">
        <v>644</v>
      </c>
      <c r="C1861" t="s">
        <v>1354</v>
      </c>
      <c r="D1861" t="s">
        <v>1666</v>
      </c>
      <c r="E1861" t="s">
        <v>645</v>
      </c>
      <c r="F1861" t="s">
        <v>1612</v>
      </c>
      <c r="I1861" t="s">
        <v>1077</v>
      </c>
      <c r="K1861">
        <v>1905</v>
      </c>
      <c r="L1861">
        <v>1906</v>
      </c>
      <c r="M1861" t="s">
        <v>228</v>
      </c>
      <c r="N1861" t="s">
        <v>228</v>
      </c>
      <c r="O1861" t="s">
        <v>5847</v>
      </c>
      <c r="P1861" t="s">
        <v>6087</v>
      </c>
      <c r="Q1861" t="str">
        <f>IF($C1861="","",IFERROR(VLOOKUP($C1861,sources!$A$2:$N$200,2,FALSE()),"?"))</f>
        <v>Map</v>
      </c>
      <c r="S1861" t="str">
        <f>IF($C1861="","",IFERROR(VLOOKUP($C1861,sources!$A$2:$N$200,9,FALSE()),"?"))</f>
        <v>US official</v>
      </c>
    </row>
    <row r="1862" spans="1:19" x14ac:dyDescent="0.2">
      <c r="A1862" t="s">
        <v>6088</v>
      </c>
      <c r="B1862" t="s">
        <v>835</v>
      </c>
      <c r="C1862" t="s">
        <v>1354</v>
      </c>
      <c r="D1862" t="s">
        <v>1666</v>
      </c>
      <c r="E1862" t="s">
        <v>836</v>
      </c>
      <c r="F1862" t="s">
        <v>1612</v>
      </c>
      <c r="I1862" t="s">
        <v>1077</v>
      </c>
      <c r="K1862">
        <v>1905</v>
      </c>
      <c r="L1862">
        <v>1906</v>
      </c>
      <c r="M1862" t="s">
        <v>228</v>
      </c>
      <c r="N1862" t="s">
        <v>209</v>
      </c>
      <c r="O1862" t="s">
        <v>5847</v>
      </c>
      <c r="P1862" t="s">
        <v>6089</v>
      </c>
      <c r="Q1862" t="str">
        <f>IF($C1862="","",IFERROR(VLOOKUP($C1862,sources!$A$2:$N$200,2,FALSE()),"?"))</f>
        <v>Map</v>
      </c>
      <c r="S1862" t="str">
        <f>IF($C1862="","",IFERROR(VLOOKUP($C1862,sources!$A$2:$N$200,9,FALSE()),"?"))</f>
        <v>US official</v>
      </c>
    </row>
    <row r="1863" spans="1:19" x14ac:dyDescent="0.2">
      <c r="A1863" t="s">
        <v>6090</v>
      </c>
      <c r="B1863" t="s">
        <v>955</v>
      </c>
      <c r="C1863" t="s">
        <v>1453</v>
      </c>
      <c r="D1863" t="s">
        <v>1599</v>
      </c>
      <c r="E1863" t="s">
        <v>6091</v>
      </c>
      <c r="F1863" t="s">
        <v>1612</v>
      </c>
      <c r="I1863" t="s">
        <v>1077</v>
      </c>
      <c r="K1863">
        <v>1857</v>
      </c>
      <c r="L1863">
        <v>1857</v>
      </c>
      <c r="M1863" t="s">
        <v>228</v>
      </c>
      <c r="N1863" t="s">
        <v>228</v>
      </c>
      <c r="O1863" t="s">
        <v>5847</v>
      </c>
      <c r="P1863" t="s">
        <v>6092</v>
      </c>
      <c r="Q1863" t="str">
        <f>IF($C1863="","",IFERROR(VLOOKUP($C1863,sources!$A$2:$N$200,2,FALSE()),"?"))</f>
        <v>Map</v>
      </c>
      <c r="S1863" t="str">
        <f>IF($C1863="","",IFERROR(VLOOKUP($C1863,sources!$A$2:$N$200,9,FALSE()),"?"))</f>
        <v>US corporate (PRR)</v>
      </c>
    </row>
    <row r="1864" spans="1:19" x14ac:dyDescent="0.2">
      <c r="A1864" t="s">
        <v>6093</v>
      </c>
      <c r="B1864" t="s">
        <v>974</v>
      </c>
      <c r="C1864" t="s">
        <v>1453</v>
      </c>
      <c r="D1864" t="s">
        <v>1666</v>
      </c>
      <c r="E1864" t="s">
        <v>5928</v>
      </c>
      <c r="F1864" t="s">
        <v>1612</v>
      </c>
      <c r="I1864" t="s">
        <v>1077</v>
      </c>
      <c r="K1864">
        <v>1857</v>
      </c>
      <c r="L1864">
        <v>1857</v>
      </c>
      <c r="M1864" t="s">
        <v>228</v>
      </c>
      <c r="N1864" t="s">
        <v>228</v>
      </c>
      <c r="O1864" t="s">
        <v>5847</v>
      </c>
      <c r="P1864" t="s">
        <v>6094</v>
      </c>
      <c r="Q1864" t="str">
        <f>IF($C1864="","",IFERROR(VLOOKUP($C1864,sources!$A$2:$N$200,2,FALSE()),"?"))</f>
        <v>Map</v>
      </c>
      <c r="S1864" t="str">
        <f>IF($C1864="","",IFERROR(VLOOKUP($C1864,sources!$A$2:$N$200,9,FALSE()),"?"))</f>
        <v>US corporate (PRR)</v>
      </c>
    </row>
    <row r="1865" spans="1:19" x14ac:dyDescent="0.2">
      <c r="A1865" t="s">
        <v>6095</v>
      </c>
      <c r="B1865" t="s">
        <v>978</v>
      </c>
      <c r="C1865" t="s">
        <v>1453</v>
      </c>
      <c r="D1865" t="s">
        <v>1666</v>
      </c>
      <c r="E1865" t="s">
        <v>979</v>
      </c>
      <c r="F1865" t="s">
        <v>1612</v>
      </c>
      <c r="I1865" t="s">
        <v>1077</v>
      </c>
      <c r="K1865">
        <v>1857</v>
      </c>
      <c r="L1865">
        <v>1857</v>
      </c>
      <c r="M1865" t="s">
        <v>228</v>
      </c>
      <c r="N1865" t="s">
        <v>228</v>
      </c>
      <c r="O1865" t="s">
        <v>5847</v>
      </c>
      <c r="P1865" t="s">
        <v>6096</v>
      </c>
      <c r="Q1865" t="str">
        <f>IF($C1865="","",IFERROR(VLOOKUP($C1865,sources!$A$2:$N$200,2,FALSE()),"?"))</f>
        <v>Map</v>
      </c>
      <c r="S1865" t="str">
        <f>IF($C1865="","",IFERROR(VLOOKUP($C1865,sources!$A$2:$N$200,9,FALSE()),"?"))</f>
        <v>US corporate (PRR)</v>
      </c>
    </row>
    <row r="1866" spans="1:19" x14ac:dyDescent="0.2">
      <c r="A1866" t="s">
        <v>6097</v>
      </c>
      <c r="B1866" t="s">
        <v>981</v>
      </c>
      <c r="C1866" t="s">
        <v>1453</v>
      </c>
      <c r="D1866" t="s">
        <v>1666</v>
      </c>
      <c r="E1866" t="s">
        <v>982</v>
      </c>
      <c r="F1866" t="s">
        <v>1612</v>
      </c>
      <c r="I1866" t="s">
        <v>1077</v>
      </c>
      <c r="K1866">
        <v>1857</v>
      </c>
      <c r="L1866">
        <v>1857</v>
      </c>
      <c r="M1866" t="s">
        <v>228</v>
      </c>
      <c r="N1866" t="s">
        <v>228</v>
      </c>
      <c r="O1866" t="s">
        <v>5847</v>
      </c>
      <c r="P1866" t="s">
        <v>6096</v>
      </c>
      <c r="Q1866" t="str">
        <f>IF($C1866="","",IFERROR(VLOOKUP($C1866,sources!$A$2:$N$200,2,FALSE()),"?"))</f>
        <v>Map</v>
      </c>
      <c r="S1866" t="str">
        <f>IF($C1866="","",IFERROR(VLOOKUP($C1866,sources!$A$2:$N$200,9,FALSE()),"?"))</f>
        <v>US corporate (PRR)</v>
      </c>
    </row>
    <row r="1867" spans="1:19" x14ac:dyDescent="0.2">
      <c r="A1867" t="s">
        <v>6098</v>
      </c>
      <c r="B1867" t="s">
        <v>966</v>
      </c>
      <c r="C1867" t="s">
        <v>1453</v>
      </c>
      <c r="D1867" t="s">
        <v>1666</v>
      </c>
      <c r="E1867" t="s">
        <v>967</v>
      </c>
      <c r="F1867" t="s">
        <v>1612</v>
      </c>
      <c r="I1867" t="s">
        <v>1077</v>
      </c>
      <c r="K1867">
        <v>1857</v>
      </c>
      <c r="L1867">
        <v>1857</v>
      </c>
      <c r="M1867" t="s">
        <v>228</v>
      </c>
      <c r="N1867" t="s">
        <v>209</v>
      </c>
      <c r="O1867" t="s">
        <v>5847</v>
      </c>
      <c r="P1867" t="s">
        <v>6099</v>
      </c>
      <c r="Q1867" t="str">
        <f>IF($C1867="","",IFERROR(VLOOKUP($C1867,sources!$A$2:$N$200,2,FALSE()),"?"))</f>
        <v>Map</v>
      </c>
      <c r="S1867" t="str">
        <f>IF($C1867="","",IFERROR(VLOOKUP($C1867,sources!$A$2:$N$200,9,FALSE()),"?"))</f>
        <v>US corporate (PRR)</v>
      </c>
    </row>
    <row r="1868" spans="1:19" x14ac:dyDescent="0.2">
      <c r="A1868" t="s">
        <v>6100</v>
      </c>
      <c r="B1868" t="s">
        <v>943</v>
      </c>
      <c r="C1868" t="s">
        <v>1354</v>
      </c>
      <c r="D1868" t="s">
        <v>1666</v>
      </c>
      <c r="E1868" t="s">
        <v>944</v>
      </c>
      <c r="F1868" t="s">
        <v>1612</v>
      </c>
      <c r="I1868" t="s">
        <v>1077</v>
      </c>
      <c r="K1868">
        <v>1905</v>
      </c>
      <c r="L1868">
        <v>1906</v>
      </c>
      <c r="M1868" t="s">
        <v>228</v>
      </c>
      <c r="N1868" t="s">
        <v>222</v>
      </c>
      <c r="O1868" t="s">
        <v>5847</v>
      </c>
      <c r="P1868" t="s">
        <v>6101</v>
      </c>
      <c r="Q1868" t="str">
        <f>IF($C1868="","",IFERROR(VLOOKUP($C1868,sources!$A$2:$N$200,2,FALSE()),"?"))</f>
        <v>Map</v>
      </c>
      <c r="S1868" t="str">
        <f>IF($C1868="","",IFERROR(VLOOKUP($C1868,sources!$A$2:$N$200,9,FALSE()),"?"))</f>
        <v>US official</v>
      </c>
    </row>
    <row r="1869" spans="1:19" x14ac:dyDescent="0.2">
      <c r="A1869" t="s">
        <v>6102</v>
      </c>
      <c r="B1869" t="s">
        <v>936</v>
      </c>
      <c r="C1869" t="s">
        <v>1354</v>
      </c>
      <c r="D1869" t="s">
        <v>1666</v>
      </c>
      <c r="E1869" t="s">
        <v>937</v>
      </c>
      <c r="F1869" t="s">
        <v>1612</v>
      </c>
      <c r="I1869" t="s">
        <v>1077</v>
      </c>
      <c r="K1869">
        <v>1905</v>
      </c>
      <c r="L1869">
        <v>1906</v>
      </c>
      <c r="M1869" t="s">
        <v>228</v>
      </c>
      <c r="N1869" t="s">
        <v>209</v>
      </c>
      <c r="O1869" t="s">
        <v>5847</v>
      </c>
      <c r="P1869" t="s">
        <v>6103</v>
      </c>
      <c r="Q1869" t="str">
        <f>IF($C1869="","",IFERROR(VLOOKUP($C1869,sources!$A$2:$N$200,2,FALSE()),"?"))</f>
        <v>Map</v>
      </c>
      <c r="S1869" t="str">
        <f>IF($C1869="","",IFERROR(VLOOKUP($C1869,sources!$A$2:$N$200,9,FALSE()),"?"))</f>
        <v>US official</v>
      </c>
    </row>
    <row r="1870" spans="1:19" x14ac:dyDescent="0.2">
      <c r="A1870" t="s">
        <v>6104</v>
      </c>
      <c r="B1870" t="s">
        <v>939</v>
      </c>
      <c r="C1870" t="s">
        <v>1354</v>
      </c>
      <c r="D1870" t="s">
        <v>1666</v>
      </c>
      <c r="E1870" t="s">
        <v>940</v>
      </c>
      <c r="F1870" t="s">
        <v>1612</v>
      </c>
      <c r="I1870" t="s">
        <v>1077</v>
      </c>
      <c r="K1870">
        <v>1905</v>
      </c>
      <c r="L1870">
        <v>1906</v>
      </c>
      <c r="M1870" t="s">
        <v>228</v>
      </c>
      <c r="N1870" t="s">
        <v>222</v>
      </c>
      <c r="O1870" t="s">
        <v>5847</v>
      </c>
      <c r="P1870" t="s">
        <v>6105</v>
      </c>
      <c r="Q1870" t="str">
        <f>IF($C1870="","",IFERROR(VLOOKUP($C1870,sources!$A$2:$N$200,2,FALSE()),"?"))</f>
        <v>Map</v>
      </c>
      <c r="S1870" t="str">
        <f>IF($C1870="","",IFERROR(VLOOKUP($C1870,sources!$A$2:$N$200,9,FALSE()),"?"))</f>
        <v>US official</v>
      </c>
    </row>
    <row r="1871" spans="1:19" x14ac:dyDescent="0.2">
      <c r="A1871" t="s">
        <v>6106</v>
      </c>
      <c r="B1871" t="s">
        <v>925</v>
      </c>
      <c r="C1871" t="s">
        <v>1354</v>
      </c>
      <c r="D1871" t="s">
        <v>1666</v>
      </c>
      <c r="E1871" t="s">
        <v>926</v>
      </c>
      <c r="F1871" t="s">
        <v>1612</v>
      </c>
      <c r="I1871" t="s">
        <v>1077</v>
      </c>
      <c r="K1871">
        <v>1905</v>
      </c>
      <c r="L1871">
        <v>1906</v>
      </c>
      <c r="M1871" t="s">
        <v>228</v>
      </c>
      <c r="N1871" t="s">
        <v>222</v>
      </c>
      <c r="O1871" t="s">
        <v>5847</v>
      </c>
      <c r="P1871" t="s">
        <v>6107</v>
      </c>
      <c r="Q1871" t="str">
        <f>IF($C1871="","",IFERROR(VLOOKUP($C1871,sources!$A$2:$N$200,2,FALSE()),"?"))</f>
        <v>Map</v>
      </c>
      <c r="S1871" t="str">
        <f>IF($C1871="","",IFERROR(VLOOKUP($C1871,sources!$A$2:$N$200,9,FALSE()),"?"))</f>
        <v>US official</v>
      </c>
    </row>
    <row r="1872" spans="1:19" x14ac:dyDescent="0.2">
      <c r="A1872" t="s">
        <v>6108</v>
      </c>
      <c r="B1872" t="s">
        <v>929</v>
      </c>
      <c r="C1872" t="s">
        <v>1354</v>
      </c>
      <c r="D1872" t="s">
        <v>1585</v>
      </c>
      <c r="E1872" t="s">
        <v>6109</v>
      </c>
      <c r="F1872" t="s">
        <v>1612</v>
      </c>
      <c r="I1872" t="s">
        <v>1077</v>
      </c>
      <c r="K1872">
        <v>1905</v>
      </c>
      <c r="L1872">
        <v>1906</v>
      </c>
      <c r="M1872" t="s">
        <v>228</v>
      </c>
      <c r="N1872" t="s">
        <v>228</v>
      </c>
      <c r="O1872" t="s">
        <v>5847</v>
      </c>
      <c r="P1872" t="s">
        <v>6110</v>
      </c>
      <c r="Q1872" t="str">
        <f>IF($C1872="","",IFERROR(VLOOKUP($C1872,sources!$A$2:$N$200,2,FALSE()),"?"))</f>
        <v>Map</v>
      </c>
      <c r="S1872" t="str">
        <f>IF($C1872="","",IFERROR(VLOOKUP($C1872,sources!$A$2:$N$200,9,FALSE()),"?"))</f>
        <v>US official</v>
      </c>
    </row>
    <row r="1873" spans="1:19" x14ac:dyDescent="0.2">
      <c r="A1873" t="s">
        <v>6111</v>
      </c>
      <c r="B1873" t="s">
        <v>933</v>
      </c>
      <c r="C1873" t="s">
        <v>1354</v>
      </c>
      <c r="D1873" t="s">
        <v>1666</v>
      </c>
      <c r="E1873" t="s">
        <v>934</v>
      </c>
      <c r="F1873" t="s">
        <v>1612</v>
      </c>
      <c r="I1873" t="s">
        <v>1077</v>
      </c>
      <c r="K1873">
        <v>1905</v>
      </c>
      <c r="L1873">
        <v>1906</v>
      </c>
      <c r="M1873" t="s">
        <v>228</v>
      </c>
      <c r="N1873" t="s">
        <v>209</v>
      </c>
      <c r="O1873" t="s">
        <v>5847</v>
      </c>
      <c r="P1873" t="s">
        <v>6112</v>
      </c>
      <c r="Q1873" t="str">
        <f>IF($C1873="","",IFERROR(VLOOKUP($C1873,sources!$A$2:$N$200,2,FALSE()),"?"))</f>
        <v>Map</v>
      </c>
      <c r="S1873" t="str">
        <f>IF($C1873="","",IFERROR(VLOOKUP($C1873,sources!$A$2:$N$200,9,FALSE()),"?"))</f>
        <v>US official</v>
      </c>
    </row>
    <row r="1874" spans="1:19" x14ac:dyDescent="0.2">
      <c r="A1874" t="s">
        <v>6113</v>
      </c>
      <c r="B1874" t="s">
        <v>618</v>
      </c>
      <c r="C1874" t="s">
        <v>1354</v>
      </c>
      <c r="D1874" t="s">
        <v>1666</v>
      </c>
      <c r="E1874" t="s">
        <v>619</v>
      </c>
      <c r="F1874" t="s">
        <v>1612</v>
      </c>
      <c r="I1874" t="s">
        <v>1077</v>
      </c>
      <c r="K1874">
        <v>1905</v>
      </c>
      <c r="L1874">
        <v>1906</v>
      </c>
      <c r="M1874" t="s">
        <v>228</v>
      </c>
      <c r="N1874" t="s">
        <v>228</v>
      </c>
      <c r="O1874" t="s">
        <v>5847</v>
      </c>
      <c r="P1874" t="s">
        <v>6114</v>
      </c>
      <c r="Q1874" t="str">
        <f>IF($C1874="","",IFERROR(VLOOKUP($C1874,sources!$A$2:$N$200,2,FALSE()),"?"))</f>
        <v>Map</v>
      </c>
      <c r="S1874" t="str">
        <f>IF($C1874="","",IFERROR(VLOOKUP($C1874,sources!$A$2:$N$200,9,FALSE()),"?"))</f>
        <v>US official</v>
      </c>
    </row>
    <row r="1875" spans="1:19" x14ac:dyDescent="0.2">
      <c r="A1875" t="s">
        <v>6115</v>
      </c>
      <c r="B1875" t="s">
        <v>649</v>
      </c>
      <c r="C1875" t="s">
        <v>1354</v>
      </c>
      <c r="D1875" t="s">
        <v>1585</v>
      </c>
      <c r="E1875" t="s">
        <v>6116</v>
      </c>
      <c r="F1875" t="s">
        <v>1612</v>
      </c>
      <c r="I1875" t="s">
        <v>1077</v>
      </c>
      <c r="K1875">
        <v>1905</v>
      </c>
      <c r="L1875">
        <v>1906</v>
      </c>
      <c r="M1875" t="s">
        <v>228</v>
      </c>
      <c r="N1875" t="s">
        <v>222</v>
      </c>
      <c r="O1875" t="s">
        <v>5847</v>
      </c>
      <c r="P1875" t="s">
        <v>6117</v>
      </c>
      <c r="Q1875" t="str">
        <f>IF($C1875="","",IFERROR(VLOOKUP($C1875,sources!$A$2:$N$200,2,FALSE()),"?"))</f>
        <v>Map</v>
      </c>
      <c r="S1875" t="str">
        <f>IF($C1875="","",IFERROR(VLOOKUP($C1875,sources!$A$2:$N$200,9,FALSE()),"?"))</f>
        <v>US official</v>
      </c>
    </row>
    <row r="1876" spans="1:19" x14ac:dyDescent="0.2">
      <c r="A1876" t="s">
        <v>6118</v>
      </c>
      <c r="B1876" t="s">
        <v>649</v>
      </c>
      <c r="C1876" t="s">
        <v>1354</v>
      </c>
      <c r="D1876" t="s">
        <v>1666</v>
      </c>
      <c r="E1876" t="s">
        <v>3934</v>
      </c>
      <c r="F1876" t="s">
        <v>1612</v>
      </c>
      <c r="I1876" t="s">
        <v>1077</v>
      </c>
      <c r="K1876">
        <v>1905</v>
      </c>
      <c r="L1876">
        <v>1906</v>
      </c>
      <c r="M1876" t="s">
        <v>228</v>
      </c>
      <c r="N1876" t="s">
        <v>222</v>
      </c>
      <c r="O1876" t="s">
        <v>5847</v>
      </c>
      <c r="P1876" t="s">
        <v>6119</v>
      </c>
      <c r="Q1876" t="str">
        <f>IF($C1876="","",IFERROR(VLOOKUP($C1876,sources!$A$2:$N$200,2,FALSE()),"?"))</f>
        <v>Map</v>
      </c>
      <c r="S1876" t="str">
        <f>IF($C1876="","",IFERROR(VLOOKUP($C1876,sources!$A$2:$N$200,9,FALSE()),"?"))</f>
        <v>US official</v>
      </c>
    </row>
    <row r="1877" spans="1:19" x14ac:dyDescent="0.2">
      <c r="A1877" t="s">
        <v>6120</v>
      </c>
      <c r="B1877" t="s">
        <v>792</v>
      </c>
      <c r="C1877" t="s">
        <v>1354</v>
      </c>
      <c r="D1877" t="s">
        <v>1666</v>
      </c>
      <c r="E1877" t="s">
        <v>793</v>
      </c>
      <c r="F1877" t="s">
        <v>1612</v>
      </c>
      <c r="I1877" t="s">
        <v>1077</v>
      </c>
      <c r="K1877">
        <v>1905</v>
      </c>
      <c r="L1877">
        <v>1906</v>
      </c>
      <c r="M1877" t="s">
        <v>228</v>
      </c>
      <c r="N1877" t="s">
        <v>228</v>
      </c>
      <c r="O1877" t="s">
        <v>5847</v>
      </c>
      <c r="P1877" t="s">
        <v>6121</v>
      </c>
      <c r="Q1877" t="str">
        <f>IF($C1877="","",IFERROR(VLOOKUP($C1877,sources!$A$2:$N$200,2,FALSE()),"?"))</f>
        <v>Map</v>
      </c>
      <c r="S1877" t="str">
        <f>IF($C1877="","",IFERROR(VLOOKUP($C1877,sources!$A$2:$N$200,9,FALSE()),"?"))</f>
        <v>US official</v>
      </c>
    </row>
    <row r="1878" spans="1:19" x14ac:dyDescent="0.2">
      <c r="A1878" t="s">
        <v>6122</v>
      </c>
      <c r="B1878" t="s">
        <v>802</v>
      </c>
      <c r="C1878" t="s">
        <v>1354</v>
      </c>
      <c r="D1878" t="s">
        <v>1666</v>
      </c>
      <c r="E1878" t="s">
        <v>803</v>
      </c>
      <c r="F1878" t="s">
        <v>1612</v>
      </c>
      <c r="I1878" t="s">
        <v>1077</v>
      </c>
      <c r="K1878">
        <v>1905</v>
      </c>
      <c r="L1878">
        <v>1906</v>
      </c>
      <c r="M1878" t="s">
        <v>228</v>
      </c>
      <c r="N1878" t="s">
        <v>228</v>
      </c>
      <c r="O1878" t="s">
        <v>5847</v>
      </c>
      <c r="P1878" t="s">
        <v>6123</v>
      </c>
      <c r="Q1878" t="str">
        <f>IF($C1878="","",IFERROR(VLOOKUP($C1878,sources!$A$2:$N$200,2,FALSE()),"?"))</f>
        <v>Map</v>
      </c>
      <c r="S1878" t="str">
        <f>IF($C1878="","",IFERROR(VLOOKUP($C1878,sources!$A$2:$N$200,9,FALSE()),"?"))</f>
        <v>US official</v>
      </c>
    </row>
    <row r="1879" spans="1:19" x14ac:dyDescent="0.2">
      <c r="A1879" t="s">
        <v>6124</v>
      </c>
      <c r="B1879" t="s">
        <v>506</v>
      </c>
      <c r="C1879" t="s">
        <v>1330</v>
      </c>
      <c r="D1879" t="s">
        <v>1666</v>
      </c>
      <c r="E1879" t="s">
        <v>507</v>
      </c>
      <c r="F1879" t="s">
        <v>1612</v>
      </c>
      <c r="I1879" t="s">
        <v>1077</v>
      </c>
      <c r="K1879">
        <v>1910</v>
      </c>
      <c r="L1879">
        <v>1910</v>
      </c>
      <c r="M1879" t="s">
        <v>228</v>
      </c>
      <c r="N1879" t="s">
        <v>228</v>
      </c>
      <c r="O1879" t="s">
        <v>5847</v>
      </c>
      <c r="P1879" t="s">
        <v>6125</v>
      </c>
      <c r="Q1879" t="str">
        <f>IF($C1879="","",IFERROR(VLOOKUP($C1879,sources!$A$2:$N$200,2,FALSE()),"?"))</f>
        <v>Map</v>
      </c>
      <c r="S1879" t="str">
        <f>IF($C1879="","",IFERROR(VLOOKUP($C1879,sources!$A$2:$N$200,9,FALSE()),"?"))</f>
        <v>US official</v>
      </c>
    </row>
    <row r="1880" spans="1:19" x14ac:dyDescent="0.2">
      <c r="A1880" t="s">
        <v>6126</v>
      </c>
      <c r="B1880" t="s">
        <v>815</v>
      </c>
      <c r="C1880" t="s">
        <v>1330</v>
      </c>
      <c r="D1880" t="s">
        <v>1666</v>
      </c>
      <c r="E1880" t="s">
        <v>816</v>
      </c>
      <c r="F1880" t="s">
        <v>1612</v>
      </c>
      <c r="I1880" t="s">
        <v>1077</v>
      </c>
      <c r="K1880">
        <v>1910</v>
      </c>
      <c r="L1880">
        <v>1910</v>
      </c>
      <c r="M1880" t="s">
        <v>228</v>
      </c>
      <c r="N1880" t="s">
        <v>228</v>
      </c>
      <c r="O1880" t="s">
        <v>5847</v>
      </c>
      <c r="P1880" t="s">
        <v>6127</v>
      </c>
      <c r="Q1880" t="str">
        <f>IF($C1880="","",IFERROR(VLOOKUP($C1880,sources!$A$2:$N$200,2,FALSE()),"?"))</f>
        <v>Map</v>
      </c>
      <c r="S1880" t="str">
        <f>IF($C1880="","",IFERROR(VLOOKUP($C1880,sources!$A$2:$N$200,9,FALSE()),"?"))</f>
        <v>US official</v>
      </c>
    </row>
    <row r="1881" spans="1:19" x14ac:dyDescent="0.2">
      <c r="A1881" t="s">
        <v>6128</v>
      </c>
      <c r="B1881" t="s">
        <v>1002</v>
      </c>
      <c r="C1881" t="s">
        <v>1330</v>
      </c>
      <c r="D1881" t="s">
        <v>1599</v>
      </c>
      <c r="E1881" t="s">
        <v>6129</v>
      </c>
      <c r="F1881" t="s">
        <v>1612</v>
      </c>
      <c r="I1881" t="s">
        <v>1077</v>
      </c>
      <c r="K1881">
        <v>1910</v>
      </c>
      <c r="L1881">
        <v>1910</v>
      </c>
      <c r="M1881" t="s">
        <v>228</v>
      </c>
      <c r="N1881" t="s">
        <v>228</v>
      </c>
      <c r="O1881" t="s">
        <v>5847</v>
      </c>
      <c r="P1881" t="s">
        <v>6130</v>
      </c>
      <c r="Q1881" t="str">
        <f>IF($C1881="","",IFERROR(VLOOKUP($C1881,sources!$A$2:$N$200,2,FALSE()),"?"))</f>
        <v>Map</v>
      </c>
      <c r="S1881" t="str">
        <f>IF($C1881="","",IFERROR(VLOOKUP($C1881,sources!$A$2:$N$200,9,FALSE()),"?"))</f>
        <v>US official</v>
      </c>
    </row>
    <row r="1882" spans="1:19" x14ac:dyDescent="0.2">
      <c r="A1882" t="s">
        <v>6131</v>
      </c>
      <c r="B1882" t="s">
        <v>802</v>
      </c>
      <c r="C1882" t="s">
        <v>1342</v>
      </c>
      <c r="D1882" t="s">
        <v>1666</v>
      </c>
      <c r="E1882" t="s">
        <v>803</v>
      </c>
      <c r="F1882" t="s">
        <v>1612</v>
      </c>
      <c r="I1882" t="s">
        <v>1077</v>
      </c>
      <c r="K1882">
        <v>1908</v>
      </c>
      <c r="L1882">
        <v>1908</v>
      </c>
      <c r="M1882" t="s">
        <v>228</v>
      </c>
      <c r="N1882" t="s">
        <v>228</v>
      </c>
      <c r="O1882" t="s">
        <v>5847</v>
      </c>
      <c r="P1882" t="s">
        <v>6132</v>
      </c>
      <c r="Q1882" t="str">
        <f>IF($C1882="","",IFERROR(VLOOKUP($C1882,sources!$A$2:$N$200,2,FALSE()),"?"))</f>
        <v>Map</v>
      </c>
      <c r="S1882" t="str">
        <f>IF($C1882="","",IFERROR(VLOOKUP($C1882,sources!$A$2:$N$200,9,FALSE()),"?"))</f>
        <v>US official</v>
      </c>
    </row>
    <row r="1883" spans="1:19" x14ac:dyDescent="0.2">
      <c r="A1883" t="s">
        <v>6133</v>
      </c>
      <c r="B1883" t="s">
        <v>795</v>
      </c>
      <c r="C1883" t="s">
        <v>1420</v>
      </c>
      <c r="D1883" t="s">
        <v>1666</v>
      </c>
      <c r="E1883" t="s">
        <v>796</v>
      </c>
      <c r="F1883" t="s">
        <v>1612</v>
      </c>
      <c r="I1883" t="s">
        <v>1077</v>
      </c>
      <c r="K1883">
        <v>1947</v>
      </c>
      <c r="L1883">
        <v>1947</v>
      </c>
      <c r="M1883" t="s">
        <v>228</v>
      </c>
      <c r="N1883" t="s">
        <v>222</v>
      </c>
      <c r="O1883" t="s">
        <v>5847</v>
      </c>
      <c r="P1883" t="s">
        <v>6134</v>
      </c>
      <c r="Q1883" t="str">
        <f>IF($C1883="","",IFERROR(VLOOKUP($C1883,sources!$A$2:$N$200,2,FALSE()),"?"))</f>
        <v>Map</v>
      </c>
      <c r="S1883" t="str">
        <f>IF($C1883="","",IFERROR(VLOOKUP($C1883,sources!$A$2:$N$200,9,FALSE()),"?"))</f>
        <v>US military</v>
      </c>
    </row>
    <row r="1884" spans="1:19" x14ac:dyDescent="0.2">
      <c r="A1884" t="s">
        <v>6135</v>
      </c>
      <c r="B1884" t="s">
        <v>951</v>
      </c>
      <c r="C1884" t="s">
        <v>1420</v>
      </c>
      <c r="D1884" t="s">
        <v>1666</v>
      </c>
      <c r="E1884" t="s">
        <v>953</v>
      </c>
      <c r="F1884" t="s">
        <v>1612</v>
      </c>
      <c r="I1884" t="s">
        <v>1077</v>
      </c>
      <c r="K1884">
        <v>1947</v>
      </c>
      <c r="L1884">
        <v>1947</v>
      </c>
      <c r="M1884" t="s">
        <v>228</v>
      </c>
      <c r="N1884" t="s">
        <v>222</v>
      </c>
      <c r="O1884" t="s">
        <v>5847</v>
      </c>
      <c r="P1884" t="s">
        <v>6136</v>
      </c>
      <c r="Q1884" t="str">
        <f>IF($C1884="","",IFERROR(VLOOKUP($C1884,sources!$A$2:$N$200,2,FALSE()),"?"))</f>
        <v>Map</v>
      </c>
      <c r="S1884" t="str">
        <f>IF($C1884="","",IFERROR(VLOOKUP($C1884,sources!$A$2:$N$200,9,FALSE()),"?"))</f>
        <v>US military</v>
      </c>
    </row>
    <row r="1885" spans="1:19" x14ac:dyDescent="0.2">
      <c r="A1885" t="s">
        <v>6137</v>
      </c>
      <c r="B1885" t="s">
        <v>957</v>
      </c>
      <c r="C1885" t="s">
        <v>1420</v>
      </c>
      <c r="D1885" t="s">
        <v>1666</v>
      </c>
      <c r="E1885" t="s">
        <v>958</v>
      </c>
      <c r="F1885" t="s">
        <v>1612</v>
      </c>
      <c r="I1885" t="s">
        <v>1077</v>
      </c>
      <c r="K1885">
        <v>1947</v>
      </c>
      <c r="L1885">
        <v>1947</v>
      </c>
      <c r="M1885" t="s">
        <v>228</v>
      </c>
      <c r="N1885" t="s">
        <v>222</v>
      </c>
      <c r="O1885" t="s">
        <v>5847</v>
      </c>
      <c r="P1885" t="s">
        <v>6138</v>
      </c>
      <c r="Q1885" t="str">
        <f>IF($C1885="","",IFERROR(VLOOKUP($C1885,sources!$A$2:$N$200,2,FALSE()),"?"))</f>
        <v>Map</v>
      </c>
      <c r="S1885" t="str">
        <f>IF($C1885="","",IFERROR(VLOOKUP($C1885,sources!$A$2:$N$200,9,FALSE()),"?"))</f>
        <v>US military</v>
      </c>
    </row>
    <row r="1886" spans="1:19" x14ac:dyDescent="0.2">
      <c r="A1886" t="s">
        <v>6139</v>
      </c>
      <c r="B1886" t="s">
        <v>955</v>
      </c>
      <c r="C1886" t="s">
        <v>1420</v>
      </c>
      <c r="D1886" t="s">
        <v>1585</v>
      </c>
      <c r="E1886" t="s">
        <v>6140</v>
      </c>
      <c r="F1886" t="s">
        <v>1612</v>
      </c>
      <c r="I1886" t="s">
        <v>1077</v>
      </c>
      <c r="K1886">
        <v>1947</v>
      </c>
      <c r="L1886">
        <v>1947</v>
      </c>
      <c r="M1886" t="s">
        <v>228</v>
      </c>
      <c r="N1886" t="s">
        <v>222</v>
      </c>
      <c r="O1886" t="s">
        <v>5847</v>
      </c>
      <c r="P1886" t="s">
        <v>6141</v>
      </c>
      <c r="Q1886" t="str">
        <f>IF($C1886="","",IFERROR(VLOOKUP($C1886,sources!$A$2:$N$200,2,FALSE()),"?"))</f>
        <v>Map</v>
      </c>
      <c r="S1886" t="str">
        <f>IF($C1886="","",IFERROR(VLOOKUP($C1886,sources!$A$2:$N$200,9,FALSE()),"?"))</f>
        <v>US military</v>
      </c>
    </row>
    <row r="1887" spans="1:19" x14ac:dyDescent="0.2">
      <c r="A1887" t="s">
        <v>6142</v>
      </c>
      <c r="B1887" t="s">
        <v>974</v>
      </c>
      <c r="C1887" t="s">
        <v>1420</v>
      </c>
      <c r="D1887" t="s">
        <v>1666</v>
      </c>
      <c r="E1887" t="s">
        <v>5928</v>
      </c>
      <c r="F1887" t="s">
        <v>1612</v>
      </c>
      <c r="I1887" t="s">
        <v>1077</v>
      </c>
      <c r="K1887">
        <v>1947</v>
      </c>
      <c r="L1887">
        <v>1947</v>
      </c>
      <c r="M1887" t="s">
        <v>228</v>
      </c>
      <c r="N1887" t="s">
        <v>222</v>
      </c>
      <c r="O1887" t="s">
        <v>5847</v>
      </c>
      <c r="P1887" t="s">
        <v>6143</v>
      </c>
      <c r="Q1887" t="str">
        <f>IF($C1887="","",IFERROR(VLOOKUP($C1887,sources!$A$2:$N$200,2,FALSE()),"?"))</f>
        <v>Map</v>
      </c>
      <c r="S1887" t="str">
        <f>IF($C1887="","",IFERROR(VLOOKUP($C1887,sources!$A$2:$N$200,9,FALSE()),"?"))</f>
        <v>US military</v>
      </c>
    </row>
    <row r="1888" spans="1:19" x14ac:dyDescent="0.2">
      <c r="A1888" t="s">
        <v>6144</v>
      </c>
      <c r="B1888" t="s">
        <v>981</v>
      </c>
      <c r="C1888" t="s">
        <v>1420</v>
      </c>
      <c r="D1888" t="s">
        <v>1666</v>
      </c>
      <c r="E1888" t="s">
        <v>982</v>
      </c>
      <c r="F1888" t="s">
        <v>1612</v>
      </c>
      <c r="I1888" t="s">
        <v>1077</v>
      </c>
      <c r="K1888">
        <v>1947</v>
      </c>
      <c r="L1888">
        <v>1947</v>
      </c>
      <c r="M1888" t="s">
        <v>228</v>
      </c>
      <c r="N1888" t="s">
        <v>228</v>
      </c>
      <c r="O1888" t="s">
        <v>5847</v>
      </c>
      <c r="P1888" t="s">
        <v>6145</v>
      </c>
      <c r="Q1888" t="str">
        <f>IF($C1888="","",IFERROR(VLOOKUP($C1888,sources!$A$2:$N$200,2,FALSE()),"?"))</f>
        <v>Map</v>
      </c>
      <c r="S1888" t="str">
        <f>IF($C1888="","",IFERROR(VLOOKUP($C1888,sources!$A$2:$N$200,9,FALSE()),"?"))</f>
        <v>US military</v>
      </c>
    </row>
    <row r="1889" spans="1:19" x14ac:dyDescent="0.2">
      <c r="A1889" t="s">
        <v>6146</v>
      </c>
      <c r="B1889" t="s">
        <v>978</v>
      </c>
      <c r="C1889" t="s">
        <v>1420</v>
      </c>
      <c r="D1889" t="s">
        <v>1666</v>
      </c>
      <c r="E1889" t="s">
        <v>979</v>
      </c>
      <c r="F1889" t="s">
        <v>1612</v>
      </c>
      <c r="I1889" t="s">
        <v>1077</v>
      </c>
      <c r="K1889">
        <v>1947</v>
      </c>
      <c r="L1889">
        <v>1947</v>
      </c>
      <c r="M1889" t="s">
        <v>228</v>
      </c>
      <c r="N1889" t="s">
        <v>228</v>
      </c>
      <c r="O1889" t="s">
        <v>5847</v>
      </c>
      <c r="P1889" t="s">
        <v>6147</v>
      </c>
      <c r="Q1889" t="str">
        <f>IF($C1889="","",IFERROR(VLOOKUP($C1889,sources!$A$2:$N$200,2,FALSE()),"?"))</f>
        <v>Map</v>
      </c>
      <c r="S1889" t="str">
        <f>IF($C1889="","",IFERROR(VLOOKUP($C1889,sources!$A$2:$N$200,9,FALSE()),"?"))</f>
        <v>US military</v>
      </c>
    </row>
    <row r="1890" spans="1:19" x14ac:dyDescent="0.2">
      <c r="A1890" t="s">
        <v>6148</v>
      </c>
      <c r="B1890" t="s">
        <v>962</v>
      </c>
      <c r="C1890" t="s">
        <v>1420</v>
      </c>
      <c r="D1890" t="s">
        <v>1666</v>
      </c>
      <c r="E1890" t="s">
        <v>963</v>
      </c>
      <c r="F1890" t="s">
        <v>1612</v>
      </c>
      <c r="I1890" t="s">
        <v>1077</v>
      </c>
      <c r="K1890">
        <v>1947</v>
      </c>
      <c r="L1890">
        <v>1947</v>
      </c>
      <c r="M1890" t="s">
        <v>228</v>
      </c>
      <c r="N1890" t="s">
        <v>228</v>
      </c>
      <c r="O1890" t="s">
        <v>5847</v>
      </c>
      <c r="P1890" t="s">
        <v>6149</v>
      </c>
      <c r="Q1890" t="str">
        <f>IF($C1890="","",IFERROR(VLOOKUP($C1890,sources!$A$2:$N$200,2,FALSE()),"?"))</f>
        <v>Map</v>
      </c>
      <c r="S1890" t="str">
        <f>IF($C1890="","",IFERROR(VLOOKUP($C1890,sources!$A$2:$N$200,9,FALSE()),"?"))</f>
        <v>US military</v>
      </c>
    </row>
    <row r="1891" spans="1:19" x14ac:dyDescent="0.2">
      <c r="A1891" t="s">
        <v>6150</v>
      </c>
      <c r="B1891" t="s">
        <v>966</v>
      </c>
      <c r="C1891" t="s">
        <v>1420</v>
      </c>
      <c r="D1891" t="s">
        <v>1666</v>
      </c>
      <c r="E1891" t="s">
        <v>967</v>
      </c>
      <c r="F1891" t="s">
        <v>1612</v>
      </c>
      <c r="I1891" t="s">
        <v>1077</v>
      </c>
      <c r="K1891">
        <v>1947</v>
      </c>
      <c r="L1891">
        <v>1947</v>
      </c>
      <c r="M1891" t="s">
        <v>228</v>
      </c>
      <c r="N1891" t="s">
        <v>222</v>
      </c>
      <c r="O1891" t="s">
        <v>5847</v>
      </c>
      <c r="P1891" t="s">
        <v>6151</v>
      </c>
      <c r="Q1891" t="str">
        <f>IF($C1891="","",IFERROR(VLOOKUP($C1891,sources!$A$2:$N$200,2,FALSE()),"?"))</f>
        <v>Map</v>
      </c>
      <c r="S1891" t="str">
        <f>IF($C1891="","",IFERROR(VLOOKUP($C1891,sources!$A$2:$N$200,9,FALSE()),"?"))</f>
        <v>US military</v>
      </c>
    </row>
    <row r="1892" spans="1:19" x14ac:dyDescent="0.2">
      <c r="A1892" t="s">
        <v>6152</v>
      </c>
      <c r="B1892" t="s">
        <v>854</v>
      </c>
      <c r="C1892" t="s">
        <v>1420</v>
      </c>
      <c r="D1892" t="s">
        <v>1666</v>
      </c>
      <c r="E1892" t="s">
        <v>855</v>
      </c>
      <c r="F1892" t="s">
        <v>1612</v>
      </c>
      <c r="I1892" t="s">
        <v>1077</v>
      </c>
      <c r="K1892">
        <v>1947</v>
      </c>
      <c r="L1892">
        <v>1947</v>
      </c>
      <c r="M1892" t="s">
        <v>228</v>
      </c>
      <c r="N1892" t="s">
        <v>222</v>
      </c>
      <c r="O1892" t="s">
        <v>5847</v>
      </c>
      <c r="P1892" t="s">
        <v>6153</v>
      </c>
      <c r="Q1892" t="str">
        <f>IF($C1892="","",IFERROR(VLOOKUP($C1892,sources!$A$2:$N$200,2,FALSE()),"?"))</f>
        <v>Map</v>
      </c>
      <c r="S1892" t="str">
        <f>IF($C1892="","",IFERROR(VLOOKUP($C1892,sources!$A$2:$N$200,9,FALSE()),"?"))</f>
        <v>US military</v>
      </c>
    </row>
    <row r="1893" spans="1:19" x14ac:dyDescent="0.2">
      <c r="A1893" t="s">
        <v>6154</v>
      </c>
      <c r="B1893" t="s">
        <v>985</v>
      </c>
      <c r="C1893" t="s">
        <v>1420</v>
      </c>
      <c r="D1893" t="s">
        <v>1666</v>
      </c>
      <c r="E1893" t="s">
        <v>986</v>
      </c>
      <c r="F1893" t="s">
        <v>1612</v>
      </c>
      <c r="I1893" t="s">
        <v>1077</v>
      </c>
      <c r="K1893">
        <v>1947</v>
      </c>
      <c r="L1893">
        <v>1947</v>
      </c>
      <c r="M1893" t="s">
        <v>228</v>
      </c>
      <c r="N1893" t="s">
        <v>209</v>
      </c>
      <c r="O1893" t="s">
        <v>5847</v>
      </c>
      <c r="P1893" t="s">
        <v>6155</v>
      </c>
      <c r="Q1893" t="str">
        <f>IF($C1893="","",IFERROR(VLOOKUP($C1893,sources!$A$2:$N$200,2,FALSE()),"?"))</f>
        <v>Map</v>
      </c>
      <c r="S1893" t="str">
        <f>IF($C1893="","",IFERROR(VLOOKUP($C1893,sources!$A$2:$N$200,9,FALSE()),"?"))</f>
        <v>US military</v>
      </c>
    </row>
    <row r="1894" spans="1:19" x14ac:dyDescent="0.2">
      <c r="A1894" t="s">
        <v>6156</v>
      </c>
      <c r="B1894" t="s">
        <v>966</v>
      </c>
      <c r="C1894" t="s">
        <v>1187</v>
      </c>
      <c r="D1894" t="s">
        <v>1585</v>
      </c>
      <c r="E1894" t="s">
        <v>6157</v>
      </c>
      <c r="F1894" t="s">
        <v>1612</v>
      </c>
      <c r="I1894" t="s">
        <v>1077</v>
      </c>
      <c r="K1894">
        <v>1911</v>
      </c>
      <c r="L1894">
        <v>1911</v>
      </c>
      <c r="M1894" t="s">
        <v>228</v>
      </c>
      <c r="N1894" t="s">
        <v>222</v>
      </c>
      <c r="O1894" t="s">
        <v>5847</v>
      </c>
      <c r="P1894" t="s">
        <v>6158</v>
      </c>
      <c r="Q1894" t="str">
        <f>IF($C1894="","",IFERROR(VLOOKUP($C1894,sources!$A$2:$N$200,2,FALSE()),"?"))</f>
        <v>Map</v>
      </c>
      <c r="S1894" t="str">
        <f>IF($C1894="","",IFERROR(VLOOKUP($C1894,sources!$A$2:$N$200,9,FALSE()),"?"))</f>
        <v>US official</v>
      </c>
    </row>
    <row r="1895" spans="1:19" x14ac:dyDescent="0.2">
      <c r="A1895" t="s">
        <v>6159</v>
      </c>
      <c r="B1895" t="s">
        <v>962</v>
      </c>
      <c r="C1895" t="s">
        <v>1187</v>
      </c>
      <c r="D1895" t="s">
        <v>1585</v>
      </c>
      <c r="E1895" t="s">
        <v>6160</v>
      </c>
      <c r="F1895" t="s">
        <v>1612</v>
      </c>
      <c r="I1895" t="s">
        <v>1077</v>
      </c>
      <c r="K1895">
        <v>1911</v>
      </c>
      <c r="L1895">
        <v>1911</v>
      </c>
      <c r="M1895" t="s">
        <v>228</v>
      </c>
      <c r="N1895" t="s">
        <v>222</v>
      </c>
      <c r="O1895" t="s">
        <v>5847</v>
      </c>
      <c r="P1895" t="s">
        <v>6161</v>
      </c>
      <c r="Q1895" t="str">
        <f>IF($C1895="","",IFERROR(VLOOKUP($C1895,sources!$A$2:$N$200,2,FALSE()),"?"))</f>
        <v>Map</v>
      </c>
      <c r="S1895" t="str">
        <f>IF($C1895="","",IFERROR(VLOOKUP($C1895,sources!$A$2:$N$200,9,FALSE()),"?"))</f>
        <v>US official</v>
      </c>
    </row>
    <row r="1896" spans="1:19" x14ac:dyDescent="0.2">
      <c r="A1896" t="s">
        <v>6162</v>
      </c>
      <c r="B1896" t="s">
        <v>820</v>
      </c>
      <c r="C1896" t="s">
        <v>1187</v>
      </c>
      <c r="D1896" t="s">
        <v>1666</v>
      </c>
      <c r="E1896" t="s">
        <v>821</v>
      </c>
      <c r="F1896" t="s">
        <v>1612</v>
      </c>
      <c r="I1896" t="s">
        <v>1077</v>
      </c>
      <c r="K1896">
        <v>1911</v>
      </c>
      <c r="L1896">
        <v>1911</v>
      </c>
      <c r="M1896" t="s">
        <v>228</v>
      </c>
      <c r="N1896" t="s">
        <v>228</v>
      </c>
      <c r="O1896" t="s">
        <v>5847</v>
      </c>
      <c r="P1896" t="s">
        <v>6163</v>
      </c>
      <c r="Q1896" t="str">
        <f>IF($C1896="","",IFERROR(VLOOKUP($C1896,sources!$A$2:$N$200,2,FALSE()),"?"))</f>
        <v>Map</v>
      </c>
      <c r="S1896" t="str">
        <f>IF($C1896="","",IFERROR(VLOOKUP($C1896,sources!$A$2:$N$200,9,FALSE()),"?"))</f>
        <v>US official</v>
      </c>
    </row>
    <row r="1897" spans="1:19" x14ac:dyDescent="0.2">
      <c r="A1897" t="s">
        <v>6164</v>
      </c>
      <c r="B1897" t="s">
        <v>824</v>
      </c>
      <c r="C1897" t="s">
        <v>1187</v>
      </c>
      <c r="D1897" t="s">
        <v>1666</v>
      </c>
      <c r="E1897" t="s">
        <v>825</v>
      </c>
      <c r="F1897" t="s">
        <v>1612</v>
      </c>
      <c r="I1897" t="s">
        <v>1077</v>
      </c>
      <c r="K1897">
        <v>1911</v>
      </c>
      <c r="L1897">
        <v>1911</v>
      </c>
      <c r="M1897" t="s">
        <v>228</v>
      </c>
      <c r="N1897" t="s">
        <v>228</v>
      </c>
      <c r="O1897" t="s">
        <v>5847</v>
      </c>
      <c r="P1897" t="s">
        <v>6165</v>
      </c>
      <c r="Q1897" t="str">
        <f>IF($C1897="","",IFERROR(VLOOKUP($C1897,sources!$A$2:$N$200,2,FALSE()),"?"))</f>
        <v>Map</v>
      </c>
      <c r="S1897" t="str">
        <f>IF($C1897="","",IFERROR(VLOOKUP($C1897,sources!$A$2:$N$200,9,FALSE()),"?"))</f>
        <v>US official</v>
      </c>
    </row>
    <row r="1898" spans="1:19" x14ac:dyDescent="0.2">
      <c r="A1898" t="s">
        <v>6166</v>
      </c>
      <c r="B1898" t="s">
        <v>566</v>
      </c>
      <c r="C1898" t="s">
        <v>1187</v>
      </c>
      <c r="D1898" t="s">
        <v>1666</v>
      </c>
      <c r="E1898" t="s">
        <v>567</v>
      </c>
      <c r="F1898" t="s">
        <v>1612</v>
      </c>
      <c r="I1898" t="s">
        <v>1077</v>
      </c>
      <c r="K1898">
        <v>1911</v>
      </c>
      <c r="L1898">
        <v>1911</v>
      </c>
      <c r="M1898" t="s">
        <v>228</v>
      </c>
      <c r="N1898" t="s">
        <v>228</v>
      </c>
      <c r="O1898" t="s">
        <v>5847</v>
      </c>
      <c r="P1898" t="s">
        <v>6167</v>
      </c>
      <c r="Q1898" t="str">
        <f>IF($C1898="","",IFERROR(VLOOKUP($C1898,sources!$A$2:$N$200,2,FALSE()),"?"))</f>
        <v>Map</v>
      </c>
      <c r="S1898" t="str">
        <f>IF($C1898="","",IFERROR(VLOOKUP($C1898,sources!$A$2:$N$200,9,FALSE()),"?"))</f>
        <v>US official</v>
      </c>
    </row>
    <row r="1899" spans="1:19" x14ac:dyDescent="0.2">
      <c r="A1899" t="s">
        <v>6168</v>
      </c>
      <c r="B1899" t="s">
        <v>990</v>
      </c>
      <c r="C1899" t="s">
        <v>1187</v>
      </c>
      <c r="D1899" t="s">
        <v>1666</v>
      </c>
      <c r="E1899" t="s">
        <v>991</v>
      </c>
      <c r="F1899" t="s">
        <v>1612</v>
      </c>
      <c r="I1899" t="s">
        <v>1077</v>
      </c>
      <c r="K1899">
        <v>1911</v>
      </c>
      <c r="L1899">
        <v>1911</v>
      </c>
      <c r="M1899" t="s">
        <v>228</v>
      </c>
      <c r="N1899" t="s">
        <v>228</v>
      </c>
      <c r="O1899" t="s">
        <v>5847</v>
      </c>
      <c r="P1899" t="s">
        <v>6169</v>
      </c>
      <c r="Q1899" t="str">
        <f>IF($C1899="","",IFERROR(VLOOKUP($C1899,sources!$A$2:$N$200,2,FALSE()),"?"))</f>
        <v>Map</v>
      </c>
      <c r="S1899" t="str">
        <f>IF($C1899="","",IFERROR(VLOOKUP($C1899,sources!$A$2:$N$200,9,FALSE()),"?"))</f>
        <v>US official</v>
      </c>
    </row>
    <row r="1900" spans="1:19" x14ac:dyDescent="0.2">
      <c r="A1900" t="s">
        <v>6170</v>
      </c>
      <c r="B1900" t="s">
        <v>955</v>
      </c>
      <c r="C1900" t="s">
        <v>1187</v>
      </c>
      <c r="D1900" t="s">
        <v>1666</v>
      </c>
      <c r="E1900" t="s">
        <v>970</v>
      </c>
      <c r="F1900" t="s">
        <v>1612</v>
      </c>
      <c r="I1900" t="s">
        <v>1077</v>
      </c>
      <c r="K1900">
        <v>1911</v>
      </c>
      <c r="L1900">
        <v>1911</v>
      </c>
      <c r="M1900" t="s">
        <v>228</v>
      </c>
      <c r="N1900" t="s">
        <v>228</v>
      </c>
      <c r="O1900" t="s">
        <v>5847</v>
      </c>
      <c r="P1900" t="s">
        <v>6171</v>
      </c>
      <c r="Q1900" t="str">
        <f>IF($C1900="","",IFERROR(VLOOKUP($C1900,sources!$A$2:$N$200,2,FALSE()),"?"))</f>
        <v>Map</v>
      </c>
      <c r="S1900" t="str">
        <f>IF($C1900="","",IFERROR(VLOOKUP($C1900,sources!$A$2:$N$200,9,FALSE()),"?"))</f>
        <v>US official</v>
      </c>
    </row>
    <row r="1901" spans="1:19" x14ac:dyDescent="0.2">
      <c r="A1901" t="s">
        <v>6172</v>
      </c>
      <c r="B1901" t="s">
        <v>974</v>
      </c>
      <c r="C1901" t="s">
        <v>1187</v>
      </c>
      <c r="D1901" t="s">
        <v>1666</v>
      </c>
      <c r="E1901" t="s">
        <v>5928</v>
      </c>
      <c r="F1901" t="s">
        <v>1612</v>
      </c>
      <c r="I1901" t="s">
        <v>1077</v>
      </c>
      <c r="K1901">
        <v>1911</v>
      </c>
      <c r="L1901">
        <v>1911</v>
      </c>
      <c r="M1901" t="s">
        <v>228</v>
      </c>
      <c r="N1901" t="s">
        <v>228</v>
      </c>
      <c r="O1901" t="s">
        <v>5847</v>
      </c>
      <c r="P1901" t="s">
        <v>6173</v>
      </c>
      <c r="Q1901" t="str">
        <f>IF($C1901="","",IFERROR(VLOOKUP($C1901,sources!$A$2:$N$200,2,FALSE()),"?"))</f>
        <v>Map</v>
      </c>
      <c r="S1901" t="str">
        <f>IF($C1901="","",IFERROR(VLOOKUP($C1901,sources!$A$2:$N$200,9,FALSE()),"?"))</f>
        <v>US official</v>
      </c>
    </row>
    <row r="1902" spans="1:19" x14ac:dyDescent="0.2">
      <c r="A1902" t="s">
        <v>6174</v>
      </c>
      <c r="B1902" t="s">
        <v>978</v>
      </c>
      <c r="C1902" t="s">
        <v>1187</v>
      </c>
      <c r="D1902" t="s">
        <v>1666</v>
      </c>
      <c r="E1902" t="s">
        <v>979</v>
      </c>
      <c r="F1902" t="s">
        <v>1612</v>
      </c>
      <c r="I1902" t="s">
        <v>1077</v>
      </c>
      <c r="K1902">
        <v>1911</v>
      </c>
      <c r="L1902">
        <v>1911</v>
      </c>
      <c r="M1902" t="s">
        <v>228</v>
      </c>
      <c r="N1902" t="s">
        <v>228</v>
      </c>
      <c r="O1902" t="s">
        <v>5847</v>
      </c>
      <c r="P1902" t="s">
        <v>6175</v>
      </c>
      <c r="Q1902" t="str">
        <f>IF($C1902="","",IFERROR(VLOOKUP($C1902,sources!$A$2:$N$200,2,FALSE()),"?"))</f>
        <v>Map</v>
      </c>
      <c r="S1902" t="str">
        <f>IF($C1902="","",IFERROR(VLOOKUP($C1902,sources!$A$2:$N$200,9,FALSE()),"?"))</f>
        <v>US official</v>
      </c>
    </row>
    <row r="1903" spans="1:19" x14ac:dyDescent="0.2">
      <c r="A1903" t="s">
        <v>6176</v>
      </c>
      <c r="B1903" t="s">
        <v>981</v>
      </c>
      <c r="C1903" t="s">
        <v>1187</v>
      </c>
      <c r="D1903" t="s">
        <v>1666</v>
      </c>
      <c r="E1903" t="s">
        <v>982</v>
      </c>
      <c r="F1903" t="s">
        <v>1612</v>
      </c>
      <c r="I1903" t="s">
        <v>1077</v>
      </c>
      <c r="K1903">
        <v>1911</v>
      </c>
      <c r="L1903">
        <v>1911</v>
      </c>
      <c r="M1903" t="s">
        <v>228</v>
      </c>
      <c r="N1903" t="s">
        <v>228</v>
      </c>
      <c r="O1903" t="s">
        <v>5847</v>
      </c>
      <c r="P1903" t="s">
        <v>6177</v>
      </c>
      <c r="Q1903" t="str">
        <f>IF($C1903="","",IFERROR(VLOOKUP($C1903,sources!$A$2:$N$200,2,FALSE()),"?"))</f>
        <v>Map</v>
      </c>
      <c r="S1903" t="str">
        <f>IF($C1903="","",IFERROR(VLOOKUP($C1903,sources!$A$2:$N$200,9,FALSE()),"?"))</f>
        <v>US official</v>
      </c>
    </row>
    <row r="1904" spans="1:19" x14ac:dyDescent="0.2">
      <c r="A1904" t="s">
        <v>6178</v>
      </c>
      <c r="B1904" t="s">
        <v>985</v>
      </c>
      <c r="C1904" t="s">
        <v>1187</v>
      </c>
      <c r="D1904" t="s">
        <v>1666</v>
      </c>
      <c r="E1904" t="s">
        <v>986</v>
      </c>
      <c r="F1904" t="s">
        <v>1612</v>
      </c>
      <c r="I1904" t="s">
        <v>1077</v>
      </c>
      <c r="K1904">
        <v>1911</v>
      </c>
      <c r="L1904">
        <v>1911</v>
      </c>
      <c r="M1904" t="s">
        <v>228</v>
      </c>
      <c r="N1904" t="s">
        <v>209</v>
      </c>
      <c r="O1904" t="s">
        <v>5847</v>
      </c>
      <c r="P1904" t="s">
        <v>6179</v>
      </c>
      <c r="Q1904" t="str">
        <f>IF($C1904="","",IFERROR(VLOOKUP($C1904,sources!$A$2:$N$200,2,FALSE()),"?"))</f>
        <v>Map</v>
      </c>
      <c r="S1904" t="str">
        <f>IF($C1904="","",IFERROR(VLOOKUP($C1904,sources!$A$2:$N$200,9,FALSE()),"?"))</f>
        <v>US official</v>
      </c>
    </row>
    <row r="1905" spans="1:19" x14ac:dyDescent="0.2">
      <c r="A1905" t="s">
        <v>6180</v>
      </c>
      <c r="B1905" t="s">
        <v>957</v>
      </c>
      <c r="C1905" t="s">
        <v>1187</v>
      </c>
      <c r="D1905" t="s">
        <v>1666</v>
      </c>
      <c r="E1905" t="s">
        <v>958</v>
      </c>
      <c r="F1905" t="s">
        <v>1612</v>
      </c>
      <c r="I1905" t="s">
        <v>1077</v>
      </c>
      <c r="K1905">
        <v>1911</v>
      </c>
      <c r="L1905">
        <v>1911</v>
      </c>
      <c r="M1905" t="s">
        <v>228</v>
      </c>
      <c r="N1905" t="s">
        <v>228</v>
      </c>
      <c r="O1905" t="s">
        <v>5847</v>
      </c>
      <c r="P1905" t="s">
        <v>6181</v>
      </c>
      <c r="Q1905" t="str">
        <f>IF($C1905="","",IFERROR(VLOOKUP($C1905,sources!$A$2:$N$200,2,FALSE()),"?"))</f>
        <v>Map</v>
      </c>
      <c r="S1905" t="str">
        <f>IF($C1905="","",IFERROR(VLOOKUP($C1905,sources!$A$2:$N$200,9,FALSE()),"?"))</f>
        <v>US official</v>
      </c>
    </row>
    <row r="1906" spans="1:19" x14ac:dyDescent="0.2">
      <c r="A1906" t="s">
        <v>6182</v>
      </c>
      <c r="B1906" t="s">
        <v>471</v>
      </c>
      <c r="C1906" t="s">
        <v>1187</v>
      </c>
      <c r="D1906" t="s">
        <v>1666</v>
      </c>
      <c r="E1906" t="s">
        <v>472</v>
      </c>
      <c r="F1906" t="s">
        <v>1612</v>
      </c>
      <c r="I1906" t="s">
        <v>1077</v>
      </c>
      <c r="K1906">
        <v>1911</v>
      </c>
      <c r="L1906">
        <v>1911</v>
      </c>
      <c r="M1906" t="s">
        <v>228</v>
      </c>
      <c r="N1906" t="s">
        <v>228</v>
      </c>
      <c r="O1906" t="s">
        <v>5847</v>
      </c>
      <c r="P1906" t="s">
        <v>6183</v>
      </c>
      <c r="Q1906" t="str">
        <f>IF($C1906="","",IFERROR(VLOOKUP($C1906,sources!$A$2:$N$200,2,FALSE()),"?"))</f>
        <v>Map</v>
      </c>
      <c r="S1906" t="str">
        <f>IF($C1906="","",IFERROR(VLOOKUP($C1906,sources!$A$2:$N$200,9,FALSE()),"?"))</f>
        <v>US official</v>
      </c>
    </row>
    <row r="1907" spans="1:19" x14ac:dyDescent="0.2">
      <c r="A1907" t="s">
        <v>6184</v>
      </c>
      <c r="B1907" t="s">
        <v>475</v>
      </c>
      <c r="C1907" t="s">
        <v>1187</v>
      </c>
      <c r="D1907" t="s">
        <v>1666</v>
      </c>
      <c r="E1907" t="s">
        <v>476</v>
      </c>
      <c r="F1907" t="s">
        <v>1612</v>
      </c>
      <c r="I1907" t="s">
        <v>1077</v>
      </c>
      <c r="K1907">
        <v>1911</v>
      </c>
      <c r="L1907">
        <v>1911</v>
      </c>
      <c r="M1907" t="s">
        <v>228</v>
      </c>
      <c r="N1907" t="s">
        <v>222</v>
      </c>
      <c r="O1907" t="s">
        <v>5847</v>
      </c>
      <c r="P1907" t="s">
        <v>6185</v>
      </c>
      <c r="Q1907" t="str">
        <f>IF($C1907="","",IFERROR(VLOOKUP($C1907,sources!$A$2:$N$200,2,FALSE()),"?"))</f>
        <v>Map</v>
      </c>
      <c r="S1907" t="str">
        <f>IF($C1907="","",IFERROR(VLOOKUP($C1907,sources!$A$2:$N$200,9,FALSE()),"?"))</f>
        <v>US official</v>
      </c>
    </row>
    <row r="1908" spans="1:19" x14ac:dyDescent="0.2">
      <c r="A1908" t="s">
        <v>6186</v>
      </c>
      <c r="B1908" t="s">
        <v>553</v>
      </c>
      <c r="C1908" t="s">
        <v>1187</v>
      </c>
      <c r="D1908" t="s">
        <v>1666</v>
      </c>
      <c r="E1908" t="s">
        <v>554</v>
      </c>
      <c r="F1908" t="s">
        <v>1612</v>
      </c>
      <c r="I1908" t="s">
        <v>1077</v>
      </c>
      <c r="K1908">
        <v>1911</v>
      </c>
      <c r="L1908">
        <v>1911</v>
      </c>
      <c r="M1908" t="s">
        <v>228</v>
      </c>
      <c r="N1908" t="s">
        <v>228</v>
      </c>
      <c r="O1908" t="s">
        <v>5847</v>
      </c>
      <c r="P1908" t="s">
        <v>6187</v>
      </c>
      <c r="Q1908" t="str">
        <f>IF($C1908="","",IFERROR(VLOOKUP($C1908,sources!$A$2:$N$200,2,FALSE()),"?"))</f>
        <v>Map</v>
      </c>
      <c r="S1908" t="str">
        <f>IF($C1908="","",IFERROR(VLOOKUP($C1908,sources!$A$2:$N$200,9,FALSE()),"?"))</f>
        <v>US official</v>
      </c>
    </row>
    <row r="1909" spans="1:19" x14ac:dyDescent="0.2">
      <c r="A1909" t="s">
        <v>6188</v>
      </c>
      <c r="B1909" t="s">
        <v>557</v>
      </c>
      <c r="C1909" t="s">
        <v>1187</v>
      </c>
      <c r="D1909" t="s">
        <v>1666</v>
      </c>
      <c r="E1909" t="s">
        <v>558</v>
      </c>
      <c r="F1909" t="s">
        <v>1612</v>
      </c>
      <c r="I1909" t="s">
        <v>1077</v>
      </c>
      <c r="K1909">
        <v>1911</v>
      </c>
      <c r="L1909">
        <v>1911</v>
      </c>
      <c r="M1909" t="s">
        <v>228</v>
      </c>
      <c r="N1909" t="s">
        <v>228</v>
      </c>
      <c r="O1909" t="s">
        <v>5847</v>
      </c>
      <c r="P1909" t="s">
        <v>6189</v>
      </c>
      <c r="Q1909" t="str">
        <f>IF($C1909="","",IFERROR(VLOOKUP($C1909,sources!$A$2:$N$200,2,FALSE()),"?"))</f>
        <v>Map</v>
      </c>
      <c r="S1909" t="str">
        <f>IF($C1909="","",IFERROR(VLOOKUP($C1909,sources!$A$2:$N$200,9,FALSE()),"?"))</f>
        <v>US official</v>
      </c>
    </row>
    <row r="1910" spans="1:19" x14ac:dyDescent="0.2">
      <c r="A1910" t="s">
        <v>6190</v>
      </c>
      <c r="B1910" t="s">
        <v>668</v>
      </c>
      <c r="C1910" t="s">
        <v>1187</v>
      </c>
      <c r="D1910" t="s">
        <v>1666</v>
      </c>
      <c r="E1910" t="s">
        <v>669</v>
      </c>
      <c r="F1910" t="s">
        <v>1612</v>
      </c>
      <c r="I1910" t="s">
        <v>1077</v>
      </c>
      <c r="K1910">
        <v>1911</v>
      </c>
      <c r="L1910">
        <v>1911</v>
      </c>
      <c r="M1910" t="s">
        <v>228</v>
      </c>
      <c r="N1910" t="s">
        <v>209</v>
      </c>
      <c r="O1910" t="s">
        <v>5847</v>
      </c>
      <c r="P1910" t="s">
        <v>6191</v>
      </c>
      <c r="Q1910" t="str">
        <f>IF($C1910="","",IFERROR(VLOOKUP($C1910,sources!$A$2:$N$200,2,FALSE()),"?"))</f>
        <v>Map</v>
      </c>
      <c r="S1910" t="str">
        <f>IF($C1910="","",IFERROR(VLOOKUP($C1910,sources!$A$2:$N$200,9,FALSE()),"?"))</f>
        <v>US official</v>
      </c>
    </row>
    <row r="1911" spans="1:19" x14ac:dyDescent="0.2">
      <c r="A1911" t="s">
        <v>6192</v>
      </c>
      <c r="B1911" t="s">
        <v>692</v>
      </c>
      <c r="C1911" t="s">
        <v>1187</v>
      </c>
      <c r="D1911" t="s">
        <v>1599</v>
      </c>
      <c r="E1911" t="s">
        <v>6193</v>
      </c>
      <c r="F1911" t="s">
        <v>1612</v>
      </c>
      <c r="I1911" t="s">
        <v>1077</v>
      </c>
      <c r="K1911">
        <v>1911</v>
      </c>
      <c r="L1911">
        <v>1911</v>
      </c>
      <c r="M1911" t="s">
        <v>228</v>
      </c>
      <c r="N1911" t="s">
        <v>209</v>
      </c>
      <c r="O1911" t="s">
        <v>5847</v>
      </c>
      <c r="P1911" t="s">
        <v>6194</v>
      </c>
      <c r="Q1911" t="str">
        <f>IF($C1911="","",IFERROR(VLOOKUP($C1911,sources!$A$2:$N$200,2,FALSE()),"?"))</f>
        <v>Map</v>
      </c>
      <c r="S1911" t="str">
        <f>IF($C1911="","",IFERROR(VLOOKUP($C1911,sources!$A$2:$N$200,9,FALSE()),"?"))</f>
        <v>US official</v>
      </c>
    </row>
    <row r="1912" spans="1:19" x14ac:dyDescent="0.2">
      <c r="A1912" t="s">
        <v>6195</v>
      </c>
      <c r="B1912" t="s">
        <v>708</v>
      </c>
      <c r="C1912" t="s">
        <v>1187</v>
      </c>
      <c r="D1912" t="s">
        <v>1666</v>
      </c>
      <c r="E1912" t="s">
        <v>709</v>
      </c>
      <c r="F1912" t="s">
        <v>1612</v>
      </c>
      <c r="I1912" t="s">
        <v>1077</v>
      </c>
      <c r="K1912">
        <v>1911</v>
      </c>
      <c r="L1912">
        <v>1911</v>
      </c>
      <c r="M1912" t="s">
        <v>228</v>
      </c>
      <c r="N1912" t="s">
        <v>228</v>
      </c>
      <c r="O1912" t="s">
        <v>5847</v>
      </c>
      <c r="P1912" t="s">
        <v>6196</v>
      </c>
      <c r="Q1912" t="str">
        <f>IF($C1912="","",IFERROR(VLOOKUP($C1912,sources!$A$2:$N$200,2,FALSE()),"?"))</f>
        <v>Map</v>
      </c>
      <c r="S1912" t="str">
        <f>IF($C1912="","",IFERROR(VLOOKUP($C1912,sources!$A$2:$N$200,9,FALSE()),"?"))</f>
        <v>US official</v>
      </c>
    </row>
    <row r="1913" spans="1:19" x14ac:dyDescent="0.2">
      <c r="A1913" t="s">
        <v>6197</v>
      </c>
      <c r="B1913" t="s">
        <v>802</v>
      </c>
      <c r="C1913" t="s">
        <v>1187</v>
      </c>
      <c r="D1913" t="s">
        <v>1599</v>
      </c>
      <c r="E1913" t="s">
        <v>6198</v>
      </c>
      <c r="F1913" t="s">
        <v>1612</v>
      </c>
      <c r="I1913" t="s">
        <v>1077</v>
      </c>
      <c r="K1913">
        <v>1911</v>
      </c>
      <c r="L1913">
        <v>1911</v>
      </c>
      <c r="M1913" t="s">
        <v>228</v>
      </c>
      <c r="N1913" t="s">
        <v>209</v>
      </c>
      <c r="O1913" t="s">
        <v>5847</v>
      </c>
      <c r="P1913" t="s">
        <v>6199</v>
      </c>
      <c r="Q1913" t="str">
        <f>IF($C1913="","",IFERROR(VLOOKUP($C1913,sources!$A$2:$N$200,2,FALSE()),"?"))</f>
        <v>Map</v>
      </c>
      <c r="S1913" t="str">
        <f>IF($C1913="","",IFERROR(VLOOKUP($C1913,sources!$A$2:$N$200,9,FALSE()),"?"))</f>
        <v>US official</v>
      </c>
    </row>
    <row r="1914" spans="1:19" x14ac:dyDescent="0.2">
      <c r="A1914" t="s">
        <v>6200</v>
      </c>
      <c r="B1914" t="s">
        <v>720</v>
      </c>
      <c r="C1914" t="s">
        <v>1187</v>
      </c>
      <c r="D1914" t="s">
        <v>1666</v>
      </c>
      <c r="E1914" t="s">
        <v>721</v>
      </c>
      <c r="F1914" t="s">
        <v>1612</v>
      </c>
      <c r="I1914" t="s">
        <v>1077</v>
      </c>
      <c r="K1914">
        <v>1911</v>
      </c>
      <c r="L1914">
        <v>1911</v>
      </c>
      <c r="M1914" t="s">
        <v>228</v>
      </c>
      <c r="N1914" t="s">
        <v>228</v>
      </c>
      <c r="O1914" t="s">
        <v>5847</v>
      </c>
      <c r="P1914" t="s">
        <v>6201</v>
      </c>
      <c r="Q1914" t="str">
        <f>IF($C1914="","",IFERROR(VLOOKUP($C1914,sources!$A$2:$N$200,2,FALSE()),"?"))</f>
        <v>Map</v>
      </c>
      <c r="S1914" t="str">
        <f>IF($C1914="","",IFERROR(VLOOKUP($C1914,sources!$A$2:$N$200,9,FALSE()),"?"))</f>
        <v>US official</v>
      </c>
    </row>
    <row r="1915" spans="1:19" x14ac:dyDescent="0.2">
      <c r="A1915" t="s">
        <v>6202</v>
      </c>
      <c r="B1915" t="s">
        <v>752</v>
      </c>
      <c r="C1915" t="s">
        <v>1187</v>
      </c>
      <c r="D1915" t="s">
        <v>1666</v>
      </c>
      <c r="E1915" t="s">
        <v>753</v>
      </c>
      <c r="F1915" t="s">
        <v>1612</v>
      </c>
      <c r="I1915" t="s">
        <v>1077</v>
      </c>
      <c r="K1915">
        <v>1911</v>
      </c>
      <c r="L1915">
        <v>1911</v>
      </c>
      <c r="M1915" t="s">
        <v>228</v>
      </c>
      <c r="N1915" t="s">
        <v>228</v>
      </c>
      <c r="O1915" t="s">
        <v>5847</v>
      </c>
      <c r="P1915" t="s">
        <v>6203</v>
      </c>
      <c r="Q1915" t="str">
        <f>IF($C1915="","",IFERROR(VLOOKUP($C1915,sources!$A$2:$N$200,2,FALSE()),"?"))</f>
        <v>Map</v>
      </c>
      <c r="S1915" t="str">
        <f>IF($C1915="","",IFERROR(VLOOKUP($C1915,sources!$A$2:$N$200,9,FALSE()),"?"))</f>
        <v>US official</v>
      </c>
    </row>
    <row r="1916" spans="1:19" x14ac:dyDescent="0.2">
      <c r="A1916" t="s">
        <v>6204</v>
      </c>
      <c r="B1916" t="s">
        <v>815</v>
      </c>
      <c r="C1916" t="s">
        <v>1187</v>
      </c>
      <c r="D1916" t="s">
        <v>1666</v>
      </c>
      <c r="E1916" t="s">
        <v>816</v>
      </c>
      <c r="F1916" t="s">
        <v>1612</v>
      </c>
      <c r="I1916" t="s">
        <v>1077</v>
      </c>
      <c r="K1916">
        <v>1911</v>
      </c>
      <c r="L1916">
        <v>1911</v>
      </c>
      <c r="M1916" t="s">
        <v>228</v>
      </c>
      <c r="N1916" t="s">
        <v>228</v>
      </c>
      <c r="O1916" t="s">
        <v>5847</v>
      </c>
      <c r="P1916" t="s">
        <v>6205</v>
      </c>
      <c r="Q1916" t="str">
        <f>IF($C1916="","",IFERROR(VLOOKUP($C1916,sources!$A$2:$N$200,2,FALSE()),"?"))</f>
        <v>Map</v>
      </c>
      <c r="S1916" t="str">
        <f>IF($C1916="","",IFERROR(VLOOKUP($C1916,sources!$A$2:$N$200,9,FALSE()),"?"))</f>
        <v>US official</v>
      </c>
    </row>
    <row r="1917" spans="1:19" x14ac:dyDescent="0.2">
      <c r="A1917" t="s">
        <v>6206</v>
      </c>
      <c r="B1917" t="s">
        <v>777</v>
      </c>
      <c r="C1917" t="s">
        <v>1187</v>
      </c>
      <c r="D1917" t="s">
        <v>1599</v>
      </c>
      <c r="E1917" t="s">
        <v>6207</v>
      </c>
      <c r="F1917" t="s">
        <v>1612</v>
      </c>
      <c r="I1917" t="s">
        <v>1077</v>
      </c>
      <c r="K1917">
        <v>1911</v>
      </c>
      <c r="L1917">
        <v>1911</v>
      </c>
      <c r="M1917" t="s">
        <v>228</v>
      </c>
      <c r="N1917" t="s">
        <v>209</v>
      </c>
      <c r="O1917" t="s">
        <v>5847</v>
      </c>
      <c r="P1917" t="s">
        <v>6208</v>
      </c>
      <c r="Q1917" t="str">
        <f>IF($C1917="","",IFERROR(VLOOKUP($C1917,sources!$A$2:$N$200,2,FALSE()),"?"))</f>
        <v>Map</v>
      </c>
      <c r="S1917" t="str">
        <f>IF($C1917="","",IFERROR(VLOOKUP($C1917,sources!$A$2:$N$200,9,FALSE()),"?"))</f>
        <v>US official</v>
      </c>
    </row>
    <row r="1918" spans="1:19" x14ac:dyDescent="0.2">
      <c r="A1918" t="s">
        <v>6209</v>
      </c>
      <c r="B1918" t="s">
        <v>783</v>
      </c>
      <c r="C1918" t="s">
        <v>1187</v>
      </c>
      <c r="D1918" t="s">
        <v>1666</v>
      </c>
      <c r="E1918" t="s">
        <v>784</v>
      </c>
      <c r="F1918" t="s">
        <v>1612</v>
      </c>
      <c r="I1918" t="s">
        <v>1077</v>
      </c>
      <c r="K1918">
        <v>1911</v>
      </c>
      <c r="L1918">
        <v>1911</v>
      </c>
      <c r="M1918" t="s">
        <v>228</v>
      </c>
      <c r="N1918" t="s">
        <v>228</v>
      </c>
      <c r="O1918" t="s">
        <v>5847</v>
      </c>
      <c r="P1918" t="s">
        <v>6210</v>
      </c>
      <c r="Q1918" t="str">
        <f>IF($C1918="","",IFERROR(VLOOKUP($C1918,sources!$A$2:$N$200,2,FALSE()),"?"))</f>
        <v>Map</v>
      </c>
      <c r="S1918" t="str">
        <f>IF($C1918="","",IFERROR(VLOOKUP($C1918,sources!$A$2:$N$200,9,FALSE()),"?"))</f>
        <v>US official</v>
      </c>
    </row>
    <row r="1919" spans="1:19" x14ac:dyDescent="0.2">
      <c r="A1919" t="s">
        <v>6211</v>
      </c>
      <c r="B1919" t="s">
        <v>795</v>
      </c>
      <c r="C1919" t="s">
        <v>1187</v>
      </c>
      <c r="D1919" t="s">
        <v>1666</v>
      </c>
      <c r="E1919" t="s">
        <v>796</v>
      </c>
      <c r="F1919" t="s">
        <v>1612</v>
      </c>
      <c r="I1919" t="s">
        <v>1077</v>
      </c>
      <c r="K1919">
        <v>1911</v>
      </c>
      <c r="L1919">
        <v>1911</v>
      </c>
      <c r="M1919" t="s">
        <v>228</v>
      </c>
      <c r="N1919" t="s">
        <v>222</v>
      </c>
      <c r="O1919" t="s">
        <v>5847</v>
      </c>
      <c r="P1919" t="s">
        <v>6212</v>
      </c>
      <c r="Q1919" t="str">
        <f>IF($C1919="","",IFERROR(VLOOKUP($C1919,sources!$A$2:$N$200,2,FALSE()),"?"))</f>
        <v>Map</v>
      </c>
      <c r="S1919" t="str">
        <f>IF($C1919="","",IFERROR(VLOOKUP($C1919,sources!$A$2:$N$200,9,FALSE()),"?"))</f>
        <v>US official</v>
      </c>
    </row>
    <row r="1920" spans="1:19" x14ac:dyDescent="0.2">
      <c r="A1920" t="s">
        <v>6213</v>
      </c>
      <c r="B1920" t="s">
        <v>951</v>
      </c>
      <c r="C1920" t="s">
        <v>1187</v>
      </c>
      <c r="D1920" t="s">
        <v>1666</v>
      </c>
      <c r="E1920" t="s">
        <v>953</v>
      </c>
      <c r="F1920" t="s">
        <v>1612</v>
      </c>
      <c r="I1920" t="s">
        <v>1077</v>
      </c>
      <c r="K1920">
        <v>1911</v>
      </c>
      <c r="L1920">
        <v>1911</v>
      </c>
      <c r="M1920" t="s">
        <v>228</v>
      </c>
      <c r="N1920" t="s">
        <v>222</v>
      </c>
      <c r="O1920" t="s">
        <v>5847</v>
      </c>
      <c r="P1920" t="s">
        <v>6214</v>
      </c>
      <c r="Q1920" t="str">
        <f>IF($C1920="","",IFERROR(VLOOKUP($C1920,sources!$A$2:$N$200,2,FALSE()),"?"))</f>
        <v>Map</v>
      </c>
      <c r="S1920" t="str">
        <f>IF($C1920="","",IFERROR(VLOOKUP($C1920,sources!$A$2:$N$200,9,FALSE()),"?"))</f>
        <v>US official</v>
      </c>
    </row>
    <row r="1921" spans="1:19" x14ac:dyDescent="0.2">
      <c r="A1921" t="s">
        <v>6215</v>
      </c>
      <c r="B1921" t="s">
        <v>854</v>
      </c>
      <c r="C1921" t="s">
        <v>1187</v>
      </c>
      <c r="D1921" t="s">
        <v>1666</v>
      </c>
      <c r="E1921" t="s">
        <v>855</v>
      </c>
      <c r="F1921" t="s">
        <v>1612</v>
      </c>
      <c r="I1921" t="s">
        <v>1077</v>
      </c>
      <c r="K1921">
        <v>1911</v>
      </c>
      <c r="L1921">
        <v>1911</v>
      </c>
      <c r="M1921" t="s">
        <v>228</v>
      </c>
      <c r="N1921" t="s">
        <v>222</v>
      </c>
      <c r="O1921" t="s">
        <v>5847</v>
      </c>
      <c r="P1921" t="s">
        <v>6216</v>
      </c>
      <c r="Q1921" t="str">
        <f>IF($C1921="","",IFERROR(VLOOKUP($C1921,sources!$A$2:$N$200,2,FALSE()),"?"))</f>
        <v>Map</v>
      </c>
      <c r="S1921" t="str">
        <f>IF($C1921="","",IFERROR(VLOOKUP($C1921,sources!$A$2:$N$200,9,FALSE()),"?"))</f>
        <v>US official</v>
      </c>
    </row>
    <row r="1922" spans="1:19" x14ac:dyDescent="0.2">
      <c r="A1922" t="s">
        <v>6217</v>
      </c>
      <c r="B1922" t="s">
        <v>998</v>
      </c>
      <c r="C1922" t="s">
        <v>1187</v>
      </c>
      <c r="D1922" t="s">
        <v>1599</v>
      </c>
      <c r="E1922" t="s">
        <v>6198</v>
      </c>
      <c r="F1922" t="s">
        <v>1612</v>
      </c>
      <c r="I1922" t="s">
        <v>1077</v>
      </c>
      <c r="K1922">
        <v>1911</v>
      </c>
      <c r="L1922">
        <v>1911</v>
      </c>
      <c r="M1922" t="s">
        <v>228</v>
      </c>
      <c r="N1922" t="s">
        <v>228</v>
      </c>
      <c r="O1922" t="s">
        <v>5847</v>
      </c>
      <c r="P1922" t="s">
        <v>6218</v>
      </c>
      <c r="Q1922" t="str">
        <f>IF($C1922="","",IFERROR(VLOOKUP($C1922,sources!$A$2:$N$200,2,FALSE()),"?"))</f>
        <v>Map</v>
      </c>
      <c r="S1922" t="str">
        <f>IF($C1922="","",IFERROR(VLOOKUP($C1922,sources!$A$2:$N$200,9,FALSE()),"?"))</f>
        <v>US official</v>
      </c>
    </row>
    <row r="1923" spans="1:19" x14ac:dyDescent="0.2">
      <c r="A1923" t="s">
        <v>6219</v>
      </c>
      <c r="B1923" t="s">
        <v>907</v>
      </c>
      <c r="C1923" t="s">
        <v>1187</v>
      </c>
      <c r="D1923" t="s">
        <v>1666</v>
      </c>
      <c r="E1923" t="s">
        <v>908</v>
      </c>
      <c r="F1923" t="s">
        <v>1612</v>
      </c>
      <c r="I1923" t="s">
        <v>1077</v>
      </c>
      <c r="K1923">
        <v>1911</v>
      </c>
      <c r="L1923">
        <v>1911</v>
      </c>
      <c r="M1923" t="s">
        <v>228</v>
      </c>
      <c r="N1923" t="s">
        <v>222</v>
      </c>
      <c r="O1923" t="s">
        <v>5847</v>
      </c>
      <c r="P1923" t="s">
        <v>6220</v>
      </c>
      <c r="Q1923" t="str">
        <f>IF($C1923="","",IFERROR(VLOOKUP($C1923,sources!$A$2:$N$200,2,FALSE()),"?"))</f>
        <v>Map</v>
      </c>
      <c r="S1923" t="str">
        <f>IF($C1923="","",IFERROR(VLOOKUP($C1923,sources!$A$2:$N$200,9,FALSE()),"?"))</f>
        <v>US official</v>
      </c>
    </row>
    <row r="1924" spans="1:19" x14ac:dyDescent="0.2">
      <c r="A1924" t="s">
        <v>6221</v>
      </c>
      <c r="B1924" t="s">
        <v>911</v>
      </c>
      <c r="C1924" t="s">
        <v>1187</v>
      </c>
      <c r="D1924" t="s">
        <v>1666</v>
      </c>
      <c r="E1924" t="s">
        <v>912</v>
      </c>
      <c r="F1924" t="s">
        <v>1612</v>
      </c>
      <c r="I1924" t="s">
        <v>1077</v>
      </c>
      <c r="K1924">
        <v>1911</v>
      </c>
      <c r="L1924">
        <v>1911</v>
      </c>
      <c r="M1924" t="s">
        <v>228</v>
      </c>
      <c r="N1924" t="s">
        <v>222</v>
      </c>
      <c r="O1924" t="s">
        <v>5847</v>
      </c>
      <c r="P1924" t="s">
        <v>6222</v>
      </c>
      <c r="Q1924" t="str">
        <f>IF($C1924="","",IFERROR(VLOOKUP($C1924,sources!$A$2:$N$200,2,FALSE()),"?"))</f>
        <v>Map</v>
      </c>
      <c r="S1924" t="str">
        <f>IF($C1924="","",IFERROR(VLOOKUP($C1924,sources!$A$2:$N$200,9,FALSE()),"?"))</f>
        <v>US official</v>
      </c>
    </row>
    <row r="1925" spans="1:19" x14ac:dyDescent="0.2">
      <c r="A1925" t="s">
        <v>6223</v>
      </c>
      <c r="B1925" t="s">
        <v>947</v>
      </c>
      <c r="C1925" t="s">
        <v>1187</v>
      </c>
      <c r="D1925" t="s">
        <v>1666</v>
      </c>
      <c r="E1925" t="s">
        <v>949</v>
      </c>
      <c r="F1925" t="s">
        <v>1612</v>
      </c>
      <c r="I1925" t="s">
        <v>1077</v>
      </c>
      <c r="K1925">
        <v>1911</v>
      </c>
      <c r="L1925">
        <v>1911</v>
      </c>
      <c r="M1925" t="s">
        <v>228</v>
      </c>
      <c r="N1925" t="s">
        <v>222</v>
      </c>
      <c r="O1925" t="s">
        <v>5847</v>
      </c>
      <c r="P1925" t="s">
        <v>6224</v>
      </c>
      <c r="Q1925" t="str">
        <f>IF($C1925="","",IFERROR(VLOOKUP($C1925,sources!$A$2:$N$200,2,FALSE()),"?"))</f>
        <v>Map</v>
      </c>
      <c r="S1925" t="str">
        <f>IF($C1925="","",IFERROR(VLOOKUP($C1925,sources!$A$2:$N$200,9,FALSE()),"?"))</f>
        <v>US official</v>
      </c>
    </row>
    <row r="1926" spans="1:19" x14ac:dyDescent="0.2">
      <c r="A1926" t="s">
        <v>6225</v>
      </c>
      <c r="B1926" t="s">
        <v>947</v>
      </c>
      <c r="C1926" t="s">
        <v>1187</v>
      </c>
      <c r="D1926" t="s">
        <v>1666</v>
      </c>
      <c r="E1926" t="s">
        <v>948</v>
      </c>
      <c r="F1926" t="s">
        <v>1612</v>
      </c>
      <c r="I1926" t="s">
        <v>1077</v>
      </c>
      <c r="K1926">
        <v>1911</v>
      </c>
      <c r="L1926">
        <v>1911</v>
      </c>
      <c r="M1926" t="s">
        <v>228</v>
      </c>
      <c r="N1926" t="s">
        <v>222</v>
      </c>
      <c r="O1926" t="s">
        <v>5847</v>
      </c>
      <c r="P1926" t="s">
        <v>6226</v>
      </c>
      <c r="Q1926" t="str">
        <f>IF($C1926="","",IFERROR(VLOOKUP($C1926,sources!$A$2:$N$200,2,FALSE()),"?"))</f>
        <v>Map</v>
      </c>
      <c r="S1926" t="str">
        <f>IF($C1926="","",IFERROR(VLOOKUP($C1926,sources!$A$2:$N$200,9,FALSE()),"?"))</f>
        <v>US official</v>
      </c>
    </row>
    <row r="1927" spans="1:19" x14ac:dyDescent="0.2">
      <c r="A1927" t="s">
        <v>6227</v>
      </c>
      <c r="B1927" t="s">
        <v>915</v>
      </c>
      <c r="C1927" t="s">
        <v>1187</v>
      </c>
      <c r="D1927" t="s">
        <v>1585</v>
      </c>
      <c r="E1927" t="s">
        <v>6228</v>
      </c>
      <c r="F1927" t="s">
        <v>1612</v>
      </c>
      <c r="I1927" t="s">
        <v>1077</v>
      </c>
      <c r="K1927">
        <v>1911</v>
      </c>
      <c r="L1927">
        <v>1911</v>
      </c>
      <c r="M1927" t="s">
        <v>228</v>
      </c>
      <c r="N1927" t="s">
        <v>228</v>
      </c>
      <c r="O1927" t="s">
        <v>5847</v>
      </c>
      <c r="P1927" t="s">
        <v>6229</v>
      </c>
      <c r="Q1927" t="str">
        <f>IF($C1927="","",IFERROR(VLOOKUP($C1927,sources!$A$2:$N$200,2,FALSE()),"?"))</f>
        <v>Map</v>
      </c>
      <c r="S1927" t="str">
        <f>IF($C1927="","",IFERROR(VLOOKUP($C1927,sources!$A$2:$N$200,9,FALSE()),"?"))</f>
        <v>US official</v>
      </c>
    </row>
    <row r="1928" spans="1:19" x14ac:dyDescent="0.2">
      <c r="A1928" t="s">
        <v>6230</v>
      </c>
      <c r="B1928" t="s">
        <v>918</v>
      </c>
      <c r="C1928" t="s">
        <v>1187</v>
      </c>
      <c r="D1928" t="s">
        <v>1585</v>
      </c>
      <c r="E1928" t="s">
        <v>6231</v>
      </c>
      <c r="F1928" t="s">
        <v>1612</v>
      </c>
      <c r="I1928" t="s">
        <v>1077</v>
      </c>
      <c r="K1928">
        <v>1911</v>
      </c>
      <c r="L1928">
        <v>1911</v>
      </c>
      <c r="M1928" t="s">
        <v>228</v>
      </c>
      <c r="N1928" t="s">
        <v>222</v>
      </c>
      <c r="O1928" t="s">
        <v>5847</v>
      </c>
      <c r="P1928" t="s">
        <v>6232</v>
      </c>
      <c r="Q1928" t="str">
        <f>IF($C1928="","",IFERROR(VLOOKUP($C1928,sources!$A$2:$N$200,2,FALSE()),"?"))</f>
        <v>Map</v>
      </c>
      <c r="S1928" t="str">
        <f>IF($C1928="","",IFERROR(VLOOKUP($C1928,sources!$A$2:$N$200,9,FALSE()),"?"))</f>
        <v>US official</v>
      </c>
    </row>
    <row r="1929" spans="1:19" x14ac:dyDescent="0.2">
      <c r="A1929" t="s">
        <v>6233</v>
      </c>
      <c r="B1929" t="s">
        <v>921</v>
      </c>
      <c r="C1929" t="s">
        <v>1187</v>
      </c>
      <c r="D1929" t="s">
        <v>1666</v>
      </c>
      <c r="E1929" t="s">
        <v>922</v>
      </c>
      <c r="F1929" t="s">
        <v>1612</v>
      </c>
      <c r="I1929" t="s">
        <v>1077</v>
      </c>
      <c r="K1929">
        <v>1911</v>
      </c>
      <c r="L1929">
        <v>1911</v>
      </c>
      <c r="M1929" t="s">
        <v>228</v>
      </c>
      <c r="N1929" t="s">
        <v>228</v>
      </c>
      <c r="O1929" t="s">
        <v>5847</v>
      </c>
      <c r="P1929" t="s">
        <v>6234</v>
      </c>
      <c r="Q1929" t="str">
        <f>IF($C1929="","",IFERROR(VLOOKUP($C1929,sources!$A$2:$N$200,2,FALSE()),"?"))</f>
        <v>Map</v>
      </c>
      <c r="S1929" t="str">
        <f>IF($C1929="","",IFERROR(VLOOKUP($C1929,sources!$A$2:$N$200,9,FALSE()),"?"))</f>
        <v>US official</v>
      </c>
    </row>
    <row r="1930" spans="1:19" x14ac:dyDescent="0.2">
      <c r="A1930" t="s">
        <v>6235</v>
      </c>
      <c r="B1930" t="s">
        <v>925</v>
      </c>
      <c r="C1930" t="s">
        <v>1187</v>
      </c>
      <c r="D1930" t="s">
        <v>1666</v>
      </c>
      <c r="E1930" t="s">
        <v>926</v>
      </c>
      <c r="F1930" t="s">
        <v>1612</v>
      </c>
      <c r="I1930" t="s">
        <v>1077</v>
      </c>
      <c r="K1930">
        <v>1911</v>
      </c>
      <c r="L1930">
        <v>1911</v>
      </c>
      <c r="M1930" t="s">
        <v>228</v>
      </c>
      <c r="N1930" t="s">
        <v>222</v>
      </c>
      <c r="O1930" t="s">
        <v>5847</v>
      </c>
      <c r="P1930" t="s">
        <v>6236</v>
      </c>
      <c r="Q1930" t="str">
        <f>IF($C1930="","",IFERROR(VLOOKUP($C1930,sources!$A$2:$N$200,2,FALSE()),"?"))</f>
        <v>Map</v>
      </c>
      <c r="S1930" t="str">
        <f>IF($C1930="","",IFERROR(VLOOKUP($C1930,sources!$A$2:$N$200,9,FALSE()),"?"))</f>
        <v>US official</v>
      </c>
    </row>
    <row r="1931" spans="1:19" x14ac:dyDescent="0.2">
      <c r="A1931" t="s">
        <v>6237</v>
      </c>
      <c r="B1931" t="s">
        <v>929</v>
      </c>
      <c r="C1931" t="s">
        <v>1187</v>
      </c>
      <c r="D1931" t="s">
        <v>1585</v>
      </c>
      <c r="E1931" t="s">
        <v>6238</v>
      </c>
      <c r="F1931" t="s">
        <v>1612</v>
      </c>
      <c r="I1931" t="s">
        <v>1077</v>
      </c>
      <c r="K1931">
        <v>1911</v>
      </c>
      <c r="L1931">
        <v>1911</v>
      </c>
      <c r="M1931" t="s">
        <v>228</v>
      </c>
      <c r="N1931" t="s">
        <v>222</v>
      </c>
      <c r="O1931" t="s">
        <v>5847</v>
      </c>
      <c r="P1931" t="s">
        <v>6239</v>
      </c>
      <c r="Q1931" t="str">
        <f>IF($C1931="","",IFERROR(VLOOKUP($C1931,sources!$A$2:$N$200,2,FALSE()),"?"))</f>
        <v>Map</v>
      </c>
      <c r="S1931" t="str">
        <f>IF($C1931="","",IFERROR(VLOOKUP($C1931,sources!$A$2:$N$200,9,FALSE()),"?"))</f>
        <v>US official</v>
      </c>
    </row>
    <row r="1932" spans="1:19" x14ac:dyDescent="0.2">
      <c r="A1932" t="s">
        <v>6240</v>
      </c>
      <c r="B1932" t="s">
        <v>929</v>
      </c>
      <c r="C1932" t="s">
        <v>1187</v>
      </c>
      <c r="D1932" t="s">
        <v>1666</v>
      </c>
      <c r="E1932" t="s">
        <v>6241</v>
      </c>
      <c r="F1932" t="s">
        <v>1612</v>
      </c>
      <c r="I1932" t="s">
        <v>1077</v>
      </c>
      <c r="K1932">
        <v>1911</v>
      </c>
      <c r="L1932">
        <v>1911</v>
      </c>
      <c r="M1932" t="s">
        <v>228</v>
      </c>
      <c r="N1932" t="s">
        <v>222</v>
      </c>
      <c r="O1932" t="s">
        <v>5847</v>
      </c>
      <c r="P1932" t="s">
        <v>6242</v>
      </c>
      <c r="Q1932" t="str">
        <f>IF($C1932="","",IFERROR(VLOOKUP($C1932,sources!$A$2:$N$200,2,FALSE()),"?"))</f>
        <v>Map</v>
      </c>
      <c r="S1932" t="str">
        <f>IF($C1932="","",IFERROR(VLOOKUP($C1932,sources!$A$2:$N$200,9,FALSE()),"?"))</f>
        <v>US official</v>
      </c>
    </row>
    <row r="1933" spans="1:19" x14ac:dyDescent="0.2">
      <c r="A1933" t="s">
        <v>6243</v>
      </c>
      <c r="B1933" t="s">
        <v>933</v>
      </c>
      <c r="C1933" t="s">
        <v>1187</v>
      </c>
      <c r="D1933" t="s">
        <v>1666</v>
      </c>
      <c r="E1933" t="s">
        <v>934</v>
      </c>
      <c r="F1933" t="s">
        <v>1612</v>
      </c>
      <c r="I1933" t="s">
        <v>1077</v>
      </c>
      <c r="K1933">
        <v>1911</v>
      </c>
      <c r="L1933">
        <v>1911</v>
      </c>
      <c r="M1933" t="s">
        <v>228</v>
      </c>
      <c r="N1933" t="s">
        <v>222</v>
      </c>
      <c r="O1933" t="s">
        <v>5847</v>
      </c>
      <c r="P1933" t="s">
        <v>6244</v>
      </c>
      <c r="Q1933" t="str">
        <f>IF($C1933="","",IFERROR(VLOOKUP($C1933,sources!$A$2:$N$200,2,FALSE()),"?"))</f>
        <v>Map</v>
      </c>
      <c r="S1933" t="str">
        <f>IF($C1933="","",IFERROR(VLOOKUP($C1933,sources!$A$2:$N$200,9,FALSE()),"?"))</f>
        <v>US official</v>
      </c>
    </row>
    <row r="1934" spans="1:19" x14ac:dyDescent="0.2">
      <c r="A1934" t="s">
        <v>6245</v>
      </c>
      <c r="B1934" t="s">
        <v>936</v>
      </c>
      <c r="C1934" t="s">
        <v>1187</v>
      </c>
      <c r="D1934" t="s">
        <v>1666</v>
      </c>
      <c r="E1934" t="s">
        <v>937</v>
      </c>
      <c r="F1934" t="s">
        <v>1612</v>
      </c>
      <c r="I1934" t="s">
        <v>1077</v>
      </c>
      <c r="K1934">
        <v>1911</v>
      </c>
      <c r="L1934">
        <v>1911</v>
      </c>
      <c r="M1934" t="s">
        <v>228</v>
      </c>
      <c r="N1934" t="s">
        <v>222</v>
      </c>
      <c r="O1934" t="s">
        <v>5847</v>
      </c>
      <c r="P1934" t="s">
        <v>6246</v>
      </c>
      <c r="Q1934" t="str">
        <f>IF($C1934="","",IFERROR(VLOOKUP($C1934,sources!$A$2:$N$200,2,FALSE()),"?"))</f>
        <v>Map</v>
      </c>
      <c r="S1934" t="str">
        <f>IF($C1934="","",IFERROR(VLOOKUP($C1934,sources!$A$2:$N$200,9,FALSE()),"?"))</f>
        <v>US official</v>
      </c>
    </row>
    <row r="1935" spans="1:19" x14ac:dyDescent="0.2">
      <c r="A1935" t="s">
        <v>6247</v>
      </c>
      <c r="B1935" t="s">
        <v>939</v>
      </c>
      <c r="C1935" t="s">
        <v>1187</v>
      </c>
      <c r="D1935" t="s">
        <v>1585</v>
      </c>
      <c r="E1935" t="s">
        <v>6248</v>
      </c>
      <c r="F1935" t="s">
        <v>1612</v>
      </c>
      <c r="I1935" t="s">
        <v>1077</v>
      </c>
      <c r="K1935">
        <v>1911</v>
      </c>
      <c r="L1935">
        <v>1911</v>
      </c>
      <c r="M1935" t="s">
        <v>228</v>
      </c>
      <c r="N1935" t="s">
        <v>222</v>
      </c>
      <c r="O1935" t="s">
        <v>5847</v>
      </c>
      <c r="P1935" t="s">
        <v>6249</v>
      </c>
      <c r="Q1935" t="str">
        <f>IF($C1935="","",IFERROR(VLOOKUP($C1935,sources!$A$2:$N$200,2,FALSE()),"?"))</f>
        <v>Map</v>
      </c>
      <c r="S1935" t="str">
        <f>IF($C1935="","",IFERROR(VLOOKUP($C1935,sources!$A$2:$N$200,9,FALSE()),"?"))</f>
        <v>US official</v>
      </c>
    </row>
    <row r="1936" spans="1:19" x14ac:dyDescent="0.2">
      <c r="A1936" t="s">
        <v>6250</v>
      </c>
      <c r="B1936" t="s">
        <v>943</v>
      </c>
      <c r="C1936" t="s">
        <v>1187</v>
      </c>
      <c r="D1936" t="s">
        <v>1666</v>
      </c>
      <c r="E1936" t="s">
        <v>944</v>
      </c>
      <c r="F1936" t="s">
        <v>1612</v>
      </c>
      <c r="I1936" t="s">
        <v>1077</v>
      </c>
      <c r="K1936">
        <v>1911</v>
      </c>
      <c r="L1936">
        <v>1911</v>
      </c>
      <c r="M1936" t="s">
        <v>228</v>
      </c>
      <c r="N1936" t="s">
        <v>222</v>
      </c>
      <c r="O1936" t="s">
        <v>5847</v>
      </c>
      <c r="P1936" t="s">
        <v>6251</v>
      </c>
      <c r="Q1936" t="str">
        <f>IF($C1936="","",IFERROR(VLOOKUP($C1936,sources!$A$2:$N$200,2,FALSE()),"?"))</f>
        <v>Map</v>
      </c>
      <c r="S1936" t="str">
        <f>IF($C1936="","",IFERROR(VLOOKUP($C1936,sources!$A$2:$N$200,9,FALSE()),"?"))</f>
        <v>US official</v>
      </c>
    </row>
    <row r="1937" spans="1:19" x14ac:dyDescent="0.2">
      <c r="A1937" t="s">
        <v>6252</v>
      </c>
      <c r="B1937" t="s">
        <v>529</v>
      </c>
      <c r="C1937" t="s">
        <v>1375</v>
      </c>
      <c r="D1937" t="s">
        <v>1666</v>
      </c>
      <c r="E1937" t="s">
        <v>6253</v>
      </c>
      <c r="F1937" t="s">
        <v>1612</v>
      </c>
      <c r="I1937" t="s">
        <v>1077</v>
      </c>
      <c r="K1937">
        <v>1947</v>
      </c>
      <c r="L1937">
        <v>1947</v>
      </c>
      <c r="M1937" t="s">
        <v>228</v>
      </c>
      <c r="N1937" t="s">
        <v>222</v>
      </c>
      <c r="O1937" t="s">
        <v>5847</v>
      </c>
      <c r="P1937" t="s">
        <v>6254</v>
      </c>
      <c r="Q1937" t="str">
        <f>IF($C1937="","",IFERROR(VLOOKUP($C1937,sources!$A$2:$N$200,2,FALSE()),"?"))</f>
        <v>Map</v>
      </c>
      <c r="S1937" t="str">
        <f>IF($C1937="","",IFERROR(VLOOKUP($C1937,sources!$A$2:$N$200,9,FALSE()),"?"))</f>
        <v>US official</v>
      </c>
    </row>
    <row r="1938" spans="1:19" x14ac:dyDescent="0.2">
      <c r="A1938" t="s">
        <v>6255</v>
      </c>
      <c r="B1938" t="s">
        <v>820</v>
      </c>
      <c r="C1938" t="s">
        <v>1198</v>
      </c>
      <c r="D1938" t="s">
        <v>1599</v>
      </c>
      <c r="E1938" t="s">
        <v>6256</v>
      </c>
      <c r="F1938" t="s">
        <v>1612</v>
      </c>
      <c r="I1938" t="s">
        <v>1077</v>
      </c>
      <c r="K1938">
        <v>1909</v>
      </c>
      <c r="L1938">
        <v>1909</v>
      </c>
      <c r="M1938" t="s">
        <v>228</v>
      </c>
      <c r="N1938" t="s">
        <v>228</v>
      </c>
      <c r="O1938" t="s">
        <v>5847</v>
      </c>
      <c r="P1938" t="s">
        <v>6257</v>
      </c>
      <c r="Q1938" t="str">
        <f>IF($C1938="","",IFERROR(VLOOKUP($C1938,sources!$A$2:$N$200,2,FALSE()),"?"))</f>
        <v>Map</v>
      </c>
      <c r="S1938" t="str">
        <f>IF($C1938="","",IFERROR(VLOOKUP($C1938,sources!$A$2:$N$200,9,FALSE()),"?"))</f>
        <v>US official</v>
      </c>
    </row>
    <row r="1939" spans="1:19" x14ac:dyDescent="0.2">
      <c r="A1939" t="s">
        <v>6258</v>
      </c>
      <c r="B1939" t="s">
        <v>566</v>
      </c>
      <c r="C1939" t="s">
        <v>1198</v>
      </c>
      <c r="D1939" t="s">
        <v>1666</v>
      </c>
      <c r="E1939" t="s">
        <v>567</v>
      </c>
      <c r="F1939" t="s">
        <v>1612</v>
      </c>
      <c r="I1939" t="s">
        <v>1077</v>
      </c>
      <c r="K1939">
        <v>1909</v>
      </c>
      <c r="L1939">
        <v>1909</v>
      </c>
      <c r="M1939" t="s">
        <v>228</v>
      </c>
      <c r="N1939" t="s">
        <v>222</v>
      </c>
      <c r="O1939" t="s">
        <v>5847</v>
      </c>
      <c r="P1939" t="s">
        <v>6259</v>
      </c>
      <c r="Q1939" t="str">
        <f>IF($C1939="","",IFERROR(VLOOKUP($C1939,sources!$A$2:$N$200,2,FALSE()),"?"))</f>
        <v>Map</v>
      </c>
      <c r="S1939" t="str">
        <f>IF($C1939="","",IFERROR(VLOOKUP($C1939,sources!$A$2:$N$200,9,FALSE()),"?"))</f>
        <v>US official</v>
      </c>
    </row>
    <row r="1940" spans="1:19" x14ac:dyDescent="0.2">
      <c r="A1940" t="s">
        <v>6260</v>
      </c>
      <c r="B1940" t="s">
        <v>824</v>
      </c>
      <c r="C1940" t="s">
        <v>1198</v>
      </c>
      <c r="D1940" t="s">
        <v>1666</v>
      </c>
      <c r="E1940" t="s">
        <v>825</v>
      </c>
      <c r="F1940" t="s">
        <v>1612</v>
      </c>
      <c r="I1940" t="s">
        <v>1077</v>
      </c>
      <c r="K1940">
        <v>1909</v>
      </c>
      <c r="L1940">
        <v>1909</v>
      </c>
      <c r="M1940" t="s">
        <v>228</v>
      </c>
      <c r="N1940" t="s">
        <v>228</v>
      </c>
      <c r="O1940" t="s">
        <v>5847</v>
      </c>
      <c r="P1940" t="s">
        <v>6261</v>
      </c>
      <c r="Q1940" t="str">
        <f>IF($C1940="","",IFERROR(VLOOKUP($C1940,sources!$A$2:$N$200,2,FALSE()),"?"))</f>
        <v>Map</v>
      </c>
      <c r="S1940" t="str">
        <f>IF($C1940="","",IFERROR(VLOOKUP($C1940,sources!$A$2:$N$200,9,FALSE()),"?"))</f>
        <v>US official</v>
      </c>
    </row>
    <row r="1941" spans="1:19" x14ac:dyDescent="0.2">
      <c r="A1941" t="s">
        <v>6262</v>
      </c>
      <c r="B1941" t="s">
        <v>990</v>
      </c>
      <c r="C1941" t="s">
        <v>1198</v>
      </c>
      <c r="D1941" t="s">
        <v>1666</v>
      </c>
      <c r="E1941" t="s">
        <v>991</v>
      </c>
      <c r="F1941" t="s">
        <v>1612</v>
      </c>
      <c r="I1941" t="s">
        <v>1077</v>
      </c>
      <c r="K1941">
        <v>1909</v>
      </c>
      <c r="L1941">
        <v>1909</v>
      </c>
      <c r="M1941" t="s">
        <v>228</v>
      </c>
      <c r="N1941" t="s">
        <v>228</v>
      </c>
      <c r="O1941" t="s">
        <v>5847</v>
      </c>
      <c r="P1941" t="s">
        <v>6263</v>
      </c>
      <c r="Q1941" t="str">
        <f>IF($C1941="","",IFERROR(VLOOKUP($C1941,sources!$A$2:$N$200,2,FALSE()),"?"))</f>
        <v>Map</v>
      </c>
      <c r="S1941" t="str">
        <f>IF($C1941="","",IFERROR(VLOOKUP($C1941,sources!$A$2:$N$200,9,FALSE()),"?"))</f>
        <v>US official</v>
      </c>
    </row>
    <row r="1942" spans="1:19" x14ac:dyDescent="0.2">
      <c r="A1942" t="s">
        <v>6264</v>
      </c>
      <c r="B1942" t="s">
        <v>955</v>
      </c>
      <c r="C1942" t="s">
        <v>1198</v>
      </c>
      <c r="D1942" t="s">
        <v>1599</v>
      </c>
      <c r="E1942" t="s">
        <v>6265</v>
      </c>
      <c r="F1942" t="s">
        <v>1612</v>
      </c>
      <c r="I1942" t="s">
        <v>1077</v>
      </c>
      <c r="K1942">
        <v>1909</v>
      </c>
      <c r="L1942">
        <v>1909</v>
      </c>
      <c r="M1942" t="s">
        <v>228</v>
      </c>
      <c r="N1942" t="s">
        <v>228</v>
      </c>
      <c r="O1942" t="s">
        <v>5847</v>
      </c>
      <c r="P1942" t="s">
        <v>6266</v>
      </c>
      <c r="Q1942" t="str">
        <f>IF($C1942="","",IFERROR(VLOOKUP($C1942,sources!$A$2:$N$200,2,FALSE()),"?"))</f>
        <v>Map</v>
      </c>
      <c r="S1942" t="str">
        <f>IF($C1942="","",IFERROR(VLOOKUP($C1942,sources!$A$2:$N$200,9,FALSE()),"?"))</f>
        <v>US official</v>
      </c>
    </row>
    <row r="1943" spans="1:19" x14ac:dyDescent="0.2">
      <c r="A1943" t="s">
        <v>6267</v>
      </c>
      <c r="B1943" t="s">
        <v>974</v>
      </c>
      <c r="C1943" t="s">
        <v>1198</v>
      </c>
      <c r="D1943" t="s">
        <v>1666</v>
      </c>
      <c r="E1943" t="s">
        <v>5928</v>
      </c>
      <c r="F1943" t="s">
        <v>1612</v>
      </c>
      <c r="I1943" t="s">
        <v>1077</v>
      </c>
      <c r="K1943">
        <v>1909</v>
      </c>
      <c r="L1943">
        <v>1909</v>
      </c>
      <c r="M1943" t="s">
        <v>228</v>
      </c>
      <c r="N1943" t="s">
        <v>228</v>
      </c>
      <c r="O1943" t="s">
        <v>5847</v>
      </c>
      <c r="P1943" t="s">
        <v>6268</v>
      </c>
      <c r="Q1943" t="str">
        <f>IF($C1943="","",IFERROR(VLOOKUP($C1943,sources!$A$2:$N$200,2,FALSE()),"?"))</f>
        <v>Map</v>
      </c>
      <c r="S1943" t="str">
        <f>IF($C1943="","",IFERROR(VLOOKUP($C1943,sources!$A$2:$N$200,9,FALSE()),"?"))</f>
        <v>US official</v>
      </c>
    </row>
    <row r="1944" spans="1:19" x14ac:dyDescent="0.2">
      <c r="A1944" t="s">
        <v>6269</v>
      </c>
      <c r="B1944" t="s">
        <v>978</v>
      </c>
      <c r="C1944" t="s">
        <v>1198</v>
      </c>
      <c r="D1944" t="s">
        <v>1666</v>
      </c>
      <c r="E1944" t="s">
        <v>979</v>
      </c>
      <c r="F1944" t="s">
        <v>1612</v>
      </c>
      <c r="I1944" t="s">
        <v>1077</v>
      </c>
      <c r="K1944">
        <v>1909</v>
      </c>
      <c r="L1944">
        <v>1909</v>
      </c>
      <c r="M1944" t="s">
        <v>228</v>
      </c>
      <c r="N1944" t="s">
        <v>228</v>
      </c>
      <c r="O1944" t="s">
        <v>5847</v>
      </c>
      <c r="P1944" t="s">
        <v>6270</v>
      </c>
      <c r="Q1944" t="str">
        <f>IF($C1944="","",IFERROR(VLOOKUP($C1944,sources!$A$2:$N$200,2,FALSE()),"?"))</f>
        <v>Map</v>
      </c>
      <c r="S1944" t="str">
        <f>IF($C1944="","",IFERROR(VLOOKUP($C1944,sources!$A$2:$N$200,9,FALSE()),"?"))</f>
        <v>US official</v>
      </c>
    </row>
    <row r="1945" spans="1:19" x14ac:dyDescent="0.2">
      <c r="A1945" t="s">
        <v>6271</v>
      </c>
      <c r="B1945" t="s">
        <v>981</v>
      </c>
      <c r="C1945" t="s">
        <v>1198</v>
      </c>
      <c r="D1945" t="s">
        <v>1666</v>
      </c>
      <c r="E1945" t="s">
        <v>982</v>
      </c>
      <c r="F1945" t="s">
        <v>1612</v>
      </c>
      <c r="I1945" t="s">
        <v>1077</v>
      </c>
      <c r="K1945">
        <v>1909</v>
      </c>
      <c r="L1945">
        <v>1909</v>
      </c>
      <c r="M1945" t="s">
        <v>228</v>
      </c>
      <c r="N1945" t="s">
        <v>228</v>
      </c>
      <c r="O1945" t="s">
        <v>5847</v>
      </c>
      <c r="P1945" t="s">
        <v>6272</v>
      </c>
      <c r="Q1945" t="str">
        <f>IF($C1945="","",IFERROR(VLOOKUP($C1945,sources!$A$2:$N$200,2,FALSE()),"?"))</f>
        <v>Map</v>
      </c>
      <c r="S1945" t="str">
        <f>IF($C1945="","",IFERROR(VLOOKUP($C1945,sources!$A$2:$N$200,9,FALSE()),"?"))</f>
        <v>US official</v>
      </c>
    </row>
    <row r="1946" spans="1:19" x14ac:dyDescent="0.2">
      <c r="A1946" t="s">
        <v>6273</v>
      </c>
      <c r="B1946" t="s">
        <v>985</v>
      </c>
      <c r="C1946" t="s">
        <v>1198</v>
      </c>
      <c r="D1946" t="s">
        <v>1666</v>
      </c>
      <c r="E1946" t="s">
        <v>986</v>
      </c>
      <c r="F1946" t="s">
        <v>1612</v>
      </c>
      <c r="I1946" t="s">
        <v>1077</v>
      </c>
      <c r="K1946">
        <v>1909</v>
      </c>
      <c r="L1946">
        <v>1909</v>
      </c>
      <c r="M1946" t="s">
        <v>228</v>
      </c>
      <c r="N1946" t="s">
        <v>209</v>
      </c>
      <c r="O1946" t="s">
        <v>5847</v>
      </c>
      <c r="P1946" t="s">
        <v>6274</v>
      </c>
      <c r="Q1946" t="str">
        <f>IF($C1946="","",IFERROR(VLOOKUP($C1946,sources!$A$2:$N$200,2,FALSE()),"?"))</f>
        <v>Map</v>
      </c>
      <c r="S1946" t="str">
        <f>IF($C1946="","",IFERROR(VLOOKUP($C1946,sources!$A$2:$N$200,9,FALSE()),"?"))</f>
        <v>US official</v>
      </c>
    </row>
    <row r="1947" spans="1:19" x14ac:dyDescent="0.2">
      <c r="A1947" t="s">
        <v>6275</v>
      </c>
      <c r="B1947" t="s">
        <v>957</v>
      </c>
      <c r="C1947" t="s">
        <v>1198</v>
      </c>
      <c r="D1947" t="s">
        <v>1666</v>
      </c>
      <c r="E1947" t="s">
        <v>958</v>
      </c>
      <c r="F1947" t="s">
        <v>1612</v>
      </c>
      <c r="I1947" t="s">
        <v>1077</v>
      </c>
      <c r="K1947">
        <v>1909</v>
      </c>
      <c r="L1947">
        <v>1909</v>
      </c>
      <c r="M1947" t="s">
        <v>228</v>
      </c>
      <c r="N1947" t="s">
        <v>228</v>
      </c>
      <c r="O1947" t="s">
        <v>5847</v>
      </c>
      <c r="P1947" t="s">
        <v>6272</v>
      </c>
      <c r="Q1947" t="str">
        <f>IF($C1947="","",IFERROR(VLOOKUP($C1947,sources!$A$2:$N$200,2,FALSE()),"?"))</f>
        <v>Map</v>
      </c>
      <c r="S1947" t="str">
        <f>IF($C1947="","",IFERROR(VLOOKUP($C1947,sources!$A$2:$N$200,9,FALSE()),"?"))</f>
        <v>US official</v>
      </c>
    </row>
    <row r="1948" spans="1:19" x14ac:dyDescent="0.2">
      <c r="A1948" t="s">
        <v>6276</v>
      </c>
      <c r="B1948" t="s">
        <v>962</v>
      </c>
      <c r="C1948" t="s">
        <v>1198</v>
      </c>
      <c r="D1948" t="s">
        <v>1666</v>
      </c>
      <c r="E1948" t="s">
        <v>963</v>
      </c>
      <c r="F1948" t="s">
        <v>1612</v>
      </c>
      <c r="I1948" t="s">
        <v>1077</v>
      </c>
      <c r="K1948">
        <v>1909</v>
      </c>
      <c r="L1948">
        <v>1909</v>
      </c>
      <c r="M1948" t="s">
        <v>228</v>
      </c>
      <c r="N1948" t="s">
        <v>228</v>
      </c>
      <c r="O1948" t="s">
        <v>5847</v>
      </c>
      <c r="P1948" t="s">
        <v>6272</v>
      </c>
      <c r="Q1948" t="str">
        <f>IF($C1948="","",IFERROR(VLOOKUP($C1948,sources!$A$2:$N$200,2,FALSE()),"?"))</f>
        <v>Map</v>
      </c>
      <c r="S1948" t="str">
        <f>IF($C1948="","",IFERROR(VLOOKUP($C1948,sources!$A$2:$N$200,9,FALSE()),"?"))</f>
        <v>US official</v>
      </c>
    </row>
    <row r="1949" spans="1:19" x14ac:dyDescent="0.2">
      <c r="A1949" t="s">
        <v>6277</v>
      </c>
      <c r="B1949" t="s">
        <v>966</v>
      </c>
      <c r="C1949" t="s">
        <v>1198</v>
      </c>
      <c r="D1949" t="s">
        <v>1666</v>
      </c>
      <c r="E1949" t="s">
        <v>967</v>
      </c>
      <c r="F1949" t="s">
        <v>1612</v>
      </c>
      <c r="I1949" t="s">
        <v>1077</v>
      </c>
      <c r="K1949">
        <v>1909</v>
      </c>
      <c r="L1949">
        <v>1909</v>
      </c>
      <c r="M1949" t="s">
        <v>228</v>
      </c>
      <c r="N1949" t="s">
        <v>228</v>
      </c>
      <c r="O1949" t="s">
        <v>5847</v>
      </c>
      <c r="P1949" t="s">
        <v>6278</v>
      </c>
      <c r="Q1949" t="str">
        <f>IF($C1949="","",IFERROR(VLOOKUP($C1949,sources!$A$2:$N$200,2,FALSE()),"?"))</f>
        <v>Map</v>
      </c>
      <c r="S1949" t="str">
        <f>IF($C1949="","",IFERROR(VLOOKUP($C1949,sources!$A$2:$N$200,9,FALSE()),"?"))</f>
        <v>US official</v>
      </c>
    </row>
    <row r="1950" spans="1:19" x14ac:dyDescent="0.2">
      <c r="A1950" t="s">
        <v>6279</v>
      </c>
      <c r="B1950" t="s">
        <v>827</v>
      </c>
      <c r="C1950" t="s">
        <v>1198</v>
      </c>
      <c r="D1950" t="s">
        <v>1666</v>
      </c>
      <c r="E1950" t="s">
        <v>828</v>
      </c>
      <c r="F1950" t="s">
        <v>1612</v>
      </c>
      <c r="I1950" t="s">
        <v>1077</v>
      </c>
      <c r="K1950">
        <v>1909</v>
      </c>
      <c r="L1950">
        <v>1909</v>
      </c>
      <c r="M1950" t="s">
        <v>228</v>
      </c>
      <c r="N1950" t="s">
        <v>228</v>
      </c>
      <c r="O1950" t="s">
        <v>5847</v>
      </c>
      <c r="P1950" t="s">
        <v>6280</v>
      </c>
      <c r="Q1950" t="str">
        <f>IF($C1950="","",IFERROR(VLOOKUP($C1950,sources!$A$2:$N$200,2,FALSE()),"?"))</f>
        <v>Map</v>
      </c>
      <c r="S1950" t="str">
        <f>IF($C1950="","",IFERROR(VLOOKUP($C1950,sources!$A$2:$N$200,9,FALSE()),"?"))</f>
        <v>US official</v>
      </c>
    </row>
    <row r="1951" spans="1:19" x14ac:dyDescent="0.2">
      <c r="A1951" t="s">
        <v>6281</v>
      </c>
      <c r="B1951" t="s">
        <v>921</v>
      </c>
      <c r="C1951" t="s">
        <v>1198</v>
      </c>
      <c r="D1951" t="s">
        <v>1666</v>
      </c>
      <c r="E1951" t="s">
        <v>922</v>
      </c>
      <c r="F1951" t="s">
        <v>1612</v>
      </c>
      <c r="I1951" t="s">
        <v>1077</v>
      </c>
      <c r="K1951">
        <v>1909</v>
      </c>
      <c r="L1951">
        <v>1909</v>
      </c>
      <c r="M1951" t="s">
        <v>228</v>
      </c>
      <c r="N1951" t="s">
        <v>222</v>
      </c>
      <c r="O1951" t="s">
        <v>5847</v>
      </c>
      <c r="P1951" t="s">
        <v>6282</v>
      </c>
      <c r="Q1951" t="str">
        <f>IF($C1951="","",IFERROR(VLOOKUP($C1951,sources!$A$2:$N$200,2,FALSE()),"?"))</f>
        <v>Map</v>
      </c>
      <c r="S1951" t="str">
        <f>IF($C1951="","",IFERROR(VLOOKUP($C1951,sources!$A$2:$N$200,9,FALSE()),"?"))</f>
        <v>US official</v>
      </c>
    </row>
    <row r="1952" spans="1:19" x14ac:dyDescent="0.2">
      <c r="A1952" t="s">
        <v>6283</v>
      </c>
      <c r="B1952" t="s">
        <v>925</v>
      </c>
      <c r="C1952" t="s">
        <v>1198</v>
      </c>
      <c r="D1952" t="s">
        <v>1666</v>
      </c>
      <c r="E1952" t="s">
        <v>926</v>
      </c>
      <c r="F1952" t="s">
        <v>1612</v>
      </c>
      <c r="I1952" t="s">
        <v>1077</v>
      </c>
      <c r="K1952">
        <v>1909</v>
      </c>
      <c r="L1952">
        <v>1909</v>
      </c>
      <c r="M1952" t="s">
        <v>228</v>
      </c>
      <c r="N1952" t="s">
        <v>222</v>
      </c>
      <c r="O1952" t="s">
        <v>5847</v>
      </c>
      <c r="P1952" t="s">
        <v>6284</v>
      </c>
      <c r="Q1952" t="str">
        <f>IF($C1952="","",IFERROR(VLOOKUP($C1952,sources!$A$2:$N$200,2,FALSE()),"?"))</f>
        <v>Map</v>
      </c>
      <c r="S1952" t="str">
        <f>IF($C1952="","",IFERROR(VLOOKUP($C1952,sources!$A$2:$N$200,9,FALSE()),"?"))</f>
        <v>US official</v>
      </c>
    </row>
    <row r="1953" spans="1:19" x14ac:dyDescent="0.2">
      <c r="A1953" t="s">
        <v>6285</v>
      </c>
      <c r="B1953" t="s">
        <v>929</v>
      </c>
      <c r="C1953" t="s">
        <v>1198</v>
      </c>
      <c r="D1953" t="s">
        <v>1666</v>
      </c>
      <c r="E1953" t="s">
        <v>930</v>
      </c>
      <c r="F1953" t="s">
        <v>1612</v>
      </c>
      <c r="I1953" t="s">
        <v>1077</v>
      </c>
      <c r="K1953">
        <v>1909</v>
      </c>
      <c r="L1953">
        <v>1909</v>
      </c>
      <c r="M1953" t="s">
        <v>228</v>
      </c>
      <c r="N1953" t="s">
        <v>222</v>
      </c>
      <c r="O1953" t="s">
        <v>5847</v>
      </c>
      <c r="P1953" t="s">
        <v>6286</v>
      </c>
      <c r="Q1953" t="str">
        <f>IF($C1953="","",IFERROR(VLOOKUP($C1953,sources!$A$2:$N$200,2,FALSE()),"?"))</f>
        <v>Map</v>
      </c>
      <c r="S1953" t="str">
        <f>IF($C1953="","",IFERROR(VLOOKUP($C1953,sources!$A$2:$N$200,9,FALSE()),"?"))</f>
        <v>US official</v>
      </c>
    </row>
    <row r="1954" spans="1:19" x14ac:dyDescent="0.2">
      <c r="A1954" t="s">
        <v>6287</v>
      </c>
      <c r="B1954" t="s">
        <v>933</v>
      </c>
      <c r="C1954" t="s">
        <v>1198</v>
      </c>
      <c r="D1954" t="s">
        <v>1666</v>
      </c>
      <c r="E1954" t="s">
        <v>934</v>
      </c>
      <c r="F1954" t="s">
        <v>1612</v>
      </c>
      <c r="I1954" t="s">
        <v>1077</v>
      </c>
      <c r="K1954">
        <v>1909</v>
      </c>
      <c r="L1954">
        <v>1909</v>
      </c>
      <c r="M1954" t="s">
        <v>228</v>
      </c>
      <c r="N1954" t="s">
        <v>222</v>
      </c>
      <c r="O1954" t="s">
        <v>5847</v>
      </c>
      <c r="P1954" t="s">
        <v>6288</v>
      </c>
      <c r="Q1954" t="str">
        <f>IF($C1954="","",IFERROR(VLOOKUP($C1954,sources!$A$2:$N$200,2,FALSE()),"?"))</f>
        <v>Map</v>
      </c>
      <c r="S1954" t="str">
        <f>IF($C1954="","",IFERROR(VLOOKUP($C1954,sources!$A$2:$N$200,9,FALSE()),"?"))</f>
        <v>US official</v>
      </c>
    </row>
    <row r="1955" spans="1:19" x14ac:dyDescent="0.2">
      <c r="A1955" t="s">
        <v>6289</v>
      </c>
      <c r="B1955" t="s">
        <v>939</v>
      </c>
      <c r="C1955" t="s">
        <v>1198</v>
      </c>
      <c r="D1955" t="s">
        <v>1666</v>
      </c>
      <c r="E1955" t="s">
        <v>940</v>
      </c>
      <c r="F1955" t="s">
        <v>1612</v>
      </c>
      <c r="I1955" t="s">
        <v>1077</v>
      </c>
      <c r="K1955">
        <v>1909</v>
      </c>
      <c r="L1955">
        <v>1909</v>
      </c>
      <c r="M1955" t="s">
        <v>228</v>
      </c>
      <c r="N1955" t="s">
        <v>222</v>
      </c>
      <c r="O1955" t="s">
        <v>5847</v>
      </c>
      <c r="P1955" t="s">
        <v>6290</v>
      </c>
      <c r="Q1955" t="str">
        <f>IF($C1955="","",IFERROR(VLOOKUP($C1955,sources!$A$2:$N$200,2,FALSE()),"?"))</f>
        <v>Map</v>
      </c>
      <c r="S1955" t="str">
        <f>IF($C1955="","",IFERROR(VLOOKUP($C1955,sources!$A$2:$N$200,9,FALSE()),"?"))</f>
        <v>US official</v>
      </c>
    </row>
    <row r="1956" spans="1:19" x14ac:dyDescent="0.2">
      <c r="A1956" t="s">
        <v>6291</v>
      </c>
      <c r="B1956" t="s">
        <v>943</v>
      </c>
      <c r="C1956" t="s">
        <v>1198</v>
      </c>
      <c r="D1956" t="s">
        <v>1666</v>
      </c>
      <c r="E1956" t="s">
        <v>944</v>
      </c>
      <c r="F1956" t="s">
        <v>1612</v>
      </c>
      <c r="I1956" t="s">
        <v>1077</v>
      </c>
      <c r="K1956">
        <v>1909</v>
      </c>
      <c r="L1956">
        <v>1909</v>
      </c>
      <c r="M1956" t="s">
        <v>228</v>
      </c>
      <c r="N1956" t="s">
        <v>222</v>
      </c>
      <c r="O1956" t="s">
        <v>5847</v>
      </c>
      <c r="P1956" t="s">
        <v>6292</v>
      </c>
      <c r="Q1956" t="str">
        <f>IF($C1956="","",IFERROR(VLOOKUP($C1956,sources!$A$2:$N$200,2,FALSE()),"?"))</f>
        <v>Map</v>
      </c>
      <c r="S1956" t="str">
        <f>IF($C1956="","",IFERROR(VLOOKUP($C1956,sources!$A$2:$N$200,9,FALSE()),"?"))</f>
        <v>US official</v>
      </c>
    </row>
    <row r="1957" spans="1:19" x14ac:dyDescent="0.2">
      <c r="A1957" t="s">
        <v>6293</v>
      </c>
      <c r="B1957" t="s">
        <v>644</v>
      </c>
      <c r="C1957" t="s">
        <v>1375</v>
      </c>
      <c r="D1957" t="s">
        <v>1666</v>
      </c>
      <c r="E1957" t="s">
        <v>645</v>
      </c>
      <c r="F1957" t="s">
        <v>1612</v>
      </c>
      <c r="I1957" t="s">
        <v>1077</v>
      </c>
      <c r="K1957">
        <v>1947</v>
      </c>
      <c r="L1957">
        <v>1947</v>
      </c>
      <c r="M1957" t="s">
        <v>228</v>
      </c>
      <c r="N1957" t="s">
        <v>222</v>
      </c>
      <c r="O1957" t="s">
        <v>5847</v>
      </c>
      <c r="P1957" t="s">
        <v>6294</v>
      </c>
      <c r="Q1957" t="str">
        <f>IF($C1957="","",IFERROR(VLOOKUP($C1957,sources!$A$2:$N$200,2,FALSE()),"?"))</f>
        <v>Map</v>
      </c>
      <c r="S1957" t="str">
        <f>IF($C1957="","",IFERROR(VLOOKUP($C1957,sources!$A$2:$N$200,9,FALSE()),"?"))</f>
        <v>US official</v>
      </c>
    </row>
    <row r="1958" spans="1:19" x14ac:dyDescent="0.2">
      <c r="A1958" t="s">
        <v>6295</v>
      </c>
      <c r="B1958" t="s">
        <v>649</v>
      </c>
      <c r="C1958" t="s">
        <v>1375</v>
      </c>
      <c r="D1958" t="s">
        <v>1666</v>
      </c>
      <c r="E1958" t="s">
        <v>650</v>
      </c>
      <c r="F1958" t="s">
        <v>1612</v>
      </c>
      <c r="I1958" t="s">
        <v>1077</v>
      </c>
      <c r="K1958">
        <v>1947</v>
      </c>
      <c r="L1958">
        <v>1947</v>
      </c>
      <c r="M1958" t="s">
        <v>228</v>
      </c>
      <c r="N1958" t="s">
        <v>222</v>
      </c>
      <c r="O1958" t="s">
        <v>5847</v>
      </c>
      <c r="P1958" t="s">
        <v>6296</v>
      </c>
      <c r="Q1958" t="str">
        <f>IF($C1958="","",IFERROR(VLOOKUP($C1958,sources!$A$2:$N$200,2,FALSE()),"?"))</f>
        <v>Map</v>
      </c>
      <c r="S1958" t="str">
        <f>IF($C1958="","",IFERROR(VLOOKUP($C1958,sources!$A$2:$N$200,9,FALSE()),"?"))</f>
        <v>US official</v>
      </c>
    </row>
    <row r="1959" spans="1:19" x14ac:dyDescent="0.2">
      <c r="A1959" t="s">
        <v>6297</v>
      </c>
      <c r="B1959" t="s">
        <v>654</v>
      </c>
      <c r="C1959" t="s">
        <v>1375</v>
      </c>
      <c r="D1959" t="s">
        <v>1666</v>
      </c>
      <c r="E1959" t="s">
        <v>655</v>
      </c>
      <c r="F1959" t="s">
        <v>1612</v>
      </c>
      <c r="I1959" t="s">
        <v>1077</v>
      </c>
      <c r="K1959">
        <v>1947</v>
      </c>
      <c r="L1959">
        <v>1947</v>
      </c>
      <c r="M1959" t="s">
        <v>228</v>
      </c>
      <c r="N1959" t="s">
        <v>228</v>
      </c>
      <c r="O1959" t="s">
        <v>5847</v>
      </c>
      <c r="P1959" t="s">
        <v>6298</v>
      </c>
      <c r="Q1959" t="str">
        <f>IF($C1959="","",IFERROR(VLOOKUP($C1959,sources!$A$2:$N$200,2,FALSE()),"?"))</f>
        <v>Map</v>
      </c>
      <c r="S1959" t="str">
        <f>IF($C1959="","",IFERROR(VLOOKUP($C1959,sources!$A$2:$N$200,9,FALSE()),"?"))</f>
        <v>US official</v>
      </c>
    </row>
    <row r="1960" spans="1:19" x14ac:dyDescent="0.2">
      <c r="A1960" t="s">
        <v>6299</v>
      </c>
      <c r="B1960" t="s">
        <v>668</v>
      </c>
      <c r="C1960" t="s">
        <v>1375</v>
      </c>
      <c r="D1960" t="s">
        <v>1666</v>
      </c>
      <c r="E1960" t="s">
        <v>669</v>
      </c>
      <c r="F1960" t="s">
        <v>1612</v>
      </c>
      <c r="I1960" t="s">
        <v>1077</v>
      </c>
      <c r="K1960">
        <v>1947</v>
      </c>
      <c r="L1960">
        <v>1947</v>
      </c>
      <c r="M1960" t="s">
        <v>228</v>
      </c>
      <c r="N1960" t="s">
        <v>222</v>
      </c>
      <c r="O1960" t="s">
        <v>5847</v>
      </c>
      <c r="P1960" t="s">
        <v>6300</v>
      </c>
      <c r="Q1960" t="str">
        <f>IF($C1960="","",IFERROR(VLOOKUP($C1960,sources!$A$2:$N$200,2,FALSE()),"?"))</f>
        <v>Map</v>
      </c>
      <c r="S1960" t="str">
        <f>IF($C1960="","",IFERROR(VLOOKUP($C1960,sources!$A$2:$N$200,9,FALSE()),"?"))</f>
        <v>US official</v>
      </c>
    </row>
    <row r="1961" spans="1:19" x14ac:dyDescent="0.2">
      <c r="A1961" t="s">
        <v>6301</v>
      </c>
      <c r="B1961" t="s">
        <v>777</v>
      </c>
      <c r="C1961" t="s">
        <v>1375</v>
      </c>
      <c r="D1961" t="s">
        <v>1599</v>
      </c>
      <c r="E1961" t="s">
        <v>6302</v>
      </c>
      <c r="F1961" t="s">
        <v>1612</v>
      </c>
      <c r="I1961" t="s">
        <v>1077</v>
      </c>
      <c r="K1961">
        <v>1947</v>
      </c>
      <c r="L1961">
        <v>1947</v>
      </c>
      <c r="M1961" t="s">
        <v>228</v>
      </c>
      <c r="N1961" t="s">
        <v>228</v>
      </c>
      <c r="O1961" t="s">
        <v>5847</v>
      </c>
      <c r="P1961" t="s">
        <v>6303</v>
      </c>
      <c r="Q1961" t="str">
        <f>IF($C1961="","",IFERROR(VLOOKUP($C1961,sources!$A$2:$N$200,2,FALSE()),"?"))</f>
        <v>Map</v>
      </c>
      <c r="S1961" t="str">
        <f>IF($C1961="","",IFERROR(VLOOKUP($C1961,sources!$A$2:$N$200,9,FALSE()),"?"))</f>
        <v>US official</v>
      </c>
    </row>
    <row r="1962" spans="1:19" x14ac:dyDescent="0.2">
      <c r="A1962" t="s">
        <v>6304</v>
      </c>
      <c r="B1962" t="s">
        <v>783</v>
      </c>
      <c r="C1962" t="s">
        <v>1375</v>
      </c>
      <c r="D1962" t="s">
        <v>1599</v>
      </c>
      <c r="E1962" t="s">
        <v>6302</v>
      </c>
      <c r="F1962" t="s">
        <v>1612</v>
      </c>
      <c r="I1962" t="s">
        <v>1077</v>
      </c>
      <c r="K1962">
        <v>1947</v>
      </c>
      <c r="L1962">
        <v>1947</v>
      </c>
      <c r="M1962" t="s">
        <v>228</v>
      </c>
      <c r="N1962" t="s">
        <v>209</v>
      </c>
      <c r="O1962" t="s">
        <v>5847</v>
      </c>
      <c r="P1962" t="s">
        <v>6305</v>
      </c>
      <c r="Q1962" t="str">
        <f>IF($C1962="","",IFERROR(VLOOKUP($C1962,sources!$A$2:$N$200,2,FALSE()),"?"))</f>
        <v>Map</v>
      </c>
      <c r="S1962" t="str">
        <f>IF($C1962="","",IFERROR(VLOOKUP($C1962,sources!$A$2:$N$200,9,FALSE()),"?"))</f>
        <v>US official</v>
      </c>
    </row>
    <row r="1963" spans="1:19" x14ac:dyDescent="0.2">
      <c r="A1963" t="s">
        <v>6306</v>
      </c>
      <c r="B1963" t="s">
        <v>866</v>
      </c>
      <c r="C1963" t="s">
        <v>1375</v>
      </c>
      <c r="D1963" t="s">
        <v>1599</v>
      </c>
      <c r="E1963" t="s">
        <v>374</v>
      </c>
      <c r="F1963" t="s">
        <v>1612</v>
      </c>
      <c r="I1963" t="s">
        <v>1077</v>
      </c>
      <c r="K1963">
        <v>1947</v>
      </c>
      <c r="L1963">
        <v>1947</v>
      </c>
      <c r="M1963" t="s">
        <v>228</v>
      </c>
      <c r="N1963" t="s">
        <v>228</v>
      </c>
      <c r="O1963" t="s">
        <v>5847</v>
      </c>
      <c r="P1963" t="s">
        <v>6307</v>
      </c>
      <c r="Q1963" t="str">
        <f>IF($C1963="","",IFERROR(VLOOKUP($C1963,sources!$A$2:$N$200,2,FALSE()),"?"))</f>
        <v>Map</v>
      </c>
      <c r="S1963" t="str">
        <f>IF($C1963="","",IFERROR(VLOOKUP($C1963,sources!$A$2:$N$200,9,FALSE()),"?"))</f>
        <v>US official</v>
      </c>
    </row>
    <row r="1964" spans="1:19" x14ac:dyDescent="0.2">
      <c r="A1964" t="s">
        <v>6308</v>
      </c>
      <c r="B1964" t="s">
        <v>911</v>
      </c>
      <c r="C1964" t="s">
        <v>1375</v>
      </c>
      <c r="D1964" t="s">
        <v>1666</v>
      </c>
      <c r="E1964" t="s">
        <v>912</v>
      </c>
      <c r="F1964" t="s">
        <v>1612</v>
      </c>
      <c r="I1964" t="s">
        <v>1077</v>
      </c>
      <c r="K1964">
        <v>1947</v>
      </c>
      <c r="L1964">
        <v>1947</v>
      </c>
      <c r="M1964" t="s">
        <v>228</v>
      </c>
      <c r="N1964" t="s">
        <v>222</v>
      </c>
      <c r="O1964" t="s">
        <v>5847</v>
      </c>
      <c r="P1964" t="s">
        <v>6309</v>
      </c>
      <c r="Q1964" t="str">
        <f>IF($C1964="","",IFERROR(VLOOKUP($C1964,sources!$A$2:$N$200,2,FALSE()),"?"))</f>
        <v>Map</v>
      </c>
      <c r="S1964" t="str">
        <f>IF($C1964="","",IFERROR(VLOOKUP($C1964,sources!$A$2:$N$200,9,FALSE()),"?"))</f>
        <v>US official</v>
      </c>
    </row>
    <row r="1965" spans="1:19" x14ac:dyDescent="0.2">
      <c r="A1965" t="s">
        <v>6310</v>
      </c>
      <c r="B1965" t="s">
        <v>947</v>
      </c>
      <c r="C1965" t="s">
        <v>1375</v>
      </c>
      <c r="D1965" t="s">
        <v>1666</v>
      </c>
      <c r="E1965" t="s">
        <v>949</v>
      </c>
      <c r="F1965" t="s">
        <v>1612</v>
      </c>
      <c r="I1965" t="s">
        <v>1077</v>
      </c>
      <c r="K1965">
        <v>1947</v>
      </c>
      <c r="L1965">
        <v>1947</v>
      </c>
      <c r="M1965" t="s">
        <v>228</v>
      </c>
      <c r="N1965" t="s">
        <v>222</v>
      </c>
      <c r="O1965" t="s">
        <v>5847</v>
      </c>
      <c r="P1965" t="s">
        <v>6311</v>
      </c>
      <c r="Q1965" t="str">
        <f>IF($C1965="","",IFERROR(VLOOKUP($C1965,sources!$A$2:$N$200,2,FALSE()),"?"))</f>
        <v>Map</v>
      </c>
      <c r="S1965" t="str">
        <f>IF($C1965="","",IFERROR(VLOOKUP($C1965,sources!$A$2:$N$200,9,FALSE()),"?"))</f>
        <v>US official</v>
      </c>
    </row>
    <row r="1966" spans="1:19" x14ac:dyDescent="0.2">
      <c r="A1966" t="s">
        <v>6312</v>
      </c>
      <c r="B1966" t="s">
        <v>947</v>
      </c>
      <c r="C1966" t="s">
        <v>1375</v>
      </c>
      <c r="D1966" t="s">
        <v>1666</v>
      </c>
      <c r="E1966" t="s">
        <v>948</v>
      </c>
      <c r="F1966" t="s">
        <v>1612</v>
      </c>
      <c r="I1966" t="s">
        <v>1077</v>
      </c>
      <c r="K1966">
        <v>1947</v>
      </c>
      <c r="L1966">
        <v>1947</v>
      </c>
      <c r="M1966" t="s">
        <v>228</v>
      </c>
      <c r="N1966" t="s">
        <v>222</v>
      </c>
      <c r="O1966" t="s">
        <v>5847</v>
      </c>
      <c r="P1966" t="s">
        <v>6313</v>
      </c>
      <c r="Q1966" t="str">
        <f>IF($C1966="","",IFERROR(VLOOKUP($C1966,sources!$A$2:$N$200,2,FALSE()),"?"))</f>
        <v>Map</v>
      </c>
      <c r="S1966" t="str">
        <f>IF($C1966="","",IFERROR(VLOOKUP($C1966,sources!$A$2:$N$200,9,FALSE()),"?"))</f>
        <v>US official</v>
      </c>
    </row>
    <row r="1967" spans="1:19" x14ac:dyDescent="0.2">
      <c r="A1967" t="s">
        <v>6314</v>
      </c>
      <c r="B1967" t="s">
        <v>915</v>
      </c>
      <c r="C1967" t="s">
        <v>1375</v>
      </c>
      <c r="D1967" t="s">
        <v>1666</v>
      </c>
      <c r="E1967" t="s">
        <v>916</v>
      </c>
      <c r="F1967" t="s">
        <v>1612</v>
      </c>
      <c r="I1967" t="s">
        <v>1077</v>
      </c>
      <c r="K1967">
        <v>1947</v>
      </c>
      <c r="L1967">
        <v>1947</v>
      </c>
      <c r="M1967" t="s">
        <v>228</v>
      </c>
      <c r="N1967" t="s">
        <v>222</v>
      </c>
      <c r="O1967" t="s">
        <v>5847</v>
      </c>
      <c r="P1967" t="s">
        <v>6315</v>
      </c>
      <c r="Q1967" t="str">
        <f>IF($C1967="","",IFERROR(VLOOKUP($C1967,sources!$A$2:$N$200,2,FALSE()),"?"))</f>
        <v>Map</v>
      </c>
      <c r="S1967" t="str">
        <f>IF($C1967="","",IFERROR(VLOOKUP($C1967,sources!$A$2:$N$200,9,FALSE()),"?"))</f>
        <v>US official</v>
      </c>
    </row>
    <row r="1968" spans="1:19" x14ac:dyDescent="0.2">
      <c r="A1968" t="s">
        <v>6316</v>
      </c>
      <c r="B1968" t="s">
        <v>918</v>
      </c>
      <c r="C1968" t="s">
        <v>1375</v>
      </c>
      <c r="D1968" t="s">
        <v>1666</v>
      </c>
      <c r="E1968" t="s">
        <v>919</v>
      </c>
      <c r="F1968" t="s">
        <v>1612</v>
      </c>
      <c r="I1968" t="s">
        <v>1077</v>
      </c>
      <c r="K1968">
        <v>1947</v>
      </c>
      <c r="L1968">
        <v>1947</v>
      </c>
      <c r="M1968" t="s">
        <v>228</v>
      </c>
      <c r="N1968" t="s">
        <v>222</v>
      </c>
      <c r="O1968" t="s">
        <v>5847</v>
      </c>
      <c r="P1968" t="s">
        <v>6317</v>
      </c>
      <c r="Q1968" t="str">
        <f>IF($C1968="","",IFERROR(VLOOKUP($C1968,sources!$A$2:$N$200,2,FALSE()),"?"))</f>
        <v>Map</v>
      </c>
      <c r="S1968" t="str">
        <f>IF($C1968="","",IFERROR(VLOOKUP($C1968,sources!$A$2:$N$200,9,FALSE()),"?"))</f>
        <v>US official</v>
      </c>
    </row>
    <row r="1969" spans="1:19" x14ac:dyDescent="0.2">
      <c r="A1969" t="s">
        <v>6318</v>
      </c>
      <c r="B1969" t="s">
        <v>921</v>
      </c>
      <c r="C1969" t="s">
        <v>1375</v>
      </c>
      <c r="D1969" t="s">
        <v>1666</v>
      </c>
      <c r="E1969" t="s">
        <v>922</v>
      </c>
      <c r="F1969" t="s">
        <v>1612</v>
      </c>
      <c r="I1969" t="s">
        <v>1077</v>
      </c>
      <c r="K1969">
        <v>1947</v>
      </c>
      <c r="L1969">
        <v>1947</v>
      </c>
      <c r="M1969" t="s">
        <v>228</v>
      </c>
      <c r="N1969" t="s">
        <v>222</v>
      </c>
      <c r="O1969" t="s">
        <v>5847</v>
      </c>
      <c r="P1969" t="s">
        <v>6319</v>
      </c>
      <c r="Q1969" t="str">
        <f>IF($C1969="","",IFERROR(VLOOKUP($C1969,sources!$A$2:$N$200,2,FALSE()),"?"))</f>
        <v>Map</v>
      </c>
      <c r="S1969" t="str">
        <f>IF($C1969="","",IFERROR(VLOOKUP($C1969,sources!$A$2:$N$200,9,FALSE()),"?"))</f>
        <v>US official</v>
      </c>
    </row>
    <row r="1970" spans="1:19" x14ac:dyDescent="0.2">
      <c r="A1970" t="s">
        <v>6320</v>
      </c>
      <c r="B1970" t="s">
        <v>925</v>
      </c>
      <c r="C1970" t="s">
        <v>1375</v>
      </c>
      <c r="D1970" t="s">
        <v>1666</v>
      </c>
      <c r="E1970" t="s">
        <v>926</v>
      </c>
      <c r="F1970" t="s">
        <v>1612</v>
      </c>
      <c r="I1970" t="s">
        <v>1077</v>
      </c>
      <c r="K1970">
        <v>1947</v>
      </c>
      <c r="L1970">
        <v>1947</v>
      </c>
      <c r="M1970" t="s">
        <v>228</v>
      </c>
      <c r="N1970" t="s">
        <v>222</v>
      </c>
      <c r="O1970" t="s">
        <v>5847</v>
      </c>
      <c r="P1970" t="s">
        <v>6321</v>
      </c>
      <c r="Q1970" t="str">
        <f>IF($C1970="","",IFERROR(VLOOKUP($C1970,sources!$A$2:$N$200,2,FALSE()),"?"))</f>
        <v>Map</v>
      </c>
      <c r="S1970" t="str">
        <f>IF($C1970="","",IFERROR(VLOOKUP($C1970,sources!$A$2:$N$200,9,FALSE()),"?"))</f>
        <v>US official</v>
      </c>
    </row>
    <row r="1971" spans="1:19" x14ac:dyDescent="0.2">
      <c r="A1971" t="s">
        <v>6322</v>
      </c>
      <c r="B1971" t="s">
        <v>929</v>
      </c>
      <c r="C1971" t="s">
        <v>1375</v>
      </c>
      <c r="D1971" t="s">
        <v>1666</v>
      </c>
      <c r="E1971" t="s">
        <v>930</v>
      </c>
      <c r="F1971" t="s">
        <v>1612</v>
      </c>
      <c r="I1971" t="s">
        <v>1077</v>
      </c>
      <c r="K1971">
        <v>1947</v>
      </c>
      <c r="L1971">
        <v>1947</v>
      </c>
      <c r="M1971" t="s">
        <v>228</v>
      </c>
      <c r="N1971" t="s">
        <v>222</v>
      </c>
      <c r="O1971" t="s">
        <v>5847</v>
      </c>
      <c r="P1971" t="s">
        <v>6323</v>
      </c>
      <c r="Q1971" t="str">
        <f>IF($C1971="","",IFERROR(VLOOKUP($C1971,sources!$A$2:$N$200,2,FALSE()),"?"))</f>
        <v>Map</v>
      </c>
      <c r="S1971" t="str">
        <f>IF($C1971="","",IFERROR(VLOOKUP($C1971,sources!$A$2:$N$200,9,FALSE()),"?"))</f>
        <v>US official</v>
      </c>
    </row>
    <row r="1972" spans="1:19" x14ac:dyDescent="0.2">
      <c r="A1972" t="s">
        <v>6324</v>
      </c>
      <c r="B1972" t="s">
        <v>933</v>
      </c>
      <c r="C1972" t="s">
        <v>1375</v>
      </c>
      <c r="D1972" t="s">
        <v>1666</v>
      </c>
      <c r="E1972" t="s">
        <v>934</v>
      </c>
      <c r="F1972" t="s">
        <v>1612</v>
      </c>
      <c r="I1972" t="s">
        <v>1077</v>
      </c>
      <c r="K1972">
        <v>1947</v>
      </c>
      <c r="L1972">
        <v>1947</v>
      </c>
      <c r="M1972" t="s">
        <v>228</v>
      </c>
      <c r="N1972" t="s">
        <v>222</v>
      </c>
      <c r="O1972" t="s">
        <v>5847</v>
      </c>
      <c r="P1972" t="s">
        <v>6325</v>
      </c>
      <c r="Q1972" t="str">
        <f>IF($C1972="","",IFERROR(VLOOKUP($C1972,sources!$A$2:$N$200,2,FALSE()),"?"))</f>
        <v>Map</v>
      </c>
      <c r="S1972" t="str">
        <f>IF($C1972="","",IFERROR(VLOOKUP($C1972,sources!$A$2:$N$200,9,FALSE()),"?"))</f>
        <v>US official</v>
      </c>
    </row>
    <row r="1973" spans="1:19" x14ac:dyDescent="0.2">
      <c r="A1973" t="s">
        <v>6326</v>
      </c>
      <c r="B1973" t="s">
        <v>936</v>
      </c>
      <c r="C1973" t="s">
        <v>1375</v>
      </c>
      <c r="D1973" t="s">
        <v>1666</v>
      </c>
      <c r="E1973" t="s">
        <v>937</v>
      </c>
      <c r="F1973" t="s">
        <v>1612</v>
      </c>
      <c r="I1973" t="s">
        <v>1077</v>
      </c>
      <c r="K1973">
        <v>1947</v>
      </c>
      <c r="L1973">
        <v>1947</v>
      </c>
      <c r="M1973" t="s">
        <v>228</v>
      </c>
      <c r="N1973" t="s">
        <v>222</v>
      </c>
      <c r="O1973" t="s">
        <v>5847</v>
      </c>
      <c r="P1973" t="s">
        <v>6327</v>
      </c>
      <c r="Q1973" t="str">
        <f>IF($C1973="","",IFERROR(VLOOKUP($C1973,sources!$A$2:$N$200,2,FALSE()),"?"))</f>
        <v>Map</v>
      </c>
      <c r="S1973" t="str">
        <f>IF($C1973="","",IFERROR(VLOOKUP($C1973,sources!$A$2:$N$200,9,FALSE()),"?"))</f>
        <v>US official</v>
      </c>
    </row>
    <row r="1974" spans="1:19" x14ac:dyDescent="0.2">
      <c r="A1974" t="s">
        <v>6328</v>
      </c>
      <c r="B1974" t="s">
        <v>939</v>
      </c>
      <c r="C1974" t="s">
        <v>1375</v>
      </c>
      <c r="D1974" t="s">
        <v>1666</v>
      </c>
      <c r="E1974" t="s">
        <v>940</v>
      </c>
      <c r="F1974" t="s">
        <v>1612</v>
      </c>
      <c r="I1974" t="s">
        <v>1077</v>
      </c>
      <c r="K1974">
        <v>1947</v>
      </c>
      <c r="L1974">
        <v>1947</v>
      </c>
      <c r="M1974" t="s">
        <v>228</v>
      </c>
      <c r="N1974" t="s">
        <v>228</v>
      </c>
      <c r="O1974" t="s">
        <v>5847</v>
      </c>
      <c r="P1974" t="s">
        <v>6329</v>
      </c>
      <c r="Q1974" t="str">
        <f>IF($C1974="","",IFERROR(VLOOKUP($C1974,sources!$A$2:$N$200,2,FALSE()),"?"))</f>
        <v>Map</v>
      </c>
      <c r="S1974" t="str">
        <f>IF($C1974="","",IFERROR(VLOOKUP($C1974,sources!$A$2:$N$200,9,FALSE()),"?"))</f>
        <v>US official</v>
      </c>
    </row>
    <row r="1975" spans="1:19" x14ac:dyDescent="0.2">
      <c r="A1975" t="s">
        <v>6330</v>
      </c>
      <c r="B1975" t="s">
        <v>943</v>
      </c>
      <c r="C1975" t="s">
        <v>1375</v>
      </c>
      <c r="D1975" t="s">
        <v>1666</v>
      </c>
      <c r="E1975" t="s">
        <v>944</v>
      </c>
      <c r="F1975" t="s">
        <v>1612</v>
      </c>
      <c r="I1975" t="s">
        <v>1077</v>
      </c>
      <c r="K1975">
        <v>1947</v>
      </c>
      <c r="L1975">
        <v>1947</v>
      </c>
      <c r="M1975" t="s">
        <v>228</v>
      </c>
      <c r="N1975" t="s">
        <v>222</v>
      </c>
      <c r="O1975" t="s">
        <v>5847</v>
      </c>
      <c r="P1975" t="s">
        <v>6331</v>
      </c>
      <c r="Q1975" t="str">
        <f>IF($C1975="","",IFERROR(VLOOKUP($C1975,sources!$A$2:$N$200,2,FALSE()),"?"))</f>
        <v>Map</v>
      </c>
      <c r="S1975" t="str">
        <f>IF($C1975="","",IFERROR(VLOOKUP($C1975,sources!$A$2:$N$200,9,FALSE()),"?"))</f>
        <v>US official</v>
      </c>
    </row>
    <row r="1976" spans="1:19" x14ac:dyDescent="0.2">
      <c r="A1976" t="s">
        <v>6332</v>
      </c>
      <c r="B1976" t="s">
        <v>854</v>
      </c>
      <c r="C1976" t="s">
        <v>1375</v>
      </c>
      <c r="D1976" t="s">
        <v>1666</v>
      </c>
      <c r="E1976" t="s">
        <v>855</v>
      </c>
      <c r="F1976" t="s">
        <v>1612</v>
      </c>
      <c r="I1976" t="s">
        <v>1077</v>
      </c>
      <c r="K1976">
        <v>1947</v>
      </c>
      <c r="L1976">
        <v>1947</v>
      </c>
      <c r="M1976" t="s">
        <v>228</v>
      </c>
      <c r="N1976" t="s">
        <v>222</v>
      </c>
      <c r="O1976" t="s">
        <v>5847</v>
      </c>
      <c r="P1976" t="s">
        <v>6333</v>
      </c>
      <c r="Q1976" t="str">
        <f>IF($C1976="","",IFERROR(VLOOKUP($C1976,sources!$A$2:$N$200,2,FALSE()),"?"))</f>
        <v>Map</v>
      </c>
      <c r="S1976" t="str">
        <f>IF($C1976="","",IFERROR(VLOOKUP($C1976,sources!$A$2:$N$200,9,FALSE()),"?"))</f>
        <v>US official</v>
      </c>
    </row>
    <row r="1977" spans="1:19" x14ac:dyDescent="0.2">
      <c r="A1977" t="s">
        <v>6334</v>
      </c>
      <c r="B1977" t="s">
        <v>827</v>
      </c>
      <c r="C1977" t="s">
        <v>1187</v>
      </c>
      <c r="D1977" t="s">
        <v>1599</v>
      </c>
      <c r="E1977" t="s">
        <v>6335</v>
      </c>
      <c r="F1977" t="s">
        <v>1612</v>
      </c>
      <c r="I1977" t="s">
        <v>1077</v>
      </c>
      <c r="K1977">
        <v>1911</v>
      </c>
      <c r="L1977">
        <v>1911</v>
      </c>
      <c r="M1977" t="s">
        <v>228</v>
      </c>
      <c r="N1977" t="s">
        <v>209</v>
      </c>
      <c r="O1977" t="s">
        <v>5847</v>
      </c>
      <c r="P1977" t="s">
        <v>6336</v>
      </c>
      <c r="Q1977" t="str">
        <f>IF($C1977="","",IFERROR(VLOOKUP($C1977,sources!$A$2:$N$200,2,FALSE()),"?"))</f>
        <v>Map</v>
      </c>
      <c r="S1977" t="str">
        <f>IF($C1977="","",IFERROR(VLOOKUP($C1977,sources!$A$2:$N$200,9,FALSE()),"?"))</f>
        <v>US official</v>
      </c>
    </row>
    <row r="1978" spans="1:19" x14ac:dyDescent="0.2">
      <c r="A1978" t="s">
        <v>6337</v>
      </c>
      <c r="B1978" t="s">
        <v>805</v>
      </c>
      <c r="C1978" t="s">
        <v>1473</v>
      </c>
      <c r="D1978" t="s">
        <v>1599</v>
      </c>
      <c r="E1978" t="s">
        <v>5511</v>
      </c>
      <c r="F1978" t="s">
        <v>1612</v>
      </c>
      <c r="I1978" t="s">
        <v>1077</v>
      </c>
      <c r="K1978">
        <v>1947</v>
      </c>
      <c r="L1978">
        <v>1947</v>
      </c>
      <c r="M1978" t="s">
        <v>228</v>
      </c>
      <c r="N1978" t="s">
        <v>222</v>
      </c>
      <c r="O1978" t="s">
        <v>5847</v>
      </c>
      <c r="P1978" t="s">
        <v>6338</v>
      </c>
      <c r="Q1978" t="str">
        <f>IF($C1978="","",IFERROR(VLOOKUP($C1978,sources!$A$2:$N$200,2,FALSE()),"?"))</f>
        <v>Map</v>
      </c>
      <c r="S1978" t="str">
        <f>IF($C1978="","",IFERROR(VLOOKUP($C1978,sources!$A$2:$N$200,9,FALSE()),"?"))</f>
        <v>US military</v>
      </c>
    </row>
    <row r="1979" spans="1:19" x14ac:dyDescent="0.2">
      <c r="A1979" t="s">
        <v>6339</v>
      </c>
      <c r="B1979" t="s">
        <v>847</v>
      </c>
      <c r="C1979" t="s">
        <v>1473</v>
      </c>
      <c r="D1979" t="s">
        <v>1585</v>
      </c>
      <c r="E1979" t="s">
        <v>6340</v>
      </c>
      <c r="F1979" t="s">
        <v>1612</v>
      </c>
      <c r="I1979" t="s">
        <v>1077</v>
      </c>
      <c r="K1979">
        <v>1947</v>
      </c>
      <c r="L1979">
        <v>1947</v>
      </c>
      <c r="M1979" t="s">
        <v>228</v>
      </c>
      <c r="N1979" t="s">
        <v>222</v>
      </c>
      <c r="O1979" t="s">
        <v>5847</v>
      </c>
      <c r="P1979" t="s">
        <v>6341</v>
      </c>
      <c r="Q1979" t="str">
        <f>IF($C1979="","",IFERROR(VLOOKUP($C1979,sources!$A$2:$N$200,2,FALSE()),"?"))</f>
        <v>Map</v>
      </c>
      <c r="S1979" t="str">
        <f>IF($C1979="","",IFERROR(VLOOKUP($C1979,sources!$A$2:$N$200,9,FALSE()),"?"))</f>
        <v>US military</v>
      </c>
    </row>
    <row r="1980" spans="1:19" x14ac:dyDescent="0.2">
      <c r="A1980" t="s">
        <v>6342</v>
      </c>
      <c r="B1980" t="s">
        <v>1016</v>
      </c>
      <c r="C1980" t="s">
        <v>1354</v>
      </c>
      <c r="D1980" t="s">
        <v>1666</v>
      </c>
      <c r="E1980" t="s">
        <v>1017</v>
      </c>
      <c r="F1980" t="s">
        <v>1612</v>
      </c>
      <c r="I1980" t="s">
        <v>1077</v>
      </c>
      <c r="K1980">
        <v>1905</v>
      </c>
      <c r="L1980">
        <v>1906</v>
      </c>
      <c r="M1980" t="s">
        <v>228</v>
      </c>
      <c r="N1980" t="s">
        <v>209</v>
      </c>
      <c r="O1980" t="s">
        <v>5847</v>
      </c>
      <c r="P1980" t="s">
        <v>6343</v>
      </c>
      <c r="Q1980" t="str">
        <f>IF($C1980="","",IFERROR(VLOOKUP($C1980,sources!$A$2:$N$200,2,FALSE()),"?"))</f>
        <v>Map</v>
      </c>
      <c r="S1980" t="str">
        <f>IF($C1980="","",IFERROR(VLOOKUP($C1980,sources!$A$2:$N$200,9,FALSE()),"?"))</f>
        <v>US official</v>
      </c>
    </row>
    <row r="1981" spans="1:19" x14ac:dyDescent="0.2">
      <c r="A1981" t="s">
        <v>6344</v>
      </c>
      <c r="B1981" t="s">
        <v>1016</v>
      </c>
      <c r="C1981" t="s">
        <v>1198</v>
      </c>
      <c r="D1981" t="s">
        <v>1666</v>
      </c>
      <c r="E1981" t="s">
        <v>1017</v>
      </c>
      <c r="F1981" t="s">
        <v>1612</v>
      </c>
      <c r="I1981" t="s">
        <v>1077</v>
      </c>
      <c r="K1981">
        <v>1909</v>
      </c>
      <c r="L1981">
        <v>1909</v>
      </c>
      <c r="M1981" t="s">
        <v>228</v>
      </c>
      <c r="N1981" t="s">
        <v>228</v>
      </c>
      <c r="O1981" t="s">
        <v>5847</v>
      </c>
      <c r="P1981" t="s">
        <v>6345</v>
      </c>
      <c r="Q1981" t="str">
        <f>IF($C1981="","",IFERROR(VLOOKUP($C1981,sources!$A$2:$N$200,2,FALSE()),"?"))</f>
        <v>Map</v>
      </c>
      <c r="S1981" t="str">
        <f>IF($C1981="","",IFERROR(VLOOKUP($C1981,sources!$A$2:$N$200,9,FALSE()),"?"))</f>
        <v>US official</v>
      </c>
    </row>
    <row r="1982" spans="1:19" x14ac:dyDescent="0.2">
      <c r="A1982" t="s">
        <v>6346</v>
      </c>
      <c r="B1982" t="s">
        <v>1016</v>
      </c>
      <c r="C1982" t="s">
        <v>1187</v>
      </c>
      <c r="D1982" t="s">
        <v>1666</v>
      </c>
      <c r="E1982" t="s">
        <v>1017</v>
      </c>
      <c r="F1982" t="s">
        <v>1612</v>
      </c>
      <c r="I1982" t="s">
        <v>1077</v>
      </c>
      <c r="K1982">
        <v>1911</v>
      </c>
      <c r="L1982">
        <v>1911</v>
      </c>
      <c r="M1982" t="s">
        <v>228</v>
      </c>
      <c r="N1982" t="s">
        <v>228</v>
      </c>
      <c r="O1982" t="s">
        <v>5847</v>
      </c>
      <c r="P1982" t="s">
        <v>6347</v>
      </c>
      <c r="Q1982" t="str">
        <f>IF($C1982="","",IFERROR(VLOOKUP($C1982,sources!$A$2:$N$200,2,FALSE()),"?"))</f>
        <v>Map</v>
      </c>
      <c r="S1982" t="str">
        <f>IF($C1982="","",IFERROR(VLOOKUP($C1982,sources!$A$2:$N$200,9,FALSE()),"?"))</f>
        <v>US official</v>
      </c>
    </row>
    <row r="1983" spans="1:19" x14ac:dyDescent="0.2">
      <c r="A1983" t="s">
        <v>6348</v>
      </c>
      <c r="B1983" t="s">
        <v>805</v>
      </c>
      <c r="C1983" t="s">
        <v>1375</v>
      </c>
      <c r="D1983" t="s">
        <v>1599</v>
      </c>
      <c r="E1983" t="s">
        <v>806</v>
      </c>
      <c r="F1983" t="s">
        <v>1612</v>
      </c>
      <c r="I1983" t="s">
        <v>1077</v>
      </c>
      <c r="K1983">
        <v>1947</v>
      </c>
      <c r="L1983">
        <v>1947</v>
      </c>
      <c r="M1983" t="s">
        <v>228</v>
      </c>
      <c r="N1983" t="s">
        <v>222</v>
      </c>
      <c r="O1983" t="s">
        <v>5847</v>
      </c>
      <c r="P1983" t="s">
        <v>6349</v>
      </c>
      <c r="Q1983" t="str">
        <f>IF($C1983="","",IFERROR(VLOOKUP($C1983,sources!$A$2:$N$200,2,FALSE()),"?"))</f>
        <v>Map</v>
      </c>
      <c r="S1983" t="str">
        <f>IF($C1983="","",IFERROR(VLOOKUP($C1983,sources!$A$2:$N$200,9,FALSE()),"?"))</f>
        <v>US official</v>
      </c>
    </row>
    <row r="1984" spans="1:19" x14ac:dyDescent="0.2">
      <c r="A1984" t="s">
        <v>6350</v>
      </c>
      <c r="B1984" t="s">
        <v>1013</v>
      </c>
      <c r="C1984" t="s">
        <v>1375</v>
      </c>
      <c r="D1984" t="s">
        <v>1666</v>
      </c>
      <c r="E1984" t="s">
        <v>1014</v>
      </c>
      <c r="F1984" t="s">
        <v>1612</v>
      </c>
      <c r="I1984" t="s">
        <v>1077</v>
      </c>
      <c r="K1984">
        <v>1947</v>
      </c>
      <c r="L1984">
        <v>1947</v>
      </c>
      <c r="M1984" t="s">
        <v>228</v>
      </c>
      <c r="N1984" t="s">
        <v>228</v>
      </c>
      <c r="O1984" t="s">
        <v>5847</v>
      </c>
      <c r="P1984" t="s">
        <v>6351</v>
      </c>
      <c r="Q1984" t="str">
        <f>IF($C1984="","",IFERROR(VLOOKUP($C1984,sources!$A$2:$N$200,2,FALSE()),"?"))</f>
        <v>Map</v>
      </c>
      <c r="S1984" t="str">
        <f>IF($C1984="","",IFERROR(VLOOKUP($C1984,sources!$A$2:$N$200,9,FALSE()),"?"))</f>
        <v>US official</v>
      </c>
    </row>
    <row r="1985" spans="1:19" x14ac:dyDescent="0.2">
      <c r="A1985" t="s">
        <v>6352</v>
      </c>
      <c r="B1985" t="s">
        <v>1016</v>
      </c>
      <c r="C1985" t="s">
        <v>1375</v>
      </c>
      <c r="D1985" t="s">
        <v>1666</v>
      </c>
      <c r="E1985" t="s">
        <v>1017</v>
      </c>
      <c r="F1985" t="s">
        <v>1612</v>
      </c>
      <c r="I1985" t="s">
        <v>1077</v>
      </c>
      <c r="K1985">
        <v>1947</v>
      </c>
      <c r="L1985">
        <v>1947</v>
      </c>
      <c r="M1985" t="s">
        <v>228</v>
      </c>
      <c r="N1985" t="s">
        <v>209</v>
      </c>
      <c r="O1985" t="s">
        <v>5847</v>
      </c>
      <c r="P1985" t="s">
        <v>6353</v>
      </c>
      <c r="Q1985" t="str">
        <f>IF($C1985="","",IFERROR(VLOOKUP($C1985,sources!$A$2:$N$200,2,FALSE()),"?"))</f>
        <v>Map</v>
      </c>
      <c r="S1985" t="str">
        <f>IF($C1985="","",IFERROR(VLOOKUP($C1985,sources!$A$2:$N$200,9,FALSE()),"?"))</f>
        <v>US official</v>
      </c>
    </row>
    <row r="1986" spans="1:19" x14ac:dyDescent="0.2">
      <c r="A1986" t="s">
        <v>6354</v>
      </c>
      <c r="B1986" t="s">
        <v>1021</v>
      </c>
      <c r="C1986" t="s">
        <v>1187</v>
      </c>
      <c r="D1986" t="s">
        <v>1666</v>
      </c>
      <c r="E1986" t="s">
        <v>1022</v>
      </c>
      <c r="F1986" t="s">
        <v>1612</v>
      </c>
      <c r="I1986" t="s">
        <v>1077</v>
      </c>
      <c r="K1986">
        <v>1911</v>
      </c>
      <c r="L1986">
        <v>1911</v>
      </c>
      <c r="M1986" t="s">
        <v>228</v>
      </c>
      <c r="N1986" t="s">
        <v>228</v>
      </c>
      <c r="O1986" t="s">
        <v>5847</v>
      </c>
      <c r="P1986" t="s">
        <v>6355</v>
      </c>
      <c r="Q1986" t="str">
        <f>IF($C1986="","",IFERROR(VLOOKUP($C1986,sources!$A$2:$N$200,2,FALSE()),"?"))</f>
        <v>Map</v>
      </c>
      <c r="S1986" t="str">
        <f>IF($C1986="","",IFERROR(VLOOKUP($C1986,sources!$A$2:$N$200,9,FALSE()),"?"))</f>
        <v>US official</v>
      </c>
    </row>
    <row r="1987" spans="1:19" x14ac:dyDescent="0.2">
      <c r="A1987" t="s">
        <v>6356</v>
      </c>
      <c r="B1987" t="s">
        <v>1021</v>
      </c>
      <c r="C1987" t="s">
        <v>1375</v>
      </c>
      <c r="D1987" t="s">
        <v>1666</v>
      </c>
      <c r="E1987" t="s">
        <v>1022</v>
      </c>
      <c r="F1987" t="s">
        <v>1612</v>
      </c>
      <c r="I1987" t="s">
        <v>1077</v>
      </c>
      <c r="K1987">
        <v>1947</v>
      </c>
      <c r="L1987">
        <v>1947</v>
      </c>
      <c r="M1987" t="s">
        <v>228</v>
      </c>
      <c r="N1987" t="s">
        <v>209</v>
      </c>
      <c r="O1987" t="s">
        <v>5847</v>
      </c>
      <c r="P1987" t="s">
        <v>6357</v>
      </c>
      <c r="Q1987" t="str">
        <f>IF($C1987="","",IFERROR(VLOOKUP($C1987,sources!$A$2:$N$200,2,FALSE()),"?"))</f>
        <v>Map</v>
      </c>
      <c r="S1987" t="str">
        <f>IF($C1987="","",IFERROR(VLOOKUP($C1987,sources!$A$2:$N$200,9,FALSE()),"?"))</f>
        <v>US official</v>
      </c>
    </row>
    <row r="1988" spans="1:19" x14ac:dyDescent="0.2">
      <c r="A1988" t="s">
        <v>6358</v>
      </c>
      <c r="B1988" t="s">
        <v>462</v>
      </c>
      <c r="C1988" t="s">
        <v>1516</v>
      </c>
      <c r="D1988" t="s">
        <v>1599</v>
      </c>
      <c r="E1988" t="s">
        <v>5852</v>
      </c>
      <c r="F1988" t="s">
        <v>3285</v>
      </c>
      <c r="I1988" t="s">
        <v>1077</v>
      </c>
      <c r="K1988">
        <v>1886</v>
      </c>
      <c r="L1988">
        <v>1886</v>
      </c>
      <c r="M1988" t="s">
        <v>228</v>
      </c>
      <c r="N1988" t="s">
        <v>222</v>
      </c>
      <c r="O1988" t="s">
        <v>5847</v>
      </c>
      <c r="P1988" t="s">
        <v>6359</v>
      </c>
      <c r="Q1988" t="str">
        <f>IF($C1988="","",IFERROR(VLOOKUP($C1988,sources!$A$2:$N$200,2,FALSE()),"?"))</f>
        <v>Map</v>
      </c>
      <c r="S1988" t="str">
        <f>IF($C1988="","",IFERROR(VLOOKUP($C1988,sources!$A$2:$N$200,9,FALSE()),"?"))</f>
        <v>French company</v>
      </c>
    </row>
    <row r="1989" spans="1:19" x14ac:dyDescent="0.2">
      <c r="A1989" t="s">
        <v>6360</v>
      </c>
      <c r="B1989" t="s">
        <v>408</v>
      </c>
      <c r="C1989" t="s">
        <v>1516</v>
      </c>
      <c r="D1989" t="s">
        <v>1599</v>
      </c>
      <c r="E1989" t="s">
        <v>409</v>
      </c>
      <c r="F1989" t="s">
        <v>3285</v>
      </c>
      <c r="I1989" t="s">
        <v>1077</v>
      </c>
      <c r="K1989">
        <v>1886</v>
      </c>
      <c r="L1989">
        <v>1886</v>
      </c>
      <c r="M1989" t="s">
        <v>228</v>
      </c>
      <c r="N1989" t="s">
        <v>222</v>
      </c>
      <c r="O1989" t="s">
        <v>5847</v>
      </c>
      <c r="P1989" t="s">
        <v>6361</v>
      </c>
      <c r="Q1989" t="str">
        <f>IF($C1989="","",IFERROR(VLOOKUP($C1989,sources!$A$2:$N$200,2,FALSE()),"?"))</f>
        <v>Map</v>
      </c>
      <c r="S1989" t="str">
        <f>IF($C1989="","",IFERROR(VLOOKUP($C1989,sources!$A$2:$N$200,9,FALSE()),"?"))</f>
        <v>French company</v>
      </c>
    </row>
    <row r="1990" spans="1:19" x14ac:dyDescent="0.2">
      <c r="A1990" t="s">
        <v>6362</v>
      </c>
      <c r="B1990" t="s">
        <v>622</v>
      </c>
      <c r="C1990" t="s">
        <v>1516</v>
      </c>
      <c r="D1990" t="s">
        <v>1599</v>
      </c>
      <c r="E1990" t="s">
        <v>623</v>
      </c>
      <c r="F1990" t="s">
        <v>3285</v>
      </c>
      <c r="I1990" t="s">
        <v>1077</v>
      </c>
      <c r="K1990">
        <v>1886</v>
      </c>
      <c r="L1990">
        <v>1886</v>
      </c>
      <c r="M1990" t="s">
        <v>228</v>
      </c>
      <c r="N1990" t="s">
        <v>222</v>
      </c>
      <c r="O1990" t="s">
        <v>5847</v>
      </c>
      <c r="P1990" t="s">
        <v>6363</v>
      </c>
      <c r="Q1990" t="str">
        <f>IF($C1990="","",IFERROR(VLOOKUP($C1990,sources!$A$2:$N$200,2,FALSE()),"?"))</f>
        <v>Map</v>
      </c>
      <c r="S1990" t="str">
        <f>IF($C1990="","",IFERROR(VLOOKUP($C1990,sources!$A$2:$N$200,9,FALSE()),"?"))</f>
        <v>French company</v>
      </c>
    </row>
    <row r="1991" spans="1:19" x14ac:dyDescent="0.2">
      <c r="A1991" t="s">
        <v>6364</v>
      </c>
      <c r="B1991" t="s">
        <v>218</v>
      </c>
      <c r="C1991" t="s">
        <v>1516</v>
      </c>
      <c r="D1991" t="s">
        <v>1599</v>
      </c>
      <c r="E1991" t="s">
        <v>219</v>
      </c>
      <c r="F1991" t="s">
        <v>3285</v>
      </c>
      <c r="I1991" t="s">
        <v>1077</v>
      </c>
      <c r="K1991">
        <v>1886</v>
      </c>
      <c r="L1991">
        <v>1886</v>
      </c>
      <c r="M1991" t="s">
        <v>228</v>
      </c>
      <c r="N1991" t="s">
        <v>222</v>
      </c>
      <c r="O1991" t="s">
        <v>5847</v>
      </c>
      <c r="P1991" t="s">
        <v>6365</v>
      </c>
      <c r="Q1991" t="str">
        <f>IF($C1991="","",IFERROR(VLOOKUP($C1991,sources!$A$2:$N$200,2,FALSE()),"?"))</f>
        <v>Map</v>
      </c>
      <c r="S1991" t="str">
        <f>IF($C1991="","",IFERROR(VLOOKUP($C1991,sources!$A$2:$N$200,9,FALSE()),"?"))</f>
        <v>French company</v>
      </c>
    </row>
    <row r="1992" spans="1:19" x14ac:dyDescent="0.2">
      <c r="A1992" t="s">
        <v>6366</v>
      </c>
      <c r="B1992" t="s">
        <v>388</v>
      </c>
      <c r="C1992" t="s">
        <v>1516</v>
      </c>
      <c r="D1992" t="s">
        <v>1599</v>
      </c>
      <c r="E1992" t="s">
        <v>389</v>
      </c>
      <c r="F1992" t="s">
        <v>3285</v>
      </c>
      <c r="I1992" t="s">
        <v>1077</v>
      </c>
      <c r="K1992">
        <v>1886</v>
      </c>
      <c r="L1992">
        <v>1886</v>
      </c>
      <c r="M1992" t="s">
        <v>228</v>
      </c>
      <c r="N1992" t="s">
        <v>222</v>
      </c>
      <c r="O1992" t="s">
        <v>5847</v>
      </c>
      <c r="P1992" t="s">
        <v>6367</v>
      </c>
      <c r="Q1992" t="str">
        <f>IF($C1992="","",IFERROR(VLOOKUP($C1992,sources!$A$2:$N$200,2,FALSE()),"?"))</f>
        <v>Map</v>
      </c>
      <c r="S1992" t="str">
        <f>IF($C1992="","",IFERROR(VLOOKUP($C1992,sources!$A$2:$N$200,9,FALSE()),"?"))</f>
        <v>French company</v>
      </c>
    </row>
    <row r="1993" spans="1:19" x14ac:dyDescent="0.2">
      <c r="A1993" t="s">
        <v>6368</v>
      </c>
      <c r="B1993" t="s">
        <v>529</v>
      </c>
      <c r="C1993" t="s">
        <v>1516</v>
      </c>
      <c r="D1993" t="s">
        <v>1599</v>
      </c>
      <c r="E1993" t="s">
        <v>530</v>
      </c>
      <c r="F1993" t="s">
        <v>3285</v>
      </c>
      <c r="I1993" t="s">
        <v>1077</v>
      </c>
      <c r="K1993">
        <v>1886</v>
      </c>
      <c r="L1993">
        <v>1886</v>
      </c>
      <c r="M1993" t="s">
        <v>228</v>
      </c>
      <c r="N1993" t="s">
        <v>222</v>
      </c>
      <c r="O1993" t="s">
        <v>5847</v>
      </c>
      <c r="P1993" t="s">
        <v>6369</v>
      </c>
      <c r="Q1993" t="str">
        <f>IF($C1993="","",IFERROR(VLOOKUP($C1993,sources!$A$2:$N$200,2,FALSE()),"?"))</f>
        <v>Map</v>
      </c>
      <c r="S1993" t="str">
        <f>IF($C1993="","",IFERROR(VLOOKUP($C1993,sources!$A$2:$N$200,9,FALSE()),"?"))</f>
        <v>French company</v>
      </c>
    </row>
    <row r="1994" spans="1:19" x14ac:dyDescent="0.2">
      <c r="A1994" t="s">
        <v>6370</v>
      </c>
      <c r="B1994" t="s">
        <v>820</v>
      </c>
      <c r="C1994" t="s">
        <v>1516</v>
      </c>
      <c r="D1994" t="s">
        <v>1599</v>
      </c>
      <c r="E1994" t="s">
        <v>6371</v>
      </c>
      <c r="F1994" t="s">
        <v>3285</v>
      </c>
      <c r="I1994" t="s">
        <v>1077</v>
      </c>
      <c r="K1994">
        <v>1886</v>
      </c>
      <c r="L1994">
        <v>1886</v>
      </c>
      <c r="M1994" t="s">
        <v>228</v>
      </c>
      <c r="N1994" t="s">
        <v>222</v>
      </c>
      <c r="O1994" t="s">
        <v>5847</v>
      </c>
      <c r="P1994" t="s">
        <v>6372</v>
      </c>
      <c r="Q1994" t="str">
        <f>IF($C1994="","",IFERROR(VLOOKUP($C1994,sources!$A$2:$N$200,2,FALSE()),"?"))</f>
        <v>Map</v>
      </c>
      <c r="S1994" t="str">
        <f>IF($C1994="","",IFERROR(VLOOKUP($C1994,sources!$A$2:$N$200,9,FALSE()),"?"))</f>
        <v>French company</v>
      </c>
    </row>
    <row r="1995" spans="1:19" x14ac:dyDescent="0.2">
      <c r="A1995" t="s">
        <v>6373</v>
      </c>
      <c r="B1995" t="s">
        <v>354</v>
      </c>
      <c r="C1995" t="s">
        <v>1516</v>
      </c>
      <c r="D1995" t="s">
        <v>1585</v>
      </c>
      <c r="E1995" t="s">
        <v>6374</v>
      </c>
      <c r="F1995" t="s">
        <v>3285</v>
      </c>
      <c r="I1995" t="s">
        <v>1077</v>
      </c>
      <c r="K1995">
        <v>1886</v>
      </c>
      <c r="L1995">
        <v>1886</v>
      </c>
      <c r="M1995" t="s">
        <v>228</v>
      </c>
      <c r="N1995" t="s">
        <v>228</v>
      </c>
      <c r="O1995" t="s">
        <v>5847</v>
      </c>
      <c r="P1995" t="s">
        <v>6375</v>
      </c>
      <c r="Q1995" t="str">
        <f>IF($C1995="","",IFERROR(VLOOKUP($C1995,sources!$A$2:$N$200,2,FALSE()),"?"))</f>
        <v>Map</v>
      </c>
      <c r="S1995" t="str">
        <f>IF($C1995="","",IFERROR(VLOOKUP($C1995,sources!$A$2:$N$200,9,FALSE()),"?"))</f>
        <v>French company</v>
      </c>
    </row>
    <row r="1996" spans="1:19" x14ac:dyDescent="0.2">
      <c r="A1996" t="s">
        <v>6376</v>
      </c>
      <c r="B1996" t="s">
        <v>649</v>
      </c>
      <c r="C1996" t="s">
        <v>1516</v>
      </c>
      <c r="D1996" t="s">
        <v>1585</v>
      </c>
      <c r="E1996" t="s">
        <v>3925</v>
      </c>
      <c r="F1996" t="s">
        <v>3285</v>
      </c>
      <c r="I1996" t="s">
        <v>1077</v>
      </c>
      <c r="K1996">
        <v>1886</v>
      </c>
      <c r="L1996">
        <v>1886</v>
      </c>
      <c r="M1996" t="s">
        <v>228</v>
      </c>
      <c r="N1996" t="s">
        <v>228</v>
      </c>
      <c r="O1996" t="s">
        <v>5847</v>
      </c>
      <c r="P1996" t="s">
        <v>6377</v>
      </c>
      <c r="Q1996" t="str">
        <f>IF($C1996="","",IFERROR(VLOOKUP($C1996,sources!$A$2:$N$200,2,FALSE()),"?"))</f>
        <v>Map</v>
      </c>
      <c r="S1996" t="str">
        <f>IF($C1996="","",IFERROR(VLOOKUP($C1996,sources!$A$2:$N$200,9,FALSE()),"?"))</f>
        <v>French company</v>
      </c>
    </row>
    <row r="1997" spans="1:19" x14ac:dyDescent="0.2">
      <c r="A1997" t="s">
        <v>6378</v>
      </c>
      <c r="B1997" t="s">
        <v>649</v>
      </c>
      <c r="C1997" t="s">
        <v>1516</v>
      </c>
      <c r="D1997" t="s">
        <v>1666</v>
      </c>
      <c r="E1997" t="s">
        <v>3934</v>
      </c>
      <c r="F1997" t="s">
        <v>3285</v>
      </c>
      <c r="I1997" t="s">
        <v>1077</v>
      </c>
      <c r="K1997">
        <v>1886</v>
      </c>
      <c r="L1997">
        <v>1886</v>
      </c>
      <c r="M1997" t="s">
        <v>228</v>
      </c>
      <c r="N1997" t="s">
        <v>228</v>
      </c>
      <c r="O1997" t="s">
        <v>5847</v>
      </c>
      <c r="P1997" t="s">
        <v>6379</v>
      </c>
      <c r="Q1997" t="str">
        <f>IF($C1997="","",IFERROR(VLOOKUP($C1997,sources!$A$2:$N$200,2,FALSE()),"?"))</f>
        <v>Map</v>
      </c>
      <c r="S1997" t="str">
        <f>IF($C1997="","",IFERROR(VLOOKUP($C1997,sources!$A$2:$N$200,9,FALSE()),"?"))</f>
        <v>French company</v>
      </c>
    </row>
    <row r="1998" spans="1:19" x14ac:dyDescent="0.2">
      <c r="A1998" t="s">
        <v>6380</v>
      </c>
      <c r="B1998" t="s">
        <v>929</v>
      </c>
      <c r="C1998" t="s">
        <v>1516</v>
      </c>
      <c r="D1998" t="s">
        <v>1585</v>
      </c>
      <c r="E1998" t="s">
        <v>6381</v>
      </c>
      <c r="F1998" t="s">
        <v>3285</v>
      </c>
      <c r="I1998" t="s">
        <v>1077</v>
      </c>
      <c r="K1998">
        <v>1886</v>
      </c>
      <c r="L1998">
        <v>1886</v>
      </c>
      <c r="M1998" t="s">
        <v>228</v>
      </c>
      <c r="N1998" t="s">
        <v>222</v>
      </c>
      <c r="O1998" t="s">
        <v>5847</v>
      </c>
      <c r="P1998" t="s">
        <v>6382</v>
      </c>
      <c r="Q1998" t="str">
        <f>IF($C1998="","",IFERROR(VLOOKUP($C1998,sources!$A$2:$N$200,2,FALSE()),"?"))</f>
        <v>Map</v>
      </c>
      <c r="S1998" t="str">
        <f>IF($C1998="","",IFERROR(VLOOKUP($C1998,sources!$A$2:$N$200,9,FALSE()),"?"))</f>
        <v>French company</v>
      </c>
    </row>
    <row r="1999" spans="1:19" x14ac:dyDescent="0.2">
      <c r="A1999" t="s">
        <v>6383</v>
      </c>
      <c r="B1999" t="s">
        <v>929</v>
      </c>
      <c r="C1999" t="s">
        <v>1516</v>
      </c>
      <c r="D1999" t="s">
        <v>1666</v>
      </c>
      <c r="E1999" t="s">
        <v>6241</v>
      </c>
      <c r="F1999" t="s">
        <v>3285</v>
      </c>
      <c r="I1999" t="s">
        <v>1077</v>
      </c>
      <c r="K1999">
        <v>1886</v>
      </c>
      <c r="L1999">
        <v>1886</v>
      </c>
      <c r="M1999" t="s">
        <v>228</v>
      </c>
      <c r="N1999" t="s">
        <v>228</v>
      </c>
      <c r="O1999" t="s">
        <v>5847</v>
      </c>
      <c r="P1999" t="s">
        <v>6384</v>
      </c>
      <c r="Q1999" t="str">
        <f>IF($C1999="","",IFERROR(VLOOKUP($C1999,sources!$A$2:$N$200,2,FALSE()),"?"))</f>
        <v>Map</v>
      </c>
      <c r="S1999" t="str">
        <f>IF($C1999="","",IFERROR(VLOOKUP($C1999,sources!$A$2:$N$200,9,FALSE()),"?"))</f>
        <v>French company</v>
      </c>
    </row>
    <row r="2000" spans="1:19" x14ac:dyDescent="0.2">
      <c r="A2000" t="s">
        <v>6385</v>
      </c>
      <c r="B2000" t="s">
        <v>936</v>
      </c>
      <c r="C2000" t="s">
        <v>1516</v>
      </c>
      <c r="D2000" t="s">
        <v>1585</v>
      </c>
      <c r="E2000" t="s">
        <v>6386</v>
      </c>
      <c r="F2000" t="s">
        <v>3285</v>
      </c>
      <c r="I2000" t="s">
        <v>1077</v>
      </c>
      <c r="K2000">
        <v>1886</v>
      </c>
      <c r="L2000">
        <v>1886</v>
      </c>
      <c r="M2000" t="s">
        <v>228</v>
      </c>
      <c r="N2000" t="s">
        <v>222</v>
      </c>
      <c r="O2000" t="s">
        <v>5847</v>
      </c>
      <c r="P2000" t="s">
        <v>6387</v>
      </c>
      <c r="Q2000" t="str">
        <f>IF($C2000="","",IFERROR(VLOOKUP($C2000,sources!$A$2:$N$200,2,FALSE()),"?"))</f>
        <v>Map</v>
      </c>
      <c r="S2000" t="str">
        <f>IF($C2000="","",IFERROR(VLOOKUP($C2000,sources!$A$2:$N$200,9,FALSE()),"?"))</f>
        <v>French company</v>
      </c>
    </row>
    <row r="2001" spans="1:19" x14ac:dyDescent="0.2">
      <c r="A2001" t="s">
        <v>6388</v>
      </c>
      <c r="B2001" t="s">
        <v>936</v>
      </c>
      <c r="C2001" t="s">
        <v>1516</v>
      </c>
      <c r="D2001" t="s">
        <v>1666</v>
      </c>
      <c r="E2001" t="s">
        <v>6389</v>
      </c>
      <c r="F2001" t="s">
        <v>3285</v>
      </c>
      <c r="I2001" t="s">
        <v>1077</v>
      </c>
      <c r="K2001">
        <v>1886</v>
      </c>
      <c r="L2001">
        <v>1886</v>
      </c>
      <c r="M2001" t="s">
        <v>228</v>
      </c>
      <c r="N2001" t="s">
        <v>228</v>
      </c>
      <c r="O2001" t="s">
        <v>5847</v>
      </c>
      <c r="P2001" t="s">
        <v>6384</v>
      </c>
      <c r="Q2001" t="str">
        <f>IF($C2001="","",IFERROR(VLOOKUP($C2001,sources!$A$2:$N$200,2,FALSE()),"?"))</f>
        <v>Map</v>
      </c>
      <c r="S2001" t="str">
        <f>IF($C2001="","",IFERROR(VLOOKUP($C2001,sources!$A$2:$N$200,9,FALSE()),"?"))</f>
        <v>French company</v>
      </c>
    </row>
    <row r="2002" spans="1:19" x14ac:dyDescent="0.2">
      <c r="A2002" t="s">
        <v>6390</v>
      </c>
      <c r="B2002" t="s">
        <v>939</v>
      </c>
      <c r="C2002" t="s">
        <v>1516</v>
      </c>
      <c r="D2002" t="s">
        <v>1585</v>
      </c>
      <c r="E2002" t="s">
        <v>6391</v>
      </c>
      <c r="F2002" t="s">
        <v>3285</v>
      </c>
      <c r="I2002" t="s">
        <v>1077</v>
      </c>
      <c r="K2002">
        <v>1886</v>
      </c>
      <c r="L2002">
        <v>1886</v>
      </c>
      <c r="M2002" t="s">
        <v>228</v>
      </c>
      <c r="N2002" t="s">
        <v>222</v>
      </c>
      <c r="O2002" t="s">
        <v>5847</v>
      </c>
      <c r="P2002" t="s">
        <v>6392</v>
      </c>
      <c r="Q2002" t="str">
        <f>IF($C2002="","",IFERROR(VLOOKUP($C2002,sources!$A$2:$N$200,2,FALSE()),"?"))</f>
        <v>Map</v>
      </c>
      <c r="S2002" t="str">
        <f>IF($C2002="","",IFERROR(VLOOKUP($C2002,sources!$A$2:$N$200,9,FALSE()),"?"))</f>
        <v>French company</v>
      </c>
    </row>
    <row r="2003" spans="1:19" x14ac:dyDescent="0.2">
      <c r="A2003" t="s">
        <v>6393</v>
      </c>
      <c r="B2003" t="s">
        <v>939</v>
      </c>
      <c r="C2003" t="s">
        <v>1516</v>
      </c>
      <c r="D2003" t="s">
        <v>1666</v>
      </c>
      <c r="E2003" t="s">
        <v>6394</v>
      </c>
      <c r="F2003" t="s">
        <v>3285</v>
      </c>
      <c r="I2003" t="s">
        <v>1077</v>
      </c>
      <c r="K2003">
        <v>1886</v>
      </c>
      <c r="L2003">
        <v>1886</v>
      </c>
      <c r="M2003" t="s">
        <v>228</v>
      </c>
      <c r="N2003" t="s">
        <v>228</v>
      </c>
      <c r="O2003" t="s">
        <v>5847</v>
      </c>
      <c r="P2003" t="s">
        <v>6384</v>
      </c>
      <c r="Q2003" t="str">
        <f>IF($C2003="","",IFERROR(VLOOKUP($C2003,sources!$A$2:$N$200,2,FALSE()),"?"))</f>
        <v>Map</v>
      </c>
      <c r="S2003" t="str">
        <f>IF($C2003="","",IFERROR(VLOOKUP($C2003,sources!$A$2:$N$200,9,FALSE()),"?"))</f>
        <v>French company</v>
      </c>
    </row>
    <row r="2004" spans="1:19" x14ac:dyDescent="0.2">
      <c r="A2004" t="s">
        <v>6395</v>
      </c>
      <c r="B2004" t="s">
        <v>230</v>
      </c>
      <c r="C2004" t="s">
        <v>1516</v>
      </c>
      <c r="D2004" t="s">
        <v>1585</v>
      </c>
      <c r="E2004" t="s">
        <v>4027</v>
      </c>
      <c r="F2004" t="s">
        <v>3285</v>
      </c>
      <c r="I2004" t="s">
        <v>1077</v>
      </c>
      <c r="K2004">
        <v>1886</v>
      </c>
      <c r="L2004">
        <v>1886</v>
      </c>
      <c r="M2004" t="s">
        <v>228</v>
      </c>
      <c r="N2004" t="s">
        <v>228</v>
      </c>
      <c r="O2004" t="s">
        <v>5847</v>
      </c>
      <c r="P2004" t="s">
        <v>6396</v>
      </c>
      <c r="Q2004" t="str">
        <f>IF($C2004="","",IFERROR(VLOOKUP($C2004,sources!$A$2:$N$200,2,FALSE()),"?"))</f>
        <v>Map</v>
      </c>
      <c r="S2004" t="str">
        <f>IF($C2004="","",IFERROR(VLOOKUP($C2004,sources!$A$2:$N$200,9,FALSE()),"?"))</f>
        <v>French company</v>
      </c>
    </row>
    <row r="2005" spans="1:19" x14ac:dyDescent="0.2">
      <c r="A2005" t="s">
        <v>6397</v>
      </c>
      <c r="B2005" t="s">
        <v>618</v>
      </c>
      <c r="C2005" t="s">
        <v>1516</v>
      </c>
      <c r="D2005" t="s">
        <v>1585</v>
      </c>
      <c r="E2005" t="s">
        <v>4027</v>
      </c>
      <c r="F2005" t="s">
        <v>3285</v>
      </c>
      <c r="I2005" t="s">
        <v>1077</v>
      </c>
      <c r="K2005">
        <v>1886</v>
      </c>
      <c r="L2005">
        <v>1886</v>
      </c>
      <c r="M2005" t="s">
        <v>228</v>
      </c>
      <c r="N2005" t="s">
        <v>228</v>
      </c>
      <c r="O2005" t="s">
        <v>5847</v>
      </c>
      <c r="P2005" t="s">
        <v>6398</v>
      </c>
      <c r="Q2005" t="str">
        <f>IF($C2005="","",IFERROR(VLOOKUP($C2005,sources!$A$2:$N$200,2,FALSE()),"?"))</f>
        <v>Map</v>
      </c>
      <c r="S2005" t="str">
        <f>IF($C2005="","",IFERROR(VLOOKUP($C2005,sources!$A$2:$N$200,9,FALSE()),"?"))</f>
        <v>French company</v>
      </c>
    </row>
    <row r="2006" spans="1:19" x14ac:dyDescent="0.2">
      <c r="A2006" t="s">
        <v>6399</v>
      </c>
      <c r="B2006" t="s">
        <v>455</v>
      </c>
      <c r="C2006" t="s">
        <v>1516</v>
      </c>
      <c r="D2006" t="s">
        <v>1585</v>
      </c>
      <c r="E2006" t="s">
        <v>456</v>
      </c>
      <c r="F2006" t="s">
        <v>3285</v>
      </c>
      <c r="I2006" t="s">
        <v>1077</v>
      </c>
      <c r="K2006">
        <v>1886</v>
      </c>
      <c r="L2006">
        <v>1886</v>
      </c>
      <c r="M2006" t="s">
        <v>228</v>
      </c>
      <c r="N2006" t="s">
        <v>222</v>
      </c>
      <c r="O2006" t="s">
        <v>5847</v>
      </c>
      <c r="P2006" t="s">
        <v>6400</v>
      </c>
      <c r="Q2006" t="str">
        <f>IF($C2006="","",IFERROR(VLOOKUP($C2006,sources!$A$2:$N$200,2,FALSE()),"?"))</f>
        <v>Map</v>
      </c>
      <c r="S2006" t="str">
        <f>IF($C2006="","",IFERROR(VLOOKUP($C2006,sources!$A$2:$N$200,9,FALSE()),"?"))</f>
        <v>French company</v>
      </c>
    </row>
    <row r="2007" spans="1:19" x14ac:dyDescent="0.2">
      <c r="A2007" t="s">
        <v>6401</v>
      </c>
      <c r="B2007" t="s">
        <v>455</v>
      </c>
      <c r="C2007" t="s">
        <v>1516</v>
      </c>
      <c r="D2007" t="s">
        <v>1666</v>
      </c>
      <c r="E2007" t="s">
        <v>6402</v>
      </c>
      <c r="F2007" t="s">
        <v>3285</v>
      </c>
      <c r="I2007" t="s">
        <v>1077</v>
      </c>
      <c r="K2007">
        <v>1886</v>
      </c>
      <c r="L2007">
        <v>1886</v>
      </c>
      <c r="M2007" t="s">
        <v>228</v>
      </c>
      <c r="N2007" t="s">
        <v>228</v>
      </c>
      <c r="O2007" t="s">
        <v>5847</v>
      </c>
      <c r="P2007" t="s">
        <v>6384</v>
      </c>
      <c r="Q2007" t="str">
        <f>IF($C2007="","",IFERROR(VLOOKUP($C2007,sources!$A$2:$N$200,2,FALSE()),"?"))</f>
        <v>Map</v>
      </c>
      <c r="S2007" t="str">
        <f>IF($C2007="","",IFERROR(VLOOKUP($C2007,sources!$A$2:$N$200,9,FALSE()),"?"))</f>
        <v>French company</v>
      </c>
    </row>
    <row r="2008" spans="1:19" x14ac:dyDescent="0.2">
      <c r="A2008" t="s">
        <v>6403</v>
      </c>
      <c r="B2008" t="s">
        <v>232</v>
      </c>
      <c r="C2008" t="s">
        <v>1516</v>
      </c>
      <c r="D2008" t="s">
        <v>1585</v>
      </c>
      <c r="E2008" t="s">
        <v>6404</v>
      </c>
      <c r="F2008" t="s">
        <v>3285</v>
      </c>
      <c r="I2008" t="s">
        <v>1077</v>
      </c>
      <c r="K2008">
        <v>1886</v>
      </c>
      <c r="L2008">
        <v>1886</v>
      </c>
      <c r="M2008" t="s">
        <v>228</v>
      </c>
      <c r="N2008" t="s">
        <v>209</v>
      </c>
      <c r="O2008" t="s">
        <v>5847</v>
      </c>
      <c r="P2008" t="s">
        <v>6405</v>
      </c>
      <c r="Q2008" t="str">
        <f>IF($C2008="","",IFERROR(VLOOKUP($C2008,sources!$A$2:$N$200,2,FALSE()),"?"))</f>
        <v>Map</v>
      </c>
      <c r="S2008" t="str">
        <f>IF($C2008="","",IFERROR(VLOOKUP($C2008,sources!$A$2:$N$200,9,FALSE()),"?"))</f>
        <v>French company</v>
      </c>
    </row>
    <row r="2009" spans="1:19" x14ac:dyDescent="0.2">
      <c r="A2009" t="s">
        <v>6406</v>
      </c>
      <c r="B2009" t="s">
        <v>777</v>
      </c>
      <c r="C2009" t="s">
        <v>1516</v>
      </c>
      <c r="D2009" t="s">
        <v>1599</v>
      </c>
      <c r="E2009" t="s">
        <v>6407</v>
      </c>
      <c r="F2009" t="s">
        <v>3285</v>
      </c>
      <c r="I2009" t="s">
        <v>1077</v>
      </c>
      <c r="K2009">
        <v>1886</v>
      </c>
      <c r="L2009">
        <v>1886</v>
      </c>
      <c r="M2009" t="s">
        <v>228</v>
      </c>
      <c r="N2009" t="s">
        <v>209</v>
      </c>
      <c r="O2009" t="s">
        <v>5847</v>
      </c>
      <c r="P2009" t="s">
        <v>6408</v>
      </c>
      <c r="Q2009" t="str">
        <f>IF($C2009="","",IFERROR(VLOOKUP($C2009,sources!$A$2:$N$200,2,FALSE()),"?"))</f>
        <v>Map</v>
      </c>
      <c r="S2009" t="str">
        <f>IF($C2009="","",IFERROR(VLOOKUP($C2009,sources!$A$2:$N$200,9,FALSE()),"?"))</f>
        <v>French company</v>
      </c>
    </row>
    <row r="2010" spans="1:19" x14ac:dyDescent="0.2">
      <c r="A2010" t="s">
        <v>6409</v>
      </c>
      <c r="B2010" t="s">
        <v>955</v>
      </c>
      <c r="C2010" t="s">
        <v>1516</v>
      </c>
      <c r="D2010" t="s">
        <v>1599</v>
      </c>
      <c r="E2010" t="s">
        <v>6410</v>
      </c>
      <c r="F2010" t="s">
        <v>3285</v>
      </c>
      <c r="I2010" t="s">
        <v>1077</v>
      </c>
      <c r="K2010">
        <v>1886</v>
      </c>
      <c r="L2010">
        <v>1886</v>
      </c>
      <c r="M2010" t="s">
        <v>228</v>
      </c>
      <c r="N2010" t="s">
        <v>228</v>
      </c>
      <c r="O2010" t="s">
        <v>5847</v>
      </c>
      <c r="P2010" t="s">
        <v>6411</v>
      </c>
      <c r="Q2010" t="str">
        <f>IF($C2010="","",IFERROR(VLOOKUP($C2010,sources!$A$2:$N$200,2,FALSE()),"?"))</f>
        <v>Map</v>
      </c>
      <c r="S2010" t="str">
        <f>IF($C2010="","",IFERROR(VLOOKUP($C2010,sources!$A$2:$N$200,9,FALSE()),"?"))</f>
        <v>French company</v>
      </c>
    </row>
    <row r="2011" spans="1:19" x14ac:dyDescent="0.2">
      <c r="A2011" t="s">
        <v>6412</v>
      </c>
      <c r="B2011" t="s">
        <v>213</v>
      </c>
      <c r="C2011" t="s">
        <v>1516</v>
      </c>
      <c r="D2011" t="s">
        <v>1666</v>
      </c>
      <c r="E2011" t="s">
        <v>214</v>
      </c>
      <c r="F2011" t="s">
        <v>3285</v>
      </c>
      <c r="I2011" t="s">
        <v>1077</v>
      </c>
      <c r="K2011">
        <v>1886</v>
      </c>
      <c r="L2011">
        <v>1886</v>
      </c>
      <c r="M2011" t="s">
        <v>228</v>
      </c>
      <c r="N2011" t="s">
        <v>222</v>
      </c>
      <c r="O2011" t="s">
        <v>5847</v>
      </c>
      <c r="P2011" t="s">
        <v>6413</v>
      </c>
      <c r="Q2011" t="str">
        <f>IF($C2011="","",IFERROR(VLOOKUP($C2011,sources!$A$2:$N$200,2,FALSE()),"?"))</f>
        <v>Map</v>
      </c>
      <c r="S2011" t="str">
        <f>IF($C2011="","",IFERROR(VLOOKUP($C2011,sources!$A$2:$N$200,9,FALSE()),"?"))</f>
        <v>French company</v>
      </c>
    </row>
    <row r="2012" spans="1:19" x14ac:dyDescent="0.2">
      <c r="A2012" t="s">
        <v>6414</v>
      </c>
      <c r="B2012" t="s">
        <v>236</v>
      </c>
      <c r="C2012" t="s">
        <v>1516</v>
      </c>
      <c r="D2012" t="s">
        <v>1666</v>
      </c>
      <c r="E2012" t="s">
        <v>237</v>
      </c>
      <c r="F2012" t="s">
        <v>3285</v>
      </c>
      <c r="I2012" t="s">
        <v>1077</v>
      </c>
      <c r="K2012">
        <v>1886</v>
      </c>
      <c r="L2012">
        <v>1886</v>
      </c>
      <c r="M2012" t="s">
        <v>228</v>
      </c>
      <c r="N2012" t="s">
        <v>228</v>
      </c>
      <c r="O2012" t="s">
        <v>5847</v>
      </c>
      <c r="P2012" t="s">
        <v>6415</v>
      </c>
      <c r="Q2012" t="str">
        <f>IF($C2012="","",IFERROR(VLOOKUP($C2012,sources!$A$2:$N$200,2,FALSE()),"?"))</f>
        <v>Map</v>
      </c>
      <c r="S2012" t="str">
        <f>IF($C2012="","",IFERROR(VLOOKUP($C2012,sources!$A$2:$N$200,9,FALSE()),"?"))</f>
        <v>French company</v>
      </c>
    </row>
    <row r="2013" spans="1:19" x14ac:dyDescent="0.2">
      <c r="A2013" t="s">
        <v>6416</v>
      </c>
      <c r="B2013" t="s">
        <v>397</v>
      </c>
      <c r="C2013" t="s">
        <v>1516</v>
      </c>
      <c r="D2013" t="s">
        <v>1666</v>
      </c>
      <c r="E2013" t="s">
        <v>398</v>
      </c>
      <c r="F2013" t="s">
        <v>3285</v>
      </c>
      <c r="I2013" t="s">
        <v>1077</v>
      </c>
      <c r="K2013">
        <v>1886</v>
      </c>
      <c r="L2013">
        <v>1886</v>
      </c>
      <c r="M2013" t="s">
        <v>228</v>
      </c>
      <c r="N2013" t="s">
        <v>228</v>
      </c>
      <c r="O2013" t="s">
        <v>5847</v>
      </c>
      <c r="P2013" t="s">
        <v>6417</v>
      </c>
      <c r="Q2013" t="str">
        <f>IF($C2013="","",IFERROR(VLOOKUP($C2013,sources!$A$2:$N$200,2,FALSE()),"?"))</f>
        <v>Map</v>
      </c>
      <c r="S2013" t="str">
        <f>IF($C2013="","",IFERROR(VLOOKUP($C2013,sources!$A$2:$N$200,9,FALSE()),"?"))</f>
        <v>French company</v>
      </c>
    </row>
    <row r="2014" spans="1:19" x14ac:dyDescent="0.2">
      <c r="A2014" t="s">
        <v>6418</v>
      </c>
      <c r="B2014" t="s">
        <v>506</v>
      </c>
      <c r="C2014" t="s">
        <v>1516</v>
      </c>
      <c r="D2014" t="s">
        <v>1666</v>
      </c>
      <c r="E2014" t="s">
        <v>507</v>
      </c>
      <c r="F2014" t="s">
        <v>3285</v>
      </c>
      <c r="I2014" t="s">
        <v>1077</v>
      </c>
      <c r="K2014">
        <v>1886</v>
      </c>
      <c r="L2014">
        <v>1886</v>
      </c>
      <c r="M2014" t="s">
        <v>228</v>
      </c>
      <c r="N2014" t="s">
        <v>228</v>
      </c>
      <c r="O2014" t="s">
        <v>5847</v>
      </c>
      <c r="P2014" t="s">
        <v>6419</v>
      </c>
      <c r="Q2014" t="str">
        <f>IF($C2014="","",IFERROR(VLOOKUP($C2014,sources!$A$2:$N$200,2,FALSE()),"?"))</f>
        <v>Map</v>
      </c>
      <c r="S2014" t="str">
        <f>IF($C2014="","",IFERROR(VLOOKUP($C2014,sources!$A$2:$N$200,9,FALSE()),"?"))</f>
        <v>French company</v>
      </c>
    </row>
    <row r="2015" spans="1:19" x14ac:dyDescent="0.2">
      <c r="A2015" t="s">
        <v>6420</v>
      </c>
      <c r="B2015" t="s">
        <v>589</v>
      </c>
      <c r="C2015" t="s">
        <v>1516</v>
      </c>
      <c r="D2015" t="s">
        <v>1666</v>
      </c>
      <c r="E2015" t="s">
        <v>590</v>
      </c>
      <c r="F2015" t="s">
        <v>3285</v>
      </c>
      <c r="I2015" t="s">
        <v>1077</v>
      </c>
      <c r="K2015">
        <v>1886</v>
      </c>
      <c r="L2015">
        <v>1886</v>
      </c>
      <c r="M2015" t="s">
        <v>228</v>
      </c>
      <c r="N2015" t="s">
        <v>228</v>
      </c>
      <c r="O2015" t="s">
        <v>5847</v>
      </c>
      <c r="P2015" t="s">
        <v>6421</v>
      </c>
      <c r="Q2015" t="str">
        <f>IF($C2015="","",IFERROR(VLOOKUP($C2015,sources!$A$2:$N$200,2,FALSE()),"?"))</f>
        <v>Map</v>
      </c>
      <c r="S2015" t="str">
        <f>IF($C2015="","",IFERROR(VLOOKUP($C2015,sources!$A$2:$N$200,9,FALSE()),"?"))</f>
        <v>French company</v>
      </c>
    </row>
    <row r="2016" spans="1:19" x14ac:dyDescent="0.2">
      <c r="A2016" t="s">
        <v>6422</v>
      </c>
      <c r="B2016" t="s">
        <v>611</v>
      </c>
      <c r="C2016" t="s">
        <v>1516</v>
      </c>
      <c r="D2016" t="s">
        <v>1666</v>
      </c>
      <c r="E2016" t="s">
        <v>612</v>
      </c>
      <c r="F2016" t="s">
        <v>3285</v>
      </c>
      <c r="I2016" t="s">
        <v>1077</v>
      </c>
      <c r="K2016">
        <v>1886</v>
      </c>
      <c r="L2016">
        <v>1886</v>
      </c>
      <c r="M2016" t="s">
        <v>228</v>
      </c>
      <c r="N2016" t="s">
        <v>228</v>
      </c>
      <c r="O2016" t="s">
        <v>5847</v>
      </c>
      <c r="P2016" t="s">
        <v>6423</v>
      </c>
      <c r="Q2016" t="str">
        <f>IF($C2016="","",IFERROR(VLOOKUP($C2016,sources!$A$2:$N$200,2,FALSE()),"?"))</f>
        <v>Map</v>
      </c>
      <c r="S2016" t="str">
        <f>IF($C2016="","",IFERROR(VLOOKUP($C2016,sources!$A$2:$N$200,9,FALSE()),"?"))</f>
        <v>French company</v>
      </c>
    </row>
    <row r="2017" spans="1:19" x14ac:dyDescent="0.2">
      <c r="A2017" t="s">
        <v>6424</v>
      </c>
      <c r="B2017" t="s">
        <v>802</v>
      </c>
      <c r="C2017" t="s">
        <v>1516</v>
      </c>
      <c r="D2017" t="s">
        <v>1666</v>
      </c>
      <c r="E2017" t="s">
        <v>803</v>
      </c>
      <c r="F2017" t="s">
        <v>3285</v>
      </c>
      <c r="I2017" t="s">
        <v>1077</v>
      </c>
      <c r="K2017">
        <v>1886</v>
      </c>
      <c r="L2017">
        <v>1886</v>
      </c>
      <c r="M2017" t="s">
        <v>228</v>
      </c>
      <c r="N2017" t="s">
        <v>228</v>
      </c>
      <c r="O2017" t="s">
        <v>5847</v>
      </c>
      <c r="P2017" t="s">
        <v>6425</v>
      </c>
      <c r="Q2017" t="str">
        <f>IF($C2017="","",IFERROR(VLOOKUP($C2017,sources!$A$2:$N$200,2,FALSE()),"?"))</f>
        <v>Map</v>
      </c>
      <c r="S2017" t="str">
        <f>IF($C2017="","",IFERROR(VLOOKUP($C2017,sources!$A$2:$N$200,9,FALSE()),"?"))</f>
        <v>French company</v>
      </c>
    </row>
    <row r="2018" spans="1:19" x14ac:dyDescent="0.2">
      <c r="A2018" t="s">
        <v>6426</v>
      </c>
      <c r="B2018" t="s">
        <v>854</v>
      </c>
      <c r="C2018" t="s">
        <v>1516</v>
      </c>
      <c r="D2018" t="s">
        <v>1666</v>
      </c>
      <c r="E2018" t="s">
        <v>855</v>
      </c>
      <c r="F2018" t="s">
        <v>3285</v>
      </c>
      <c r="I2018" t="s">
        <v>1077</v>
      </c>
      <c r="K2018">
        <v>1886</v>
      </c>
      <c r="L2018">
        <v>1886</v>
      </c>
      <c r="M2018" t="s">
        <v>228</v>
      </c>
      <c r="N2018" t="s">
        <v>228</v>
      </c>
      <c r="O2018" t="s">
        <v>5847</v>
      </c>
      <c r="P2018" t="s">
        <v>6427</v>
      </c>
      <c r="Q2018" t="str">
        <f>IF($C2018="","",IFERROR(VLOOKUP($C2018,sources!$A$2:$N$200,2,FALSE()),"?"))</f>
        <v>Map</v>
      </c>
      <c r="S2018" t="str">
        <f>IF($C2018="","",IFERROR(VLOOKUP($C2018,sources!$A$2:$N$200,9,FALSE()),"?"))</f>
        <v>French company</v>
      </c>
    </row>
    <row r="2019" spans="1:19" x14ac:dyDescent="0.2">
      <c r="A2019" t="s">
        <v>6428</v>
      </c>
      <c r="B2019" t="s">
        <v>907</v>
      </c>
      <c r="C2019" t="s">
        <v>1516</v>
      </c>
      <c r="D2019" t="s">
        <v>1666</v>
      </c>
      <c r="E2019" t="s">
        <v>908</v>
      </c>
      <c r="F2019" t="s">
        <v>3285</v>
      </c>
      <c r="I2019" t="s">
        <v>1077</v>
      </c>
      <c r="K2019">
        <v>1886</v>
      </c>
      <c r="L2019">
        <v>1886</v>
      </c>
      <c r="M2019" t="s">
        <v>228</v>
      </c>
      <c r="N2019" t="s">
        <v>228</v>
      </c>
      <c r="O2019" t="s">
        <v>5847</v>
      </c>
      <c r="P2019" t="s">
        <v>6429</v>
      </c>
      <c r="Q2019" t="str">
        <f>IF($C2019="","",IFERROR(VLOOKUP($C2019,sources!$A$2:$N$200,2,FALSE()),"?"))</f>
        <v>Map</v>
      </c>
      <c r="S2019" t="str">
        <f>IF($C2019="","",IFERROR(VLOOKUP($C2019,sources!$A$2:$N$200,9,FALSE()),"?"))</f>
        <v>French company</v>
      </c>
    </row>
    <row r="2020" spans="1:19" x14ac:dyDescent="0.2">
      <c r="A2020" t="s">
        <v>6430</v>
      </c>
      <c r="B2020" t="s">
        <v>911</v>
      </c>
      <c r="C2020" t="s">
        <v>1516</v>
      </c>
      <c r="D2020" t="s">
        <v>1666</v>
      </c>
      <c r="E2020" t="s">
        <v>912</v>
      </c>
      <c r="F2020" t="s">
        <v>3285</v>
      </c>
      <c r="I2020" t="s">
        <v>1077</v>
      </c>
      <c r="K2020">
        <v>1886</v>
      </c>
      <c r="L2020">
        <v>1886</v>
      </c>
      <c r="M2020" t="s">
        <v>228</v>
      </c>
      <c r="N2020" t="s">
        <v>228</v>
      </c>
      <c r="O2020" t="s">
        <v>5847</v>
      </c>
      <c r="P2020" t="s">
        <v>6431</v>
      </c>
      <c r="Q2020" t="str">
        <f>IF($C2020="","",IFERROR(VLOOKUP($C2020,sources!$A$2:$N$200,2,FALSE()),"?"))</f>
        <v>Map</v>
      </c>
      <c r="S2020" t="str">
        <f>IF($C2020="","",IFERROR(VLOOKUP($C2020,sources!$A$2:$N$200,9,FALSE()),"?"))</f>
        <v>French company</v>
      </c>
    </row>
    <row r="2021" spans="1:19" x14ac:dyDescent="0.2">
      <c r="A2021" t="s">
        <v>6432</v>
      </c>
      <c r="B2021" t="s">
        <v>947</v>
      </c>
      <c r="C2021" t="s">
        <v>1516</v>
      </c>
      <c r="D2021" t="s">
        <v>1666</v>
      </c>
      <c r="E2021" t="s">
        <v>948</v>
      </c>
      <c r="F2021" t="s">
        <v>3285</v>
      </c>
      <c r="I2021" t="s">
        <v>1077</v>
      </c>
      <c r="K2021">
        <v>1886</v>
      </c>
      <c r="L2021">
        <v>1886</v>
      </c>
      <c r="M2021" t="s">
        <v>228</v>
      </c>
      <c r="N2021" t="s">
        <v>228</v>
      </c>
      <c r="O2021" t="s">
        <v>5847</v>
      </c>
      <c r="P2021" t="s">
        <v>6433</v>
      </c>
      <c r="Q2021" t="str">
        <f>IF($C2021="","",IFERROR(VLOOKUP($C2021,sources!$A$2:$N$200,2,FALSE()),"?"))</f>
        <v>Map</v>
      </c>
      <c r="S2021" t="str">
        <f>IF($C2021="","",IFERROR(VLOOKUP($C2021,sources!$A$2:$N$200,9,FALSE()),"?"))</f>
        <v>French company</v>
      </c>
    </row>
    <row r="2022" spans="1:19" x14ac:dyDescent="0.2">
      <c r="A2022" t="s">
        <v>6434</v>
      </c>
      <c r="B2022" t="s">
        <v>947</v>
      </c>
      <c r="C2022" t="s">
        <v>1516</v>
      </c>
      <c r="D2022" t="s">
        <v>1666</v>
      </c>
      <c r="E2022" t="s">
        <v>949</v>
      </c>
      <c r="F2022" t="s">
        <v>3285</v>
      </c>
      <c r="I2022" t="s">
        <v>1077</v>
      </c>
      <c r="K2022">
        <v>1886</v>
      </c>
      <c r="L2022">
        <v>1886</v>
      </c>
      <c r="M2022" t="s">
        <v>228</v>
      </c>
      <c r="N2022" t="s">
        <v>228</v>
      </c>
      <c r="O2022" t="s">
        <v>5847</v>
      </c>
      <c r="P2022" t="s">
        <v>6435</v>
      </c>
      <c r="Q2022" t="str">
        <f>IF($C2022="","",IFERROR(VLOOKUP($C2022,sources!$A$2:$N$200,2,FALSE()),"?"))</f>
        <v>Map</v>
      </c>
      <c r="S2022" t="str">
        <f>IF($C2022="","",IFERROR(VLOOKUP($C2022,sources!$A$2:$N$200,9,FALSE()),"?"))</f>
        <v>French company</v>
      </c>
    </row>
    <row r="2023" spans="1:19" x14ac:dyDescent="0.2">
      <c r="A2023" t="s">
        <v>6436</v>
      </c>
      <c r="B2023" t="s">
        <v>915</v>
      </c>
      <c r="C2023" t="s">
        <v>1516</v>
      </c>
      <c r="D2023" t="s">
        <v>1666</v>
      </c>
      <c r="E2023" t="s">
        <v>916</v>
      </c>
      <c r="F2023" t="s">
        <v>3285</v>
      </c>
      <c r="I2023" t="s">
        <v>1077</v>
      </c>
      <c r="K2023">
        <v>1886</v>
      </c>
      <c r="L2023">
        <v>1886</v>
      </c>
      <c r="M2023" t="s">
        <v>228</v>
      </c>
      <c r="N2023" t="s">
        <v>228</v>
      </c>
      <c r="O2023" t="s">
        <v>5847</v>
      </c>
      <c r="P2023" t="s">
        <v>6437</v>
      </c>
      <c r="Q2023" t="str">
        <f>IF($C2023="","",IFERROR(VLOOKUP($C2023,sources!$A$2:$N$200,2,FALSE()),"?"))</f>
        <v>Map</v>
      </c>
      <c r="S2023" t="str">
        <f>IF($C2023="","",IFERROR(VLOOKUP($C2023,sources!$A$2:$N$200,9,FALSE()),"?"))</f>
        <v>French company</v>
      </c>
    </row>
    <row r="2024" spans="1:19" x14ac:dyDescent="0.2">
      <c r="A2024" t="s">
        <v>6438</v>
      </c>
      <c r="B2024" t="s">
        <v>933</v>
      </c>
      <c r="C2024" t="s">
        <v>1516</v>
      </c>
      <c r="D2024" t="s">
        <v>1666</v>
      </c>
      <c r="E2024" t="s">
        <v>934</v>
      </c>
      <c r="F2024" t="s">
        <v>3285</v>
      </c>
      <c r="I2024" t="s">
        <v>1077</v>
      </c>
      <c r="K2024">
        <v>1886</v>
      </c>
      <c r="L2024">
        <v>1886</v>
      </c>
      <c r="M2024" t="s">
        <v>228</v>
      </c>
      <c r="N2024" t="s">
        <v>228</v>
      </c>
      <c r="O2024" t="s">
        <v>5847</v>
      </c>
      <c r="P2024" t="s">
        <v>6439</v>
      </c>
      <c r="Q2024" t="str">
        <f>IF($C2024="","",IFERROR(VLOOKUP($C2024,sources!$A$2:$N$200,2,FALSE()),"?"))</f>
        <v>Map</v>
      </c>
      <c r="S2024" t="str">
        <f>IF($C2024="","",IFERROR(VLOOKUP($C2024,sources!$A$2:$N$200,9,FALSE()),"?"))</f>
        <v>French company</v>
      </c>
    </row>
    <row r="2025" spans="1:19" x14ac:dyDescent="0.2">
      <c r="A2025" t="s">
        <v>6440</v>
      </c>
      <c r="B2025" t="s">
        <v>943</v>
      </c>
      <c r="C2025" t="s">
        <v>1516</v>
      </c>
      <c r="D2025" t="s">
        <v>1666</v>
      </c>
      <c r="E2025" t="s">
        <v>944</v>
      </c>
      <c r="F2025" t="s">
        <v>3285</v>
      </c>
      <c r="I2025" t="s">
        <v>1077</v>
      </c>
      <c r="K2025">
        <v>1886</v>
      </c>
      <c r="L2025">
        <v>1886</v>
      </c>
      <c r="M2025" t="s">
        <v>228</v>
      </c>
      <c r="N2025" t="s">
        <v>228</v>
      </c>
      <c r="O2025" t="s">
        <v>5847</v>
      </c>
      <c r="P2025" t="s">
        <v>6441</v>
      </c>
      <c r="Q2025" t="str">
        <f>IF($C2025="","",IFERROR(VLOOKUP($C2025,sources!$A$2:$N$200,2,FALSE()),"?"))</f>
        <v>Map</v>
      </c>
      <c r="S2025" t="str">
        <f>IF($C2025="","",IFERROR(VLOOKUP($C2025,sources!$A$2:$N$200,9,FALSE()),"?"))</f>
        <v>French company</v>
      </c>
    </row>
    <row r="2026" spans="1:19" x14ac:dyDescent="0.2">
      <c r="A2026" t="s">
        <v>6442</v>
      </c>
      <c r="B2026" t="s">
        <v>795</v>
      </c>
      <c r="C2026" t="s">
        <v>1516</v>
      </c>
      <c r="D2026" t="s">
        <v>1666</v>
      </c>
      <c r="E2026" t="s">
        <v>796</v>
      </c>
      <c r="F2026" t="s">
        <v>3285</v>
      </c>
      <c r="I2026" t="s">
        <v>1077</v>
      </c>
      <c r="K2026">
        <v>1886</v>
      </c>
      <c r="L2026">
        <v>1886</v>
      </c>
      <c r="M2026" t="s">
        <v>228</v>
      </c>
      <c r="N2026" t="s">
        <v>228</v>
      </c>
      <c r="O2026" t="s">
        <v>5847</v>
      </c>
      <c r="P2026" t="s">
        <v>6443</v>
      </c>
      <c r="Q2026" t="str">
        <f>IF($C2026="","",IFERROR(VLOOKUP($C2026,sources!$A$2:$N$200,2,FALSE()),"?"))</f>
        <v>Map</v>
      </c>
      <c r="S2026" t="str">
        <f>IF($C2026="","",IFERROR(VLOOKUP($C2026,sources!$A$2:$N$200,9,FALSE()),"?"))</f>
        <v>French company</v>
      </c>
    </row>
    <row r="2027" spans="1:19" x14ac:dyDescent="0.2">
      <c r="A2027" t="s">
        <v>6444</v>
      </c>
      <c r="B2027" t="s">
        <v>951</v>
      </c>
      <c r="C2027" t="s">
        <v>1516</v>
      </c>
      <c r="D2027" t="s">
        <v>1666</v>
      </c>
      <c r="E2027" t="s">
        <v>953</v>
      </c>
      <c r="F2027" t="s">
        <v>3285</v>
      </c>
      <c r="I2027" t="s">
        <v>1077</v>
      </c>
      <c r="K2027">
        <v>1886</v>
      </c>
      <c r="L2027">
        <v>1886</v>
      </c>
      <c r="M2027" t="s">
        <v>228</v>
      </c>
      <c r="N2027" t="s">
        <v>228</v>
      </c>
      <c r="O2027" t="s">
        <v>5847</v>
      </c>
      <c r="P2027" t="s">
        <v>6445</v>
      </c>
      <c r="Q2027" t="str">
        <f>IF($C2027="","",IFERROR(VLOOKUP($C2027,sources!$A$2:$N$200,2,FALSE()),"?"))</f>
        <v>Map</v>
      </c>
      <c r="S2027" t="str">
        <f>IF($C2027="","",IFERROR(VLOOKUP($C2027,sources!$A$2:$N$200,9,FALSE()),"?"))</f>
        <v>French company</v>
      </c>
    </row>
    <row r="2028" spans="1:19" x14ac:dyDescent="0.2">
      <c r="A2028" t="s">
        <v>6446</v>
      </c>
      <c r="B2028" t="s">
        <v>957</v>
      </c>
      <c r="C2028" t="s">
        <v>1516</v>
      </c>
      <c r="D2028" t="s">
        <v>1666</v>
      </c>
      <c r="E2028" t="s">
        <v>958</v>
      </c>
      <c r="F2028" t="s">
        <v>3285</v>
      </c>
      <c r="I2028" t="s">
        <v>1077</v>
      </c>
      <c r="K2028">
        <v>1886</v>
      </c>
      <c r="L2028">
        <v>1886</v>
      </c>
      <c r="M2028" t="s">
        <v>228</v>
      </c>
      <c r="N2028" t="s">
        <v>228</v>
      </c>
      <c r="O2028" t="s">
        <v>5847</v>
      </c>
      <c r="P2028" t="s">
        <v>6445</v>
      </c>
      <c r="Q2028" t="str">
        <f>IF($C2028="","",IFERROR(VLOOKUP($C2028,sources!$A$2:$N$200,2,FALSE()),"?"))</f>
        <v>Map</v>
      </c>
      <c r="S2028" t="str">
        <f>IF($C2028="","",IFERROR(VLOOKUP($C2028,sources!$A$2:$N$200,9,FALSE()),"?"))</f>
        <v>French company</v>
      </c>
    </row>
    <row r="2029" spans="1:19" x14ac:dyDescent="0.2">
      <c r="A2029" t="s">
        <v>6447</v>
      </c>
      <c r="B2029" t="s">
        <v>962</v>
      </c>
      <c r="C2029" t="s">
        <v>1516</v>
      </c>
      <c r="D2029" t="s">
        <v>1666</v>
      </c>
      <c r="E2029" t="s">
        <v>963</v>
      </c>
      <c r="F2029" t="s">
        <v>3285</v>
      </c>
      <c r="I2029" t="s">
        <v>1077</v>
      </c>
      <c r="K2029">
        <v>1886</v>
      </c>
      <c r="L2029">
        <v>1886</v>
      </c>
      <c r="M2029" t="s">
        <v>228</v>
      </c>
      <c r="N2029" t="s">
        <v>228</v>
      </c>
      <c r="O2029" t="s">
        <v>5847</v>
      </c>
      <c r="P2029" t="s">
        <v>6445</v>
      </c>
      <c r="Q2029" t="str">
        <f>IF($C2029="","",IFERROR(VLOOKUP($C2029,sources!$A$2:$N$200,2,FALSE()),"?"))</f>
        <v>Map</v>
      </c>
      <c r="S2029" t="str">
        <f>IF($C2029="","",IFERROR(VLOOKUP($C2029,sources!$A$2:$N$200,9,FALSE()),"?"))</f>
        <v>French company</v>
      </c>
    </row>
    <row r="2030" spans="1:19" x14ac:dyDescent="0.2">
      <c r="A2030" t="s">
        <v>6448</v>
      </c>
      <c r="B2030" t="s">
        <v>974</v>
      </c>
      <c r="C2030" t="s">
        <v>1516</v>
      </c>
      <c r="D2030" t="s">
        <v>1666</v>
      </c>
      <c r="E2030" t="s">
        <v>5928</v>
      </c>
      <c r="F2030" t="s">
        <v>3285</v>
      </c>
      <c r="I2030" t="s">
        <v>1077</v>
      </c>
      <c r="K2030">
        <v>1886</v>
      </c>
      <c r="L2030">
        <v>1886</v>
      </c>
      <c r="M2030" t="s">
        <v>228</v>
      </c>
      <c r="N2030" t="s">
        <v>228</v>
      </c>
      <c r="O2030" t="s">
        <v>5847</v>
      </c>
      <c r="P2030" t="s">
        <v>6445</v>
      </c>
      <c r="Q2030" t="str">
        <f>IF($C2030="","",IFERROR(VLOOKUP($C2030,sources!$A$2:$N$200,2,FALSE()),"?"))</f>
        <v>Map</v>
      </c>
      <c r="S2030" t="str">
        <f>IF($C2030="","",IFERROR(VLOOKUP($C2030,sources!$A$2:$N$200,9,FALSE()),"?"))</f>
        <v>French company</v>
      </c>
    </row>
    <row r="2031" spans="1:19" x14ac:dyDescent="0.2">
      <c r="A2031" t="s">
        <v>6449</v>
      </c>
      <c r="B2031" t="s">
        <v>978</v>
      </c>
      <c r="C2031" t="s">
        <v>1516</v>
      </c>
      <c r="D2031" t="s">
        <v>1666</v>
      </c>
      <c r="E2031" t="s">
        <v>979</v>
      </c>
      <c r="F2031" t="s">
        <v>3285</v>
      </c>
      <c r="I2031" t="s">
        <v>1077</v>
      </c>
      <c r="K2031">
        <v>1886</v>
      </c>
      <c r="L2031">
        <v>1886</v>
      </c>
      <c r="M2031" t="s">
        <v>228</v>
      </c>
      <c r="N2031" t="s">
        <v>228</v>
      </c>
      <c r="O2031" t="s">
        <v>5847</v>
      </c>
      <c r="P2031" t="s">
        <v>6445</v>
      </c>
      <c r="Q2031" t="str">
        <f>IF($C2031="","",IFERROR(VLOOKUP($C2031,sources!$A$2:$N$200,2,FALSE()),"?"))</f>
        <v>Map</v>
      </c>
      <c r="S2031" t="str">
        <f>IF($C2031="","",IFERROR(VLOOKUP($C2031,sources!$A$2:$N$200,9,FALSE()),"?"))</f>
        <v>French company</v>
      </c>
    </row>
    <row r="2032" spans="1:19" x14ac:dyDescent="0.2">
      <c r="A2032" t="s">
        <v>6450</v>
      </c>
      <c r="B2032" t="s">
        <v>981</v>
      </c>
      <c r="C2032" t="s">
        <v>1516</v>
      </c>
      <c r="D2032" t="s">
        <v>1666</v>
      </c>
      <c r="E2032" t="s">
        <v>982</v>
      </c>
      <c r="F2032" t="s">
        <v>3285</v>
      </c>
      <c r="I2032" t="s">
        <v>1077</v>
      </c>
      <c r="K2032">
        <v>1886</v>
      </c>
      <c r="L2032">
        <v>1886</v>
      </c>
      <c r="M2032" t="s">
        <v>228</v>
      </c>
      <c r="N2032" t="s">
        <v>228</v>
      </c>
      <c r="O2032" t="s">
        <v>5847</v>
      </c>
      <c r="P2032" t="s">
        <v>6445</v>
      </c>
      <c r="Q2032" t="str">
        <f>IF($C2032="","",IFERROR(VLOOKUP($C2032,sources!$A$2:$N$200,2,FALSE()),"?"))</f>
        <v>Map</v>
      </c>
      <c r="S2032" t="str">
        <f>IF($C2032="","",IFERROR(VLOOKUP($C2032,sources!$A$2:$N$200,9,FALSE()),"?"))</f>
        <v>French company</v>
      </c>
    </row>
    <row r="2033" spans="1:19" x14ac:dyDescent="0.2">
      <c r="A2033" t="s">
        <v>6451</v>
      </c>
      <c r="B2033" t="s">
        <v>985</v>
      </c>
      <c r="C2033" t="s">
        <v>1516</v>
      </c>
      <c r="D2033" t="s">
        <v>1666</v>
      </c>
      <c r="E2033" t="s">
        <v>986</v>
      </c>
      <c r="F2033" t="s">
        <v>3285</v>
      </c>
      <c r="I2033" t="s">
        <v>1077</v>
      </c>
      <c r="K2033">
        <v>1886</v>
      </c>
      <c r="L2033">
        <v>1886</v>
      </c>
      <c r="M2033" t="s">
        <v>228</v>
      </c>
      <c r="N2033" t="s">
        <v>209</v>
      </c>
      <c r="O2033" t="s">
        <v>5847</v>
      </c>
      <c r="P2033" t="s">
        <v>6452</v>
      </c>
      <c r="Q2033" t="str">
        <f>IF($C2033="","",IFERROR(VLOOKUP($C2033,sources!$A$2:$N$200,2,FALSE()),"?"))</f>
        <v>Map</v>
      </c>
      <c r="S2033" t="str">
        <f>IF($C2033="","",IFERROR(VLOOKUP($C2033,sources!$A$2:$N$200,9,FALSE()),"?"))</f>
        <v>French company</v>
      </c>
    </row>
    <row r="2034" spans="1:19" x14ac:dyDescent="0.2">
      <c r="A2034" t="s">
        <v>6453</v>
      </c>
      <c r="B2034" t="s">
        <v>966</v>
      </c>
      <c r="C2034" t="s">
        <v>1516</v>
      </c>
      <c r="D2034" t="s">
        <v>1666</v>
      </c>
      <c r="E2034" t="s">
        <v>967</v>
      </c>
      <c r="F2034" t="s">
        <v>3285</v>
      </c>
      <c r="I2034" t="s">
        <v>1077</v>
      </c>
      <c r="K2034">
        <v>1886</v>
      </c>
      <c r="L2034">
        <v>1886</v>
      </c>
      <c r="M2034" t="s">
        <v>228</v>
      </c>
      <c r="N2034" t="s">
        <v>209</v>
      </c>
      <c r="O2034" t="s">
        <v>5847</v>
      </c>
      <c r="P2034" t="s">
        <v>6454</v>
      </c>
      <c r="Q2034" t="str">
        <f>IF($C2034="","",IFERROR(VLOOKUP($C2034,sources!$A$2:$N$200,2,FALSE()),"?"))</f>
        <v>Map</v>
      </c>
      <c r="S2034" t="str">
        <f>IF($C2034="","",IFERROR(VLOOKUP($C2034,sources!$A$2:$N$200,9,FALSE()),"?"))</f>
        <v>French company</v>
      </c>
    </row>
    <row r="2035" spans="1:19" x14ac:dyDescent="0.2">
      <c r="A2035" t="s">
        <v>6455</v>
      </c>
      <c r="B2035" t="s">
        <v>824</v>
      </c>
      <c r="C2035" t="s">
        <v>1516</v>
      </c>
      <c r="D2035" t="s">
        <v>1666</v>
      </c>
      <c r="E2035" t="s">
        <v>825</v>
      </c>
      <c r="F2035" t="s">
        <v>3285</v>
      </c>
      <c r="I2035" t="s">
        <v>1077</v>
      </c>
      <c r="K2035">
        <v>1886</v>
      </c>
      <c r="L2035">
        <v>1886</v>
      </c>
      <c r="M2035" t="s">
        <v>228</v>
      </c>
      <c r="N2035" t="s">
        <v>209</v>
      </c>
      <c r="O2035" t="s">
        <v>5847</v>
      </c>
      <c r="P2035" t="s">
        <v>6456</v>
      </c>
      <c r="Q2035" t="str">
        <f>IF($C2035="","",IFERROR(VLOOKUP($C2035,sources!$A$2:$N$200,2,FALSE()),"?"))</f>
        <v>Map</v>
      </c>
      <c r="S2035" t="str">
        <f>IF($C2035="","",IFERROR(VLOOKUP($C2035,sources!$A$2:$N$200,9,FALSE()),"?"))</f>
        <v>French company</v>
      </c>
    </row>
    <row r="2036" spans="1:19" x14ac:dyDescent="0.2">
      <c r="A2036" t="s">
        <v>6457</v>
      </c>
      <c r="B2036" t="s">
        <v>827</v>
      </c>
      <c r="C2036" t="s">
        <v>1516</v>
      </c>
      <c r="D2036" t="s">
        <v>1666</v>
      </c>
      <c r="E2036" t="s">
        <v>828</v>
      </c>
      <c r="F2036" t="s">
        <v>3285</v>
      </c>
      <c r="I2036" t="s">
        <v>1077</v>
      </c>
      <c r="K2036">
        <v>1886</v>
      </c>
      <c r="L2036">
        <v>1886</v>
      </c>
      <c r="M2036" t="s">
        <v>228</v>
      </c>
      <c r="N2036" t="s">
        <v>209</v>
      </c>
      <c r="O2036" t="s">
        <v>5847</v>
      </c>
      <c r="P2036" t="s">
        <v>6456</v>
      </c>
      <c r="Q2036" t="str">
        <f>IF($C2036="","",IFERROR(VLOOKUP($C2036,sources!$A$2:$N$200,2,FALSE()),"?"))</f>
        <v>Map</v>
      </c>
      <c r="S2036" t="str">
        <f>IF($C2036="","",IFERROR(VLOOKUP($C2036,sources!$A$2:$N$200,9,FALSE()),"?"))</f>
        <v>French company</v>
      </c>
    </row>
    <row r="2037" spans="1:19" x14ac:dyDescent="0.2">
      <c r="A2037" t="s">
        <v>6458</v>
      </c>
      <c r="B2037" t="s">
        <v>1016</v>
      </c>
      <c r="C2037" t="s">
        <v>1516</v>
      </c>
      <c r="D2037" t="s">
        <v>1666</v>
      </c>
      <c r="E2037" t="s">
        <v>1017</v>
      </c>
      <c r="F2037" t="s">
        <v>3285</v>
      </c>
      <c r="I2037" t="s">
        <v>1077</v>
      </c>
      <c r="K2037">
        <v>1886</v>
      </c>
      <c r="L2037">
        <v>1886</v>
      </c>
      <c r="M2037" t="s">
        <v>228</v>
      </c>
      <c r="N2037" t="s">
        <v>228</v>
      </c>
      <c r="O2037" t="s">
        <v>5847</v>
      </c>
      <c r="P2037" t="s">
        <v>6459</v>
      </c>
      <c r="Q2037" t="str">
        <f>IF($C2037="","",IFERROR(VLOOKUP($C2037,sources!$A$2:$N$200,2,FALSE()),"?"))</f>
        <v>Map</v>
      </c>
      <c r="S2037" t="str">
        <f>IF($C2037="","",IFERROR(VLOOKUP($C2037,sources!$A$2:$N$200,9,FALSE()),"?"))</f>
        <v>French company</v>
      </c>
    </row>
    <row r="2038" spans="1:19" x14ac:dyDescent="0.2">
      <c r="A2038" t="s">
        <v>6460</v>
      </c>
      <c r="B2038" t="s">
        <v>589</v>
      </c>
      <c r="C2038" t="s">
        <v>1509</v>
      </c>
      <c r="D2038" t="s">
        <v>1666</v>
      </c>
      <c r="E2038" t="s">
        <v>590</v>
      </c>
      <c r="F2038" t="s">
        <v>3285</v>
      </c>
      <c r="I2038" t="s">
        <v>1077</v>
      </c>
      <c r="K2038">
        <v>1883</v>
      </c>
      <c r="L2038">
        <v>1883</v>
      </c>
      <c r="M2038" t="s">
        <v>228</v>
      </c>
      <c r="N2038" t="s">
        <v>228</v>
      </c>
      <c r="O2038" t="s">
        <v>5847</v>
      </c>
      <c r="P2038" t="s">
        <v>6461</v>
      </c>
      <c r="Q2038" t="str">
        <f>IF($C2038="","",IFERROR(VLOOKUP($C2038,sources!$A$2:$N$200,2,FALSE()),"?"))</f>
        <v>Map</v>
      </c>
      <c r="S2038" t="str">
        <f>IF($C2038="","",IFERROR(VLOOKUP($C2038,sources!$A$2:$N$200,9,FALSE()),"?"))</f>
        <v>French company</v>
      </c>
    </row>
    <row r="2039" spans="1:19" x14ac:dyDescent="0.2">
      <c r="A2039" t="s">
        <v>6462</v>
      </c>
      <c r="B2039" t="s">
        <v>603</v>
      </c>
      <c r="C2039" t="s">
        <v>1509</v>
      </c>
      <c r="D2039" t="s">
        <v>1585</v>
      </c>
      <c r="E2039" t="s">
        <v>6463</v>
      </c>
      <c r="F2039" t="s">
        <v>3285</v>
      </c>
      <c r="I2039" t="s">
        <v>1077</v>
      </c>
      <c r="K2039">
        <v>1883</v>
      </c>
      <c r="L2039">
        <v>1883</v>
      </c>
      <c r="M2039" t="s">
        <v>228</v>
      </c>
      <c r="N2039" t="s">
        <v>209</v>
      </c>
      <c r="O2039" t="s">
        <v>5847</v>
      </c>
      <c r="P2039" t="s">
        <v>6464</v>
      </c>
      <c r="Q2039" t="str">
        <f>IF($C2039="","",IFERROR(VLOOKUP($C2039,sources!$A$2:$N$200,2,FALSE()),"?"))</f>
        <v>Map</v>
      </c>
      <c r="S2039" t="str">
        <f>IF($C2039="","",IFERROR(VLOOKUP($C2039,sources!$A$2:$N$200,9,FALSE()),"?"))</f>
        <v>French company</v>
      </c>
    </row>
    <row r="2040" spans="1:19" x14ac:dyDescent="0.2">
      <c r="A2040" t="s">
        <v>6465</v>
      </c>
      <c r="B2040" t="s">
        <v>506</v>
      </c>
      <c r="C2040" t="s">
        <v>1509</v>
      </c>
      <c r="D2040" t="s">
        <v>1666</v>
      </c>
      <c r="E2040" t="s">
        <v>507</v>
      </c>
      <c r="F2040" t="s">
        <v>3285</v>
      </c>
      <c r="I2040" t="s">
        <v>1077</v>
      </c>
      <c r="K2040">
        <v>1883</v>
      </c>
      <c r="L2040">
        <v>1883</v>
      </c>
      <c r="M2040" t="s">
        <v>228</v>
      </c>
      <c r="N2040" t="s">
        <v>228</v>
      </c>
      <c r="O2040" t="s">
        <v>5847</v>
      </c>
      <c r="P2040" t="s">
        <v>6466</v>
      </c>
      <c r="Q2040" t="str">
        <f>IF($C2040="","",IFERROR(VLOOKUP($C2040,sources!$A$2:$N$200,2,FALSE()),"?"))</f>
        <v>Map</v>
      </c>
      <c r="S2040" t="str">
        <f>IF($C2040="","",IFERROR(VLOOKUP($C2040,sources!$A$2:$N$200,9,FALSE()),"?"))</f>
        <v>French company</v>
      </c>
    </row>
    <row r="2041" spans="1:19" x14ac:dyDescent="0.2">
      <c r="A2041" t="s">
        <v>6467</v>
      </c>
      <c r="B2041" t="s">
        <v>397</v>
      </c>
      <c r="C2041" t="s">
        <v>1509</v>
      </c>
      <c r="D2041" t="s">
        <v>1666</v>
      </c>
      <c r="E2041" t="s">
        <v>398</v>
      </c>
      <c r="F2041" t="s">
        <v>3285</v>
      </c>
      <c r="I2041" t="s">
        <v>1077</v>
      </c>
      <c r="K2041">
        <v>1883</v>
      </c>
      <c r="L2041">
        <v>1883</v>
      </c>
      <c r="M2041" t="s">
        <v>228</v>
      </c>
      <c r="N2041" t="s">
        <v>209</v>
      </c>
      <c r="O2041" t="s">
        <v>5847</v>
      </c>
      <c r="P2041" t="s">
        <v>6468</v>
      </c>
      <c r="Q2041" t="str">
        <f>IF($C2041="","",IFERROR(VLOOKUP($C2041,sources!$A$2:$N$200,2,FALSE()),"?"))</f>
        <v>Map</v>
      </c>
      <c r="S2041" t="str">
        <f>IF($C2041="","",IFERROR(VLOOKUP($C2041,sources!$A$2:$N$200,9,FALSE()),"?"))</f>
        <v>French company</v>
      </c>
    </row>
    <row r="2042" spans="1:19" x14ac:dyDescent="0.2">
      <c r="A2042" t="s">
        <v>6469</v>
      </c>
      <c r="B2042" t="s">
        <v>584</v>
      </c>
      <c r="C2042" t="s">
        <v>1509</v>
      </c>
      <c r="D2042" t="s">
        <v>1666</v>
      </c>
      <c r="E2042" t="s">
        <v>585</v>
      </c>
      <c r="F2042" t="s">
        <v>3285</v>
      </c>
      <c r="I2042" t="s">
        <v>1077</v>
      </c>
      <c r="K2042">
        <v>1883</v>
      </c>
      <c r="L2042">
        <v>1883</v>
      </c>
      <c r="M2042" t="s">
        <v>228</v>
      </c>
      <c r="N2042" t="s">
        <v>228</v>
      </c>
      <c r="O2042" t="s">
        <v>5847</v>
      </c>
      <c r="P2042" t="s">
        <v>6470</v>
      </c>
      <c r="Q2042" t="str">
        <f>IF($C2042="","",IFERROR(VLOOKUP($C2042,sources!$A$2:$N$200,2,FALSE()),"?"))</f>
        <v>Map</v>
      </c>
      <c r="S2042" t="str">
        <f>IF($C2042="","",IFERROR(VLOOKUP($C2042,sources!$A$2:$N$200,9,FALSE()),"?"))</f>
        <v>French company</v>
      </c>
    </row>
    <row r="2043" spans="1:19" x14ac:dyDescent="0.2">
      <c r="A2043" t="s">
        <v>6471</v>
      </c>
      <c r="B2043" t="s">
        <v>611</v>
      </c>
      <c r="C2043" t="s">
        <v>1509</v>
      </c>
      <c r="D2043" t="s">
        <v>1666</v>
      </c>
      <c r="E2043" t="s">
        <v>612</v>
      </c>
      <c r="F2043" t="s">
        <v>3285</v>
      </c>
      <c r="I2043" t="s">
        <v>1077</v>
      </c>
      <c r="K2043">
        <v>1883</v>
      </c>
      <c r="L2043">
        <v>1883</v>
      </c>
      <c r="M2043" t="s">
        <v>228</v>
      </c>
      <c r="N2043" t="s">
        <v>228</v>
      </c>
      <c r="O2043" t="s">
        <v>5847</v>
      </c>
      <c r="P2043" t="s">
        <v>6472</v>
      </c>
      <c r="Q2043" t="str">
        <f>IF($C2043="","",IFERROR(VLOOKUP($C2043,sources!$A$2:$N$200,2,FALSE()),"?"))</f>
        <v>Map</v>
      </c>
      <c r="S2043" t="str">
        <f>IF($C2043="","",IFERROR(VLOOKUP($C2043,sources!$A$2:$N$200,9,FALSE()),"?"))</f>
        <v>French company</v>
      </c>
    </row>
    <row r="2044" spans="1:19" x14ac:dyDescent="0.2">
      <c r="A2044" t="s">
        <v>6473</v>
      </c>
      <c r="B2044" t="s">
        <v>802</v>
      </c>
      <c r="C2044" t="s">
        <v>1509</v>
      </c>
      <c r="D2044" t="s">
        <v>1666</v>
      </c>
      <c r="E2044" t="s">
        <v>803</v>
      </c>
      <c r="F2044" t="s">
        <v>3285</v>
      </c>
      <c r="I2044" t="s">
        <v>1077</v>
      </c>
      <c r="K2044">
        <v>1883</v>
      </c>
      <c r="L2044">
        <v>1883</v>
      </c>
      <c r="M2044" t="s">
        <v>228</v>
      </c>
      <c r="N2044" t="s">
        <v>228</v>
      </c>
      <c r="O2044" t="s">
        <v>5847</v>
      </c>
      <c r="P2044" t="s">
        <v>6474</v>
      </c>
      <c r="Q2044" t="str">
        <f>IF($C2044="","",IFERROR(VLOOKUP($C2044,sources!$A$2:$N$200,2,FALSE()),"?"))</f>
        <v>Map</v>
      </c>
      <c r="S2044" t="str">
        <f>IF($C2044="","",IFERROR(VLOOKUP($C2044,sources!$A$2:$N$200,9,FALSE()),"?"))</f>
        <v>French company</v>
      </c>
    </row>
    <row r="2045" spans="1:19" x14ac:dyDescent="0.2">
      <c r="A2045" t="s">
        <v>6475</v>
      </c>
      <c r="B2045" t="s">
        <v>649</v>
      </c>
      <c r="C2045" t="s">
        <v>1509</v>
      </c>
      <c r="D2045" t="s">
        <v>1666</v>
      </c>
      <c r="E2045" t="s">
        <v>650</v>
      </c>
      <c r="F2045" t="s">
        <v>3285</v>
      </c>
      <c r="I2045" t="s">
        <v>1077</v>
      </c>
      <c r="K2045">
        <v>1883</v>
      </c>
      <c r="L2045">
        <v>1883</v>
      </c>
      <c r="M2045" t="s">
        <v>228</v>
      </c>
      <c r="N2045" t="s">
        <v>228</v>
      </c>
      <c r="O2045" t="s">
        <v>5847</v>
      </c>
      <c r="P2045" t="s">
        <v>6476</v>
      </c>
      <c r="Q2045" t="str">
        <f>IF($C2045="","",IFERROR(VLOOKUP($C2045,sources!$A$2:$N$200,2,FALSE()),"?"))</f>
        <v>Map</v>
      </c>
      <c r="S2045" t="str">
        <f>IF($C2045="","",IFERROR(VLOOKUP($C2045,sources!$A$2:$N$200,9,FALSE()),"?"))</f>
        <v>French company</v>
      </c>
    </row>
    <row r="2046" spans="1:19" x14ac:dyDescent="0.2">
      <c r="A2046" t="s">
        <v>6477</v>
      </c>
      <c r="B2046" t="s">
        <v>1031</v>
      </c>
      <c r="C2046" t="s">
        <v>1494</v>
      </c>
      <c r="D2046" t="s">
        <v>1585</v>
      </c>
      <c r="E2046" t="s">
        <v>6478</v>
      </c>
      <c r="F2046" t="s">
        <v>3285</v>
      </c>
      <c r="I2046" t="s">
        <v>1077</v>
      </c>
      <c r="K2046">
        <v>1844</v>
      </c>
      <c r="L2046">
        <v>1844</v>
      </c>
      <c r="M2046" t="s">
        <v>228</v>
      </c>
      <c r="N2046" t="s">
        <v>222</v>
      </c>
      <c r="O2046" t="s">
        <v>5847</v>
      </c>
      <c r="P2046" t="s">
        <v>6479</v>
      </c>
      <c r="Q2046" t="str">
        <f>IF($C2046="","",IFERROR(VLOOKUP($C2046,sources!$A$2:$N$200,2,FALSE()),"?"))</f>
        <v>Map</v>
      </c>
      <c r="S2046" t="str">
        <f>IF($C2046="","",IFERROR(VLOOKUP($C2046,sources!$A$2:$N$200,9,FALSE()),"?"))</f>
        <v>French state survey</v>
      </c>
    </row>
    <row r="2047" spans="1:19" x14ac:dyDescent="0.2">
      <c r="A2047" t="s">
        <v>6480</v>
      </c>
      <c r="B2047" t="s">
        <v>918</v>
      </c>
      <c r="C2047" t="s">
        <v>1494</v>
      </c>
      <c r="D2047" t="s">
        <v>1585</v>
      </c>
      <c r="E2047" t="s">
        <v>6481</v>
      </c>
      <c r="F2047" t="s">
        <v>3285</v>
      </c>
      <c r="I2047" t="s">
        <v>1077</v>
      </c>
      <c r="K2047">
        <v>1844</v>
      </c>
      <c r="L2047">
        <v>1844</v>
      </c>
      <c r="M2047" t="s">
        <v>228</v>
      </c>
      <c r="N2047" t="s">
        <v>222</v>
      </c>
      <c r="O2047" t="s">
        <v>5847</v>
      </c>
      <c r="P2047" t="s">
        <v>6482</v>
      </c>
      <c r="Q2047" t="str">
        <f>IF($C2047="","",IFERROR(VLOOKUP($C2047,sources!$A$2:$N$200,2,FALSE()),"?"))</f>
        <v>Map</v>
      </c>
      <c r="S2047" t="str">
        <f>IF($C2047="","",IFERROR(VLOOKUP($C2047,sources!$A$2:$N$200,9,FALSE()),"?"))</f>
        <v>French state survey</v>
      </c>
    </row>
    <row r="2048" spans="1:19" x14ac:dyDescent="0.2">
      <c r="A2048" t="s">
        <v>6483</v>
      </c>
      <c r="B2048" t="s">
        <v>907</v>
      </c>
      <c r="C2048" t="s">
        <v>1494</v>
      </c>
      <c r="D2048" t="s">
        <v>1585</v>
      </c>
      <c r="E2048" t="s">
        <v>6484</v>
      </c>
      <c r="F2048" t="s">
        <v>3285</v>
      </c>
      <c r="I2048" t="s">
        <v>1077</v>
      </c>
      <c r="K2048">
        <v>1844</v>
      </c>
      <c r="L2048">
        <v>1844</v>
      </c>
      <c r="M2048" t="s">
        <v>228</v>
      </c>
      <c r="N2048" t="s">
        <v>228</v>
      </c>
      <c r="O2048" t="s">
        <v>5847</v>
      </c>
      <c r="P2048" t="s">
        <v>6485</v>
      </c>
      <c r="Q2048" t="str">
        <f>IF($C2048="","",IFERROR(VLOOKUP($C2048,sources!$A$2:$N$200,2,FALSE()),"?"))</f>
        <v>Map</v>
      </c>
      <c r="S2048" t="str">
        <f>IF($C2048="","",IFERROR(VLOOKUP($C2048,sources!$A$2:$N$200,9,FALSE()),"?"))</f>
        <v>French state survey</v>
      </c>
    </row>
    <row r="2049" spans="1:19" x14ac:dyDescent="0.2">
      <c r="A2049" t="s">
        <v>6486</v>
      </c>
      <c r="B2049" t="s">
        <v>517</v>
      </c>
      <c r="C2049" t="s">
        <v>1494</v>
      </c>
      <c r="D2049" t="s">
        <v>1585</v>
      </c>
      <c r="E2049" t="s">
        <v>6487</v>
      </c>
      <c r="F2049" t="s">
        <v>3285</v>
      </c>
      <c r="I2049" t="s">
        <v>1077</v>
      </c>
      <c r="K2049">
        <v>1844</v>
      </c>
      <c r="L2049">
        <v>1844</v>
      </c>
      <c r="M2049" t="s">
        <v>228</v>
      </c>
      <c r="N2049" t="s">
        <v>222</v>
      </c>
      <c r="O2049" t="s">
        <v>5847</v>
      </c>
      <c r="P2049" t="s">
        <v>6488</v>
      </c>
      <c r="Q2049" t="str">
        <f>IF($C2049="","",IFERROR(VLOOKUP($C2049,sources!$A$2:$N$200,2,FALSE()),"?"))</f>
        <v>Map</v>
      </c>
      <c r="S2049" t="str">
        <f>IF($C2049="","",IFERROR(VLOOKUP($C2049,sources!$A$2:$N$200,9,FALSE()),"?"))</f>
        <v>French state survey</v>
      </c>
    </row>
    <row r="2050" spans="1:19" x14ac:dyDescent="0.2">
      <c r="A2050" t="s">
        <v>6489</v>
      </c>
      <c r="B2050" t="s">
        <v>236</v>
      </c>
      <c r="C2050" t="s">
        <v>1494</v>
      </c>
      <c r="D2050" t="s">
        <v>1585</v>
      </c>
      <c r="E2050" t="s">
        <v>6490</v>
      </c>
      <c r="F2050" t="s">
        <v>3285</v>
      </c>
      <c r="I2050" t="s">
        <v>1077</v>
      </c>
      <c r="K2050">
        <v>1844</v>
      </c>
      <c r="L2050">
        <v>1844</v>
      </c>
      <c r="M2050" t="s">
        <v>228</v>
      </c>
      <c r="N2050" t="s">
        <v>228</v>
      </c>
      <c r="O2050" t="s">
        <v>5847</v>
      </c>
      <c r="P2050" t="s">
        <v>6491</v>
      </c>
      <c r="Q2050" t="str">
        <f>IF($C2050="","",IFERROR(VLOOKUP($C2050,sources!$A$2:$N$200,2,FALSE()),"?"))</f>
        <v>Map</v>
      </c>
      <c r="S2050" t="str">
        <f>IF($C2050="","",IFERROR(VLOOKUP($C2050,sources!$A$2:$N$200,9,FALSE()),"?"))</f>
        <v>French state survey</v>
      </c>
    </row>
    <row r="2051" spans="1:19" x14ac:dyDescent="0.2">
      <c r="A2051" t="s">
        <v>6492</v>
      </c>
      <c r="B2051" t="s">
        <v>414</v>
      </c>
      <c r="C2051" t="s">
        <v>1494</v>
      </c>
      <c r="D2051" t="s">
        <v>1585</v>
      </c>
      <c r="E2051" t="s">
        <v>6493</v>
      </c>
      <c r="F2051" t="s">
        <v>3285</v>
      </c>
      <c r="I2051" t="s">
        <v>1077</v>
      </c>
      <c r="K2051">
        <v>1844</v>
      </c>
      <c r="L2051">
        <v>1844</v>
      </c>
      <c r="M2051" t="s">
        <v>228</v>
      </c>
      <c r="N2051" t="s">
        <v>222</v>
      </c>
      <c r="O2051" t="s">
        <v>5847</v>
      </c>
      <c r="P2051" t="s">
        <v>6494</v>
      </c>
      <c r="Q2051" t="str">
        <f>IF($C2051="","",IFERROR(VLOOKUP($C2051,sources!$A$2:$N$200,2,FALSE()),"?"))</f>
        <v>Map</v>
      </c>
      <c r="S2051" t="str">
        <f>IF($C2051="","",IFERROR(VLOOKUP($C2051,sources!$A$2:$N$200,9,FALSE()),"?"))</f>
        <v>French state survey</v>
      </c>
    </row>
    <row r="2052" spans="1:19" x14ac:dyDescent="0.2">
      <c r="A2052" t="s">
        <v>6495</v>
      </c>
      <c r="B2052" t="s">
        <v>379</v>
      </c>
      <c r="C2052" t="s">
        <v>1494</v>
      </c>
      <c r="D2052" t="s">
        <v>1585</v>
      </c>
      <c r="E2052" t="s">
        <v>380</v>
      </c>
      <c r="F2052" t="s">
        <v>3285</v>
      </c>
      <c r="I2052" t="s">
        <v>1077</v>
      </c>
      <c r="K2052">
        <v>1844</v>
      </c>
      <c r="L2052">
        <v>1844</v>
      </c>
      <c r="M2052" t="s">
        <v>228</v>
      </c>
      <c r="N2052" t="s">
        <v>222</v>
      </c>
      <c r="O2052" t="s">
        <v>5847</v>
      </c>
      <c r="P2052" t="s">
        <v>6496</v>
      </c>
      <c r="Q2052" t="str">
        <f>IF($C2052="","",IFERROR(VLOOKUP($C2052,sources!$A$2:$N$200,2,FALSE()),"?"))</f>
        <v>Map</v>
      </c>
      <c r="S2052" t="str">
        <f>IF($C2052="","",IFERROR(VLOOKUP($C2052,sources!$A$2:$N$200,9,FALSE()),"?"))</f>
        <v>French state survey</v>
      </c>
    </row>
    <row r="2053" spans="1:19" x14ac:dyDescent="0.2">
      <c r="A2053" t="s">
        <v>6497</v>
      </c>
      <c r="B2053" t="s">
        <v>802</v>
      </c>
      <c r="C2053" t="s">
        <v>1494</v>
      </c>
      <c r="D2053" t="s">
        <v>1585</v>
      </c>
      <c r="E2053" t="s">
        <v>803</v>
      </c>
      <c r="F2053" t="s">
        <v>3285</v>
      </c>
      <c r="I2053" t="s">
        <v>1077</v>
      </c>
      <c r="K2053">
        <v>1844</v>
      </c>
      <c r="L2053">
        <v>1844</v>
      </c>
      <c r="M2053" t="s">
        <v>228</v>
      </c>
      <c r="N2053" t="s">
        <v>222</v>
      </c>
      <c r="O2053" t="s">
        <v>5847</v>
      </c>
      <c r="P2053" t="s">
        <v>6498</v>
      </c>
      <c r="Q2053" t="str">
        <f>IF($C2053="","",IFERROR(VLOOKUP($C2053,sources!$A$2:$N$200,2,FALSE()),"?"))</f>
        <v>Map</v>
      </c>
      <c r="S2053" t="str">
        <f>IF($C2053="","",IFERROR(VLOOKUP($C2053,sources!$A$2:$N$200,9,FALSE()),"?"))</f>
        <v>French state survey</v>
      </c>
    </row>
    <row r="2054" spans="1:19" x14ac:dyDescent="0.2">
      <c r="A2054" t="s">
        <v>6499</v>
      </c>
      <c r="B2054" t="s">
        <v>373</v>
      </c>
      <c r="C2054" t="s">
        <v>1494</v>
      </c>
      <c r="D2054" t="s">
        <v>1585</v>
      </c>
      <c r="E2054" t="s">
        <v>6500</v>
      </c>
      <c r="F2054" t="s">
        <v>3285</v>
      </c>
      <c r="I2054" t="s">
        <v>1077</v>
      </c>
      <c r="K2054">
        <v>1844</v>
      </c>
      <c r="L2054">
        <v>1844</v>
      </c>
      <c r="M2054" t="s">
        <v>228</v>
      </c>
      <c r="N2054" t="s">
        <v>228</v>
      </c>
      <c r="O2054" t="s">
        <v>5847</v>
      </c>
      <c r="P2054" t="s">
        <v>6501</v>
      </c>
      <c r="Q2054" t="str">
        <f>IF($C2054="","",IFERROR(VLOOKUP($C2054,sources!$A$2:$N$200,2,FALSE()),"?"))</f>
        <v>Map</v>
      </c>
      <c r="S2054" t="str">
        <f>IF($C2054="","",IFERROR(VLOOKUP($C2054,sources!$A$2:$N$200,9,FALSE()),"?"))</f>
        <v>French state survey</v>
      </c>
    </row>
    <row r="2055" spans="1:19" x14ac:dyDescent="0.2">
      <c r="A2055" t="s">
        <v>6502</v>
      </c>
      <c r="B2055" t="s">
        <v>911</v>
      </c>
      <c r="C2055" t="s">
        <v>1494</v>
      </c>
      <c r="D2055" t="s">
        <v>1599</v>
      </c>
      <c r="E2055" t="s">
        <v>6503</v>
      </c>
      <c r="F2055" t="s">
        <v>3285</v>
      </c>
      <c r="I2055" t="s">
        <v>1077</v>
      </c>
      <c r="K2055">
        <v>1844</v>
      </c>
      <c r="L2055">
        <v>1844</v>
      </c>
      <c r="M2055" t="s">
        <v>228</v>
      </c>
      <c r="N2055" t="s">
        <v>228</v>
      </c>
      <c r="O2055" t="s">
        <v>5847</v>
      </c>
      <c r="P2055" t="s">
        <v>6504</v>
      </c>
      <c r="Q2055" t="str">
        <f>IF($C2055="","",IFERROR(VLOOKUP($C2055,sources!$A$2:$N$200,2,FALSE()),"?"))</f>
        <v>Map</v>
      </c>
      <c r="S2055" t="str">
        <f>IF($C2055="","",IFERROR(VLOOKUP($C2055,sources!$A$2:$N$200,9,FALSE()),"?"))</f>
        <v>French state survey</v>
      </c>
    </row>
    <row r="2056" spans="1:19" x14ac:dyDescent="0.2">
      <c r="A2056" t="s">
        <v>6505</v>
      </c>
      <c r="B2056" t="s">
        <v>462</v>
      </c>
      <c r="C2056" t="s">
        <v>1494</v>
      </c>
      <c r="D2056" t="s">
        <v>1599</v>
      </c>
      <c r="E2056" t="s">
        <v>5852</v>
      </c>
      <c r="F2056" t="s">
        <v>3285</v>
      </c>
      <c r="I2056" t="s">
        <v>1077</v>
      </c>
      <c r="K2056">
        <v>1844</v>
      </c>
      <c r="L2056">
        <v>1844</v>
      </c>
      <c r="M2056" t="s">
        <v>228</v>
      </c>
      <c r="N2056" t="s">
        <v>222</v>
      </c>
      <c r="O2056" t="s">
        <v>5847</v>
      </c>
      <c r="P2056" t="s">
        <v>6506</v>
      </c>
      <c r="Q2056" t="str">
        <f>IF($C2056="","",IFERROR(VLOOKUP($C2056,sources!$A$2:$N$200,2,FALSE()),"?"))</f>
        <v>Map</v>
      </c>
      <c r="S2056" t="str">
        <f>IF($C2056="","",IFERROR(VLOOKUP($C2056,sources!$A$2:$N$200,9,FALSE()),"?"))</f>
        <v>French state survey</v>
      </c>
    </row>
    <row r="2057" spans="1:19" x14ac:dyDescent="0.2">
      <c r="A2057" t="s">
        <v>6507</v>
      </c>
      <c r="B2057" t="s">
        <v>439</v>
      </c>
      <c r="C2057" t="s">
        <v>1494</v>
      </c>
      <c r="D2057" t="s">
        <v>1599</v>
      </c>
      <c r="E2057" t="s">
        <v>6508</v>
      </c>
      <c r="F2057" t="s">
        <v>3285</v>
      </c>
      <c r="I2057" t="s">
        <v>1077</v>
      </c>
      <c r="K2057">
        <v>1844</v>
      </c>
      <c r="L2057">
        <v>1844</v>
      </c>
      <c r="M2057" t="s">
        <v>228</v>
      </c>
      <c r="N2057" t="s">
        <v>222</v>
      </c>
      <c r="O2057" t="s">
        <v>5847</v>
      </c>
      <c r="P2057" t="s">
        <v>6509</v>
      </c>
      <c r="Q2057" t="str">
        <f>IF($C2057="","",IFERROR(VLOOKUP($C2057,sources!$A$2:$N$200,2,FALSE()),"?"))</f>
        <v>Map</v>
      </c>
      <c r="S2057" t="str">
        <f>IF($C2057="","",IFERROR(VLOOKUP($C2057,sources!$A$2:$N$200,9,FALSE()),"?"))</f>
        <v>French state survey</v>
      </c>
    </row>
    <row r="2058" spans="1:19" x14ac:dyDescent="0.2">
      <c r="A2058" t="s">
        <v>6510</v>
      </c>
      <c r="B2058" t="s">
        <v>529</v>
      </c>
      <c r="C2058" t="s">
        <v>1494</v>
      </c>
      <c r="D2058" t="s">
        <v>1585</v>
      </c>
      <c r="E2058" t="s">
        <v>6511</v>
      </c>
      <c r="F2058" t="s">
        <v>3285</v>
      </c>
      <c r="I2058" t="s">
        <v>1077</v>
      </c>
      <c r="K2058">
        <v>1844</v>
      </c>
      <c r="L2058">
        <v>1844</v>
      </c>
      <c r="M2058" t="s">
        <v>228</v>
      </c>
      <c r="N2058" t="s">
        <v>228</v>
      </c>
      <c r="O2058" t="s">
        <v>5847</v>
      </c>
      <c r="P2058" t="s">
        <v>6512</v>
      </c>
      <c r="Q2058" t="str">
        <f>IF($C2058="","",IFERROR(VLOOKUP($C2058,sources!$A$2:$N$200,2,FALSE()),"?"))</f>
        <v>Map</v>
      </c>
      <c r="S2058" t="str">
        <f>IF($C2058="","",IFERROR(VLOOKUP($C2058,sources!$A$2:$N$200,9,FALSE()),"?"))</f>
        <v>French state survey</v>
      </c>
    </row>
    <row r="2059" spans="1:19" x14ac:dyDescent="0.2">
      <c r="A2059" t="s">
        <v>6513</v>
      </c>
      <c r="B2059" t="s">
        <v>985</v>
      </c>
      <c r="C2059" t="s">
        <v>1494</v>
      </c>
      <c r="D2059" t="s">
        <v>1585</v>
      </c>
      <c r="E2059" t="s">
        <v>6514</v>
      </c>
      <c r="F2059" t="s">
        <v>3285</v>
      </c>
      <c r="I2059" t="s">
        <v>1077</v>
      </c>
      <c r="K2059">
        <v>1844</v>
      </c>
      <c r="L2059">
        <v>1844</v>
      </c>
      <c r="M2059" t="s">
        <v>228</v>
      </c>
      <c r="N2059" t="s">
        <v>209</v>
      </c>
      <c r="O2059" t="s">
        <v>5847</v>
      </c>
      <c r="P2059" t="s">
        <v>6515</v>
      </c>
      <c r="Q2059" t="str">
        <f>IF($C2059="","",IFERROR(VLOOKUP($C2059,sources!$A$2:$N$200,2,FALSE()),"?"))</f>
        <v>Map</v>
      </c>
      <c r="S2059" t="str">
        <f>IF($C2059="","",IFERROR(VLOOKUP($C2059,sources!$A$2:$N$200,9,FALSE()),"?"))</f>
        <v>French state survey</v>
      </c>
    </row>
    <row r="2060" spans="1:19" x14ac:dyDescent="0.2">
      <c r="A2060" t="s">
        <v>6516</v>
      </c>
      <c r="B2060" t="s">
        <v>354</v>
      </c>
      <c r="C2060" t="s">
        <v>1494</v>
      </c>
      <c r="D2060" t="s">
        <v>1585</v>
      </c>
      <c r="E2060" t="s">
        <v>6517</v>
      </c>
      <c r="F2060" t="s">
        <v>3285</v>
      </c>
      <c r="I2060" t="s">
        <v>1077</v>
      </c>
      <c r="K2060">
        <v>1844</v>
      </c>
      <c r="L2060">
        <v>1844</v>
      </c>
      <c r="M2060" t="s">
        <v>228</v>
      </c>
      <c r="N2060" t="s">
        <v>228</v>
      </c>
      <c r="O2060" t="s">
        <v>5847</v>
      </c>
      <c r="P2060" t="s">
        <v>6518</v>
      </c>
      <c r="Q2060" t="str">
        <f>IF($C2060="","",IFERROR(VLOOKUP($C2060,sources!$A$2:$N$200,2,FALSE()),"?"))</f>
        <v>Map</v>
      </c>
      <c r="S2060" t="str">
        <f>IF($C2060="","",IFERROR(VLOOKUP($C2060,sources!$A$2:$N$200,9,FALSE()),"?"))</f>
        <v>French state survey</v>
      </c>
    </row>
    <row r="2061" spans="1:19" x14ac:dyDescent="0.2">
      <c r="A2061" t="s">
        <v>6519</v>
      </c>
      <c r="B2061" t="s">
        <v>224</v>
      </c>
      <c r="C2061" t="s">
        <v>1494</v>
      </c>
      <c r="D2061" t="s">
        <v>1666</v>
      </c>
      <c r="E2061" t="s">
        <v>225</v>
      </c>
      <c r="F2061" t="s">
        <v>3285</v>
      </c>
      <c r="I2061" t="s">
        <v>1077</v>
      </c>
      <c r="K2061">
        <v>1844</v>
      </c>
      <c r="L2061">
        <v>1844</v>
      </c>
      <c r="M2061" t="s">
        <v>228</v>
      </c>
      <c r="N2061" t="s">
        <v>228</v>
      </c>
      <c r="O2061" t="s">
        <v>5847</v>
      </c>
      <c r="P2061" t="s">
        <v>6520</v>
      </c>
      <c r="Q2061" t="str">
        <f>IF($C2061="","",IFERROR(VLOOKUP($C2061,sources!$A$2:$N$200,2,FALSE()),"?"))</f>
        <v>Map</v>
      </c>
      <c r="S2061" t="str">
        <f>IF($C2061="","",IFERROR(VLOOKUP($C2061,sources!$A$2:$N$200,9,FALSE()),"?"))</f>
        <v>French state survey</v>
      </c>
    </row>
    <row r="2062" spans="1:19" x14ac:dyDescent="0.2">
      <c r="A2062" t="s">
        <v>6521</v>
      </c>
      <c r="B2062" t="s">
        <v>626</v>
      </c>
      <c r="C2062" t="s">
        <v>1494</v>
      </c>
      <c r="D2062" t="s">
        <v>1666</v>
      </c>
      <c r="E2062" t="s">
        <v>627</v>
      </c>
      <c r="F2062" t="s">
        <v>3285</v>
      </c>
      <c r="I2062" t="s">
        <v>1077</v>
      </c>
      <c r="K2062">
        <v>1844</v>
      </c>
      <c r="L2062">
        <v>1844</v>
      </c>
      <c r="M2062" t="s">
        <v>228</v>
      </c>
      <c r="N2062" t="s">
        <v>228</v>
      </c>
      <c r="O2062" t="s">
        <v>5847</v>
      </c>
      <c r="P2062" t="s">
        <v>6522</v>
      </c>
      <c r="Q2062" t="str">
        <f>IF($C2062="","",IFERROR(VLOOKUP($C2062,sources!$A$2:$N$200,2,FALSE()),"?"))</f>
        <v>Map</v>
      </c>
      <c r="S2062" t="str">
        <f>IF($C2062="","",IFERROR(VLOOKUP($C2062,sources!$A$2:$N$200,9,FALSE()),"?"))</f>
        <v>French state survey</v>
      </c>
    </row>
    <row r="2063" spans="1:19" x14ac:dyDescent="0.2">
      <c r="A2063" t="s">
        <v>6523</v>
      </c>
      <c r="B2063" t="s">
        <v>915</v>
      </c>
      <c r="C2063" t="s">
        <v>1494</v>
      </c>
      <c r="D2063" t="s">
        <v>1666</v>
      </c>
      <c r="E2063" t="s">
        <v>916</v>
      </c>
      <c r="F2063" t="s">
        <v>3285</v>
      </c>
      <c r="I2063" t="s">
        <v>1077</v>
      </c>
      <c r="K2063">
        <v>1844</v>
      </c>
      <c r="L2063">
        <v>1844</v>
      </c>
      <c r="M2063" t="s">
        <v>228</v>
      </c>
      <c r="N2063" t="s">
        <v>228</v>
      </c>
      <c r="O2063" t="s">
        <v>5847</v>
      </c>
      <c r="P2063" t="s">
        <v>6522</v>
      </c>
      <c r="Q2063" t="str">
        <f>IF($C2063="","",IFERROR(VLOOKUP($C2063,sources!$A$2:$N$200,2,FALSE()),"?"))</f>
        <v>Map</v>
      </c>
      <c r="S2063" t="str">
        <f>IF($C2063="","",IFERROR(VLOOKUP($C2063,sources!$A$2:$N$200,9,FALSE()),"?"))</f>
        <v>French state survey</v>
      </c>
    </row>
    <row r="2064" spans="1:19" x14ac:dyDescent="0.2">
      <c r="A2064" t="s">
        <v>6524</v>
      </c>
      <c r="B2064" t="s">
        <v>925</v>
      </c>
      <c r="C2064" t="s">
        <v>1494</v>
      </c>
      <c r="D2064" t="s">
        <v>1666</v>
      </c>
      <c r="E2064" t="s">
        <v>926</v>
      </c>
      <c r="F2064" t="s">
        <v>3285</v>
      </c>
      <c r="I2064" t="s">
        <v>1077</v>
      </c>
      <c r="K2064">
        <v>1844</v>
      </c>
      <c r="L2064">
        <v>1844</v>
      </c>
      <c r="M2064" t="s">
        <v>228</v>
      </c>
      <c r="N2064" t="s">
        <v>209</v>
      </c>
      <c r="O2064" t="s">
        <v>5847</v>
      </c>
      <c r="P2064" t="s">
        <v>6525</v>
      </c>
      <c r="Q2064" t="str">
        <f>IF($C2064="","",IFERROR(VLOOKUP($C2064,sources!$A$2:$N$200,2,FALSE()),"?"))</f>
        <v>Map</v>
      </c>
      <c r="S2064" t="str">
        <f>IF($C2064="","",IFERROR(VLOOKUP($C2064,sources!$A$2:$N$200,9,FALSE()),"?"))</f>
        <v>French state survey</v>
      </c>
    </row>
    <row r="2065" spans="1:19" x14ac:dyDescent="0.2">
      <c r="A2065" t="s">
        <v>6526</v>
      </c>
      <c r="B2065" t="s">
        <v>955</v>
      </c>
      <c r="C2065" t="s">
        <v>1494</v>
      </c>
      <c r="D2065" t="s">
        <v>1666</v>
      </c>
      <c r="E2065" t="s">
        <v>970</v>
      </c>
      <c r="F2065" t="s">
        <v>3285</v>
      </c>
      <c r="I2065" t="s">
        <v>1077</v>
      </c>
      <c r="K2065">
        <v>1844</v>
      </c>
      <c r="L2065">
        <v>1844</v>
      </c>
      <c r="M2065" t="s">
        <v>228</v>
      </c>
      <c r="N2065" t="s">
        <v>209</v>
      </c>
      <c r="O2065" t="s">
        <v>5847</v>
      </c>
      <c r="P2065" t="s">
        <v>6527</v>
      </c>
      <c r="Q2065" t="str">
        <f>IF($C2065="","",IFERROR(VLOOKUP($C2065,sources!$A$2:$N$200,2,FALSE()),"?"))</f>
        <v>Map</v>
      </c>
      <c r="S2065" t="str">
        <f>IF($C2065="","",IFERROR(VLOOKUP($C2065,sources!$A$2:$N$200,9,FALSE()),"?"))</f>
        <v>French state survey</v>
      </c>
    </row>
    <row r="2066" spans="1:19" x14ac:dyDescent="0.2">
      <c r="A2066" t="s">
        <v>6528</v>
      </c>
      <c r="B2066" t="s">
        <v>802</v>
      </c>
      <c r="C2066" t="s">
        <v>1167</v>
      </c>
      <c r="D2066" t="s">
        <v>1585</v>
      </c>
      <c r="E2066" t="s">
        <v>6529</v>
      </c>
      <c r="F2066" t="s">
        <v>1612</v>
      </c>
      <c r="I2066" t="s">
        <v>1077</v>
      </c>
      <c r="K2066">
        <v>1917</v>
      </c>
      <c r="L2066">
        <v>1917</v>
      </c>
      <c r="M2066" t="s">
        <v>228</v>
      </c>
      <c r="N2066" t="s">
        <v>228</v>
      </c>
      <c r="O2066" t="s">
        <v>6530</v>
      </c>
      <c r="P2066" t="s">
        <v>6531</v>
      </c>
      <c r="Q2066" t="str">
        <f>IF($C2066="","",IFERROR(VLOOKUP($C2066,sources!$A$2:$N$200,2,FALSE()),"?"))</f>
        <v>Report</v>
      </c>
      <c r="S2066" t="str">
        <f>IF($C2066="","",IFERROR(VLOOKUP($C2066,sources!$A$2:$N$200,9,FALSE()),"?"))</f>
        <v>US official</v>
      </c>
    </row>
    <row r="2067" spans="1:19" x14ac:dyDescent="0.2">
      <c r="A2067" t="s">
        <v>6532</v>
      </c>
      <c r="B2067" t="s">
        <v>805</v>
      </c>
      <c r="C2067" t="s">
        <v>1167</v>
      </c>
      <c r="D2067" t="s">
        <v>1599</v>
      </c>
      <c r="E2067" t="s">
        <v>806</v>
      </c>
      <c r="F2067" t="s">
        <v>1612</v>
      </c>
      <c r="I2067" t="s">
        <v>1077</v>
      </c>
      <c r="K2067">
        <v>1920</v>
      </c>
      <c r="L2067">
        <v>1920</v>
      </c>
      <c r="M2067" t="s">
        <v>228</v>
      </c>
      <c r="N2067" t="s">
        <v>209</v>
      </c>
      <c r="O2067" t="s">
        <v>6530</v>
      </c>
      <c r="P2067" t="s">
        <v>6533</v>
      </c>
      <c r="Q2067" t="str">
        <f>IF($C2067="","",IFERROR(VLOOKUP($C2067,sources!$A$2:$N$200,2,FALSE()),"?"))</f>
        <v>Report</v>
      </c>
      <c r="S2067" t="str">
        <f>IF($C2067="","",IFERROR(VLOOKUP($C2067,sources!$A$2:$N$200,9,FALSE()),"?"))</f>
        <v>US official</v>
      </c>
    </row>
    <row r="2068" spans="1:19" x14ac:dyDescent="0.2">
      <c r="A2068" t="s">
        <v>6534</v>
      </c>
      <c r="B2068" t="s">
        <v>820</v>
      </c>
      <c r="C2068" t="s">
        <v>1167</v>
      </c>
      <c r="D2068" t="s">
        <v>1599</v>
      </c>
      <c r="E2068" t="s">
        <v>821</v>
      </c>
      <c r="F2068" t="s">
        <v>1612</v>
      </c>
      <c r="I2068" t="s">
        <v>1077</v>
      </c>
      <c r="K2068">
        <v>1907</v>
      </c>
      <c r="L2068">
        <v>1941</v>
      </c>
      <c r="M2068" t="s">
        <v>228</v>
      </c>
      <c r="N2068" t="s">
        <v>222</v>
      </c>
      <c r="O2068" t="s">
        <v>6530</v>
      </c>
      <c r="P2068" t="s">
        <v>6535</v>
      </c>
      <c r="Q2068" t="str">
        <f>IF($C2068="","",IFERROR(VLOOKUP($C2068,sources!$A$2:$N$200,2,FALSE()),"?"))</f>
        <v>Report</v>
      </c>
      <c r="S2068" t="str">
        <f>IF($C2068="","",IFERROR(VLOOKUP($C2068,sources!$A$2:$N$200,9,FALSE()),"?"))</f>
        <v>US official</v>
      </c>
    </row>
    <row r="2069" spans="1:19" x14ac:dyDescent="0.2">
      <c r="A2069" t="s">
        <v>6536</v>
      </c>
      <c r="B2069" t="s">
        <v>824</v>
      </c>
      <c r="C2069" t="s">
        <v>1167</v>
      </c>
      <c r="D2069" t="s">
        <v>1599</v>
      </c>
      <c r="E2069" t="s">
        <v>6537</v>
      </c>
      <c r="F2069" t="s">
        <v>1612</v>
      </c>
      <c r="I2069" t="s">
        <v>1077</v>
      </c>
      <c r="K2069">
        <v>1907</v>
      </c>
      <c r="L2069">
        <v>1914</v>
      </c>
      <c r="M2069" t="s">
        <v>228</v>
      </c>
      <c r="N2069" t="s">
        <v>222</v>
      </c>
      <c r="O2069" t="s">
        <v>6530</v>
      </c>
      <c r="P2069" t="s">
        <v>6538</v>
      </c>
      <c r="Q2069" t="str">
        <f>IF($C2069="","",IFERROR(VLOOKUP($C2069,sources!$A$2:$N$200,2,FALSE()),"?"))</f>
        <v>Report</v>
      </c>
      <c r="S2069" t="str">
        <f>IF($C2069="","",IFERROR(VLOOKUP($C2069,sources!$A$2:$N$200,9,FALSE()),"?"))</f>
        <v>US official</v>
      </c>
    </row>
    <row r="2070" spans="1:19" x14ac:dyDescent="0.2">
      <c r="A2070" t="s">
        <v>6539</v>
      </c>
      <c r="B2070" t="s">
        <v>827</v>
      </c>
      <c r="C2070" t="s">
        <v>1167</v>
      </c>
      <c r="D2070" t="s">
        <v>1666</v>
      </c>
      <c r="E2070" t="s">
        <v>4888</v>
      </c>
      <c r="F2070" t="s">
        <v>1612</v>
      </c>
      <c r="I2070" t="s">
        <v>1077</v>
      </c>
      <c r="K2070">
        <v>1907</v>
      </c>
      <c r="L2070">
        <v>1941</v>
      </c>
      <c r="M2070" t="s">
        <v>228</v>
      </c>
      <c r="N2070" t="s">
        <v>222</v>
      </c>
      <c r="O2070" t="s">
        <v>6530</v>
      </c>
      <c r="P2070" t="s">
        <v>6540</v>
      </c>
      <c r="Q2070" t="str">
        <f>IF($C2070="","",IFERROR(VLOOKUP($C2070,sources!$A$2:$N$200,2,FALSE()),"?"))</f>
        <v>Report</v>
      </c>
      <c r="S2070" t="str">
        <f>IF($C2070="","",IFERROR(VLOOKUP($C2070,sources!$A$2:$N$200,9,FALSE()),"?"))</f>
        <v>US official</v>
      </c>
    </row>
    <row r="2071" spans="1:19" x14ac:dyDescent="0.2">
      <c r="A2071" t="s">
        <v>6541</v>
      </c>
      <c r="B2071" t="s">
        <v>830</v>
      </c>
      <c r="C2071" t="s">
        <v>1167</v>
      </c>
      <c r="D2071" t="s">
        <v>1599</v>
      </c>
      <c r="E2071" t="s">
        <v>831</v>
      </c>
      <c r="F2071" t="s">
        <v>1612</v>
      </c>
      <c r="I2071" t="s">
        <v>1077</v>
      </c>
      <c r="K2071">
        <v>1915</v>
      </c>
      <c r="L2071">
        <v>1916</v>
      </c>
      <c r="M2071" t="s">
        <v>228</v>
      </c>
      <c r="N2071" t="s">
        <v>228</v>
      </c>
      <c r="O2071" t="s">
        <v>6530</v>
      </c>
      <c r="P2071" t="s">
        <v>6542</v>
      </c>
      <c r="Q2071" t="str">
        <f>IF($C2071="","",IFERROR(VLOOKUP($C2071,sources!$A$2:$N$200,2,FALSE()),"?"))</f>
        <v>Report</v>
      </c>
      <c r="S2071" t="str">
        <f>IF($C2071="","",IFERROR(VLOOKUP($C2071,sources!$A$2:$N$200,9,FALSE()),"?"))</f>
        <v>US official</v>
      </c>
    </row>
    <row r="2072" spans="1:19" x14ac:dyDescent="0.2">
      <c r="A2072" t="s">
        <v>6543</v>
      </c>
      <c r="B2072" t="s">
        <v>835</v>
      </c>
      <c r="C2072" t="s">
        <v>1167</v>
      </c>
      <c r="D2072" t="s">
        <v>1599</v>
      </c>
      <c r="E2072" t="s">
        <v>6544</v>
      </c>
      <c r="F2072" t="s">
        <v>1612</v>
      </c>
      <c r="I2072" t="s">
        <v>1077</v>
      </c>
      <c r="K2072">
        <v>1913</v>
      </c>
      <c r="L2072">
        <v>1914</v>
      </c>
      <c r="M2072" t="s">
        <v>228</v>
      </c>
      <c r="N2072" t="s">
        <v>228</v>
      </c>
      <c r="O2072" t="s">
        <v>6530</v>
      </c>
      <c r="P2072" t="s">
        <v>6545</v>
      </c>
      <c r="Q2072" t="str">
        <f>IF($C2072="","",IFERROR(VLOOKUP($C2072,sources!$A$2:$N$200,2,FALSE()),"?"))</f>
        <v>Report</v>
      </c>
      <c r="S2072" t="str">
        <f>IF($C2072="","",IFERROR(VLOOKUP($C2072,sources!$A$2:$N$200,9,FALSE()),"?"))</f>
        <v>US official</v>
      </c>
    </row>
    <row r="2073" spans="1:19" x14ac:dyDescent="0.2">
      <c r="A2073" t="s">
        <v>6546</v>
      </c>
      <c r="B2073" t="s">
        <v>838</v>
      </c>
      <c r="C2073" t="s">
        <v>1167</v>
      </c>
      <c r="D2073" t="s">
        <v>1585</v>
      </c>
      <c r="E2073" t="s">
        <v>6547</v>
      </c>
      <c r="F2073" t="s">
        <v>1612</v>
      </c>
      <c r="I2073" t="s">
        <v>1077</v>
      </c>
      <c r="K2073">
        <v>1910</v>
      </c>
      <c r="L2073">
        <v>1915</v>
      </c>
      <c r="M2073" t="s">
        <v>228</v>
      </c>
      <c r="N2073" t="s">
        <v>222</v>
      </c>
      <c r="O2073" t="s">
        <v>6530</v>
      </c>
      <c r="P2073" t="s">
        <v>6548</v>
      </c>
      <c r="Q2073" t="str">
        <f>IF($C2073="","",IFERROR(VLOOKUP($C2073,sources!$A$2:$N$200,2,FALSE()),"?"))</f>
        <v>Report</v>
      </c>
      <c r="S2073" t="str">
        <f>IF($C2073="","",IFERROR(VLOOKUP($C2073,sources!$A$2:$N$200,9,FALSE()),"?"))</f>
        <v>US official</v>
      </c>
    </row>
    <row r="2074" spans="1:19" x14ac:dyDescent="0.2">
      <c r="A2074" t="s">
        <v>6549</v>
      </c>
      <c r="B2074" t="s">
        <v>843</v>
      </c>
      <c r="C2074" t="s">
        <v>1167</v>
      </c>
      <c r="D2074" t="s">
        <v>1666</v>
      </c>
      <c r="E2074" t="s">
        <v>844</v>
      </c>
      <c r="F2074" t="s">
        <v>1612</v>
      </c>
      <c r="I2074" t="s">
        <v>1077</v>
      </c>
      <c r="K2074">
        <v>1907</v>
      </c>
      <c r="L2074">
        <v>1941</v>
      </c>
      <c r="M2074" t="s">
        <v>228</v>
      </c>
      <c r="N2074" t="s">
        <v>222</v>
      </c>
      <c r="O2074" t="s">
        <v>6530</v>
      </c>
      <c r="P2074" t="s">
        <v>6550</v>
      </c>
      <c r="Q2074" t="str">
        <f>IF($C2074="","",IFERROR(VLOOKUP($C2074,sources!$A$2:$N$200,2,FALSE()),"?"))</f>
        <v>Report</v>
      </c>
      <c r="S2074" t="str">
        <f>IF($C2074="","",IFERROR(VLOOKUP($C2074,sources!$A$2:$N$200,9,FALSE()),"?"))</f>
        <v>US official</v>
      </c>
    </row>
    <row r="2075" spans="1:19" x14ac:dyDescent="0.2">
      <c r="A2075" t="s">
        <v>6551</v>
      </c>
      <c r="B2075" t="s">
        <v>847</v>
      </c>
      <c r="C2075" t="s">
        <v>1167</v>
      </c>
      <c r="D2075" t="s">
        <v>1599</v>
      </c>
      <c r="E2075" t="s">
        <v>848</v>
      </c>
      <c r="F2075" t="s">
        <v>1612</v>
      </c>
      <c r="I2075" t="s">
        <v>1077</v>
      </c>
      <c r="K2075">
        <v>1917</v>
      </c>
      <c r="L2075">
        <v>1929</v>
      </c>
      <c r="M2075" t="s">
        <v>228</v>
      </c>
      <c r="N2075" t="s">
        <v>222</v>
      </c>
      <c r="O2075" t="s">
        <v>6530</v>
      </c>
      <c r="P2075" t="s">
        <v>6552</v>
      </c>
      <c r="Q2075" t="str">
        <f>IF($C2075="","",IFERROR(VLOOKUP($C2075,sources!$A$2:$N$200,2,FALSE()),"?"))</f>
        <v>Report</v>
      </c>
      <c r="S2075" t="str">
        <f>IF($C2075="","",IFERROR(VLOOKUP($C2075,sources!$A$2:$N$200,9,FALSE()),"?"))</f>
        <v>US official</v>
      </c>
    </row>
    <row r="2076" spans="1:19" x14ac:dyDescent="0.2">
      <c r="A2076" t="s">
        <v>6553</v>
      </c>
      <c r="B2076" t="s">
        <v>851</v>
      </c>
      <c r="C2076" t="s">
        <v>1167</v>
      </c>
      <c r="D2076" t="s">
        <v>1666</v>
      </c>
      <c r="E2076" t="s">
        <v>852</v>
      </c>
      <c r="F2076" t="s">
        <v>1612</v>
      </c>
      <c r="I2076" t="s">
        <v>1077</v>
      </c>
      <c r="K2076">
        <v>1907</v>
      </c>
      <c r="L2076">
        <v>1941</v>
      </c>
      <c r="M2076" t="s">
        <v>228</v>
      </c>
      <c r="N2076" t="s">
        <v>222</v>
      </c>
      <c r="O2076" t="s">
        <v>6530</v>
      </c>
      <c r="P2076" t="s">
        <v>6554</v>
      </c>
      <c r="Q2076" t="str">
        <f>IF($C2076="","",IFERROR(VLOOKUP($C2076,sources!$A$2:$N$200,2,FALSE()),"?"))</f>
        <v>Report</v>
      </c>
      <c r="S2076" t="str">
        <f>IF($C2076="","",IFERROR(VLOOKUP($C2076,sources!$A$2:$N$200,9,FALSE()),"?"))</f>
        <v>US official</v>
      </c>
    </row>
    <row r="2077" spans="1:19" x14ac:dyDescent="0.2">
      <c r="A2077" t="s">
        <v>6555</v>
      </c>
      <c r="B2077" t="s">
        <v>871</v>
      </c>
      <c r="C2077" t="s">
        <v>1167</v>
      </c>
      <c r="D2077" t="s">
        <v>1666</v>
      </c>
      <c r="E2077" t="s">
        <v>872</v>
      </c>
      <c r="F2077" t="s">
        <v>1612</v>
      </c>
      <c r="I2077" t="s">
        <v>1077</v>
      </c>
      <c r="K2077">
        <v>1907</v>
      </c>
      <c r="L2077">
        <v>1941</v>
      </c>
      <c r="M2077" t="s">
        <v>228</v>
      </c>
      <c r="N2077" t="s">
        <v>228</v>
      </c>
      <c r="O2077" t="s">
        <v>6530</v>
      </c>
      <c r="P2077" t="s">
        <v>6556</v>
      </c>
      <c r="Q2077" t="str">
        <f>IF($C2077="","",IFERROR(VLOOKUP($C2077,sources!$A$2:$N$200,2,FALSE()),"?"))</f>
        <v>Report</v>
      </c>
      <c r="S2077" t="str">
        <f>IF($C2077="","",IFERROR(VLOOKUP($C2077,sources!$A$2:$N$200,9,FALSE()),"?"))</f>
        <v>US official</v>
      </c>
    </row>
    <row r="2078" spans="1:19" x14ac:dyDescent="0.2">
      <c r="A2078" t="s">
        <v>6557</v>
      </c>
      <c r="B2078" t="s">
        <v>1027</v>
      </c>
      <c r="C2078" t="s">
        <v>1167</v>
      </c>
      <c r="D2078" t="s">
        <v>1666</v>
      </c>
      <c r="E2078" t="s">
        <v>6558</v>
      </c>
      <c r="F2078" t="s">
        <v>1612</v>
      </c>
      <c r="I2078" t="s">
        <v>1077</v>
      </c>
      <c r="K2078">
        <v>1907</v>
      </c>
      <c r="L2078">
        <v>1941</v>
      </c>
      <c r="M2078" t="s">
        <v>228</v>
      </c>
      <c r="N2078" t="s">
        <v>209</v>
      </c>
      <c r="O2078" t="s">
        <v>6530</v>
      </c>
      <c r="P2078" t="s">
        <v>6559</v>
      </c>
      <c r="Q2078" t="str">
        <f>IF($C2078="","",IFERROR(VLOOKUP($C2078,sources!$A$2:$N$200,2,FALSE()),"?"))</f>
        <v>Report</v>
      </c>
      <c r="S2078" t="str">
        <f>IF($C2078="","",IFERROR(VLOOKUP($C2078,sources!$A$2:$N$200,9,FALSE()),"?"))</f>
        <v>US official</v>
      </c>
    </row>
    <row r="2079" spans="1:19" x14ac:dyDescent="0.2">
      <c r="A2079" t="s">
        <v>6560</v>
      </c>
      <c r="B2079" t="s">
        <v>879</v>
      </c>
      <c r="C2079" t="s">
        <v>1167</v>
      </c>
      <c r="D2079" t="s">
        <v>1599</v>
      </c>
      <c r="E2079" t="s">
        <v>4832</v>
      </c>
      <c r="F2079" t="s">
        <v>1612</v>
      </c>
      <c r="I2079" t="s">
        <v>1077</v>
      </c>
      <c r="K2079">
        <v>1909</v>
      </c>
      <c r="L2079">
        <v>1915</v>
      </c>
      <c r="M2079" t="s">
        <v>228</v>
      </c>
      <c r="N2079" t="s">
        <v>222</v>
      </c>
      <c r="O2079" t="s">
        <v>6530</v>
      </c>
      <c r="P2079" t="s">
        <v>6561</v>
      </c>
      <c r="Q2079" t="str">
        <f>IF($C2079="","",IFERROR(VLOOKUP($C2079,sources!$A$2:$N$200,2,FALSE()),"?"))</f>
        <v>Report</v>
      </c>
      <c r="S2079" t="str">
        <f>IF($C2079="","",IFERROR(VLOOKUP($C2079,sources!$A$2:$N$200,9,FALSE()),"?"))</f>
        <v>US official</v>
      </c>
    </row>
    <row r="2080" spans="1:19" x14ac:dyDescent="0.2">
      <c r="A2080" t="s">
        <v>6562</v>
      </c>
      <c r="B2080" t="s">
        <v>884</v>
      </c>
      <c r="C2080" t="s">
        <v>1167</v>
      </c>
      <c r="D2080" t="s">
        <v>1666</v>
      </c>
      <c r="E2080" t="s">
        <v>4835</v>
      </c>
      <c r="F2080" t="s">
        <v>1612</v>
      </c>
      <c r="I2080" t="s">
        <v>1077</v>
      </c>
      <c r="K2080">
        <v>1907</v>
      </c>
      <c r="L2080">
        <v>1941</v>
      </c>
      <c r="M2080" t="s">
        <v>228</v>
      </c>
      <c r="N2080" t="s">
        <v>222</v>
      </c>
      <c r="O2080" t="s">
        <v>6530</v>
      </c>
      <c r="P2080" t="s">
        <v>6563</v>
      </c>
      <c r="Q2080" t="str">
        <f>IF($C2080="","",IFERROR(VLOOKUP($C2080,sources!$A$2:$N$200,2,FALSE()),"?"))</f>
        <v>Report</v>
      </c>
      <c r="S2080" t="str">
        <f>IF($C2080="","",IFERROR(VLOOKUP($C2080,sources!$A$2:$N$200,9,FALSE()),"?"))</f>
        <v>US official</v>
      </c>
    </row>
    <row r="2081" spans="1:19" x14ac:dyDescent="0.2">
      <c r="A2081" t="s">
        <v>6564</v>
      </c>
      <c r="B2081" t="s">
        <v>895</v>
      </c>
      <c r="C2081" t="s">
        <v>1167</v>
      </c>
      <c r="D2081" t="s">
        <v>1599</v>
      </c>
      <c r="E2081" t="s">
        <v>6565</v>
      </c>
      <c r="F2081" t="s">
        <v>1612</v>
      </c>
      <c r="I2081" t="s">
        <v>1077</v>
      </c>
      <c r="K2081">
        <v>1907</v>
      </c>
      <c r="L2081">
        <v>1914</v>
      </c>
      <c r="M2081" t="s">
        <v>228</v>
      </c>
      <c r="N2081" t="s">
        <v>222</v>
      </c>
      <c r="O2081" t="s">
        <v>6530</v>
      </c>
      <c r="P2081" t="s">
        <v>6566</v>
      </c>
      <c r="Q2081" t="str">
        <f>IF($C2081="","",IFERROR(VLOOKUP($C2081,sources!$A$2:$N$200,2,FALSE()),"?"))</f>
        <v>Report</v>
      </c>
      <c r="S2081" t="str">
        <f>IF($C2081="","",IFERROR(VLOOKUP($C2081,sources!$A$2:$N$200,9,FALSE()),"?"))</f>
        <v>US official</v>
      </c>
    </row>
    <row r="2082" spans="1:19" x14ac:dyDescent="0.2">
      <c r="A2082" t="s">
        <v>6567</v>
      </c>
      <c r="B2082" t="s">
        <v>907</v>
      </c>
      <c r="C2082" t="s">
        <v>1167</v>
      </c>
      <c r="D2082" t="s">
        <v>1585</v>
      </c>
      <c r="E2082" t="s">
        <v>6568</v>
      </c>
      <c r="F2082" t="s">
        <v>1612</v>
      </c>
      <c r="I2082" t="s">
        <v>1077</v>
      </c>
      <c r="K2082">
        <v>1912</v>
      </c>
      <c r="L2082">
        <v>1913</v>
      </c>
      <c r="M2082" t="s">
        <v>228</v>
      </c>
      <c r="N2082" t="s">
        <v>222</v>
      </c>
      <c r="O2082" t="s">
        <v>6530</v>
      </c>
      <c r="P2082" t="s">
        <v>6569</v>
      </c>
      <c r="Q2082" t="str">
        <f>IF($C2082="","",IFERROR(VLOOKUP($C2082,sources!$A$2:$N$200,2,FALSE()),"?"))</f>
        <v>Report</v>
      </c>
      <c r="S2082" t="str">
        <f>IF($C2082="","",IFERROR(VLOOKUP($C2082,sources!$A$2:$N$200,9,FALSE()),"?"))</f>
        <v>US official</v>
      </c>
    </row>
    <row r="2083" spans="1:19" x14ac:dyDescent="0.2">
      <c r="A2083" t="s">
        <v>6570</v>
      </c>
      <c r="B2083" t="s">
        <v>911</v>
      </c>
      <c r="C2083" t="s">
        <v>1167</v>
      </c>
      <c r="D2083" t="s">
        <v>1666</v>
      </c>
      <c r="E2083" t="s">
        <v>912</v>
      </c>
      <c r="F2083" t="s">
        <v>1612</v>
      </c>
      <c r="I2083" t="s">
        <v>1077</v>
      </c>
      <c r="K2083">
        <v>1907</v>
      </c>
      <c r="L2083">
        <v>1941</v>
      </c>
      <c r="M2083" t="s">
        <v>228</v>
      </c>
      <c r="N2083" t="s">
        <v>228</v>
      </c>
      <c r="O2083" t="s">
        <v>6530</v>
      </c>
      <c r="P2083" t="s">
        <v>6571</v>
      </c>
      <c r="Q2083" t="str">
        <f>IF($C2083="","",IFERROR(VLOOKUP($C2083,sources!$A$2:$N$200,2,FALSE()),"?"))</f>
        <v>Report</v>
      </c>
      <c r="S2083" t="str">
        <f>IF($C2083="","",IFERROR(VLOOKUP($C2083,sources!$A$2:$N$200,9,FALSE()),"?"))</f>
        <v>US official</v>
      </c>
    </row>
    <row r="2084" spans="1:19" x14ac:dyDescent="0.2">
      <c r="A2084" t="s">
        <v>6572</v>
      </c>
      <c r="B2084" t="s">
        <v>915</v>
      </c>
      <c r="C2084" t="s">
        <v>1167</v>
      </c>
      <c r="D2084" t="s">
        <v>1666</v>
      </c>
      <c r="E2084" t="s">
        <v>916</v>
      </c>
      <c r="F2084" t="s">
        <v>1612</v>
      </c>
      <c r="I2084" t="s">
        <v>1077</v>
      </c>
      <c r="K2084">
        <v>1907</v>
      </c>
      <c r="L2084">
        <v>1941</v>
      </c>
      <c r="M2084" t="s">
        <v>228</v>
      </c>
      <c r="N2084" t="s">
        <v>222</v>
      </c>
      <c r="O2084" t="s">
        <v>6530</v>
      </c>
      <c r="P2084" t="s">
        <v>6573</v>
      </c>
      <c r="Q2084" t="str">
        <f>IF($C2084="","",IFERROR(VLOOKUP($C2084,sources!$A$2:$N$200,2,FALSE()),"?"))</f>
        <v>Report</v>
      </c>
      <c r="S2084" t="str">
        <f>IF($C2084="","",IFERROR(VLOOKUP($C2084,sources!$A$2:$N$200,9,FALSE()),"?"))</f>
        <v>US official</v>
      </c>
    </row>
    <row r="2085" spans="1:19" x14ac:dyDescent="0.2">
      <c r="A2085" t="s">
        <v>6574</v>
      </c>
      <c r="B2085" t="s">
        <v>918</v>
      </c>
      <c r="C2085" t="s">
        <v>1167</v>
      </c>
      <c r="D2085" t="s">
        <v>1585</v>
      </c>
      <c r="E2085" t="s">
        <v>6575</v>
      </c>
      <c r="F2085" t="s">
        <v>1612</v>
      </c>
      <c r="I2085" t="s">
        <v>1077</v>
      </c>
      <c r="K2085">
        <v>1917</v>
      </c>
      <c r="L2085">
        <v>1917</v>
      </c>
      <c r="M2085" t="s">
        <v>228</v>
      </c>
      <c r="N2085" t="s">
        <v>222</v>
      </c>
      <c r="O2085" t="s">
        <v>6530</v>
      </c>
      <c r="P2085" t="s">
        <v>6576</v>
      </c>
      <c r="Q2085" t="str">
        <f>IF($C2085="","",IFERROR(VLOOKUP($C2085,sources!$A$2:$N$200,2,FALSE()),"?"))</f>
        <v>Report</v>
      </c>
      <c r="S2085" t="str">
        <f>IF($C2085="","",IFERROR(VLOOKUP($C2085,sources!$A$2:$N$200,9,FALSE()),"?"))</f>
        <v>US official</v>
      </c>
    </row>
    <row r="2086" spans="1:19" x14ac:dyDescent="0.2">
      <c r="A2086" t="s">
        <v>6577</v>
      </c>
      <c r="B2086" t="s">
        <v>921</v>
      </c>
      <c r="C2086" t="s">
        <v>1167</v>
      </c>
      <c r="D2086" t="s">
        <v>1585</v>
      </c>
      <c r="E2086" t="s">
        <v>6578</v>
      </c>
      <c r="F2086" t="s">
        <v>1612</v>
      </c>
      <c r="I2086" t="s">
        <v>1077</v>
      </c>
      <c r="K2086">
        <v>1908</v>
      </c>
      <c r="L2086">
        <v>1913</v>
      </c>
      <c r="M2086" t="s">
        <v>228</v>
      </c>
      <c r="N2086" t="s">
        <v>222</v>
      </c>
      <c r="O2086" t="s">
        <v>6530</v>
      </c>
      <c r="P2086" t="s">
        <v>6579</v>
      </c>
      <c r="Q2086" t="str">
        <f>IF($C2086="","",IFERROR(VLOOKUP($C2086,sources!$A$2:$N$200,2,FALSE()),"?"))</f>
        <v>Report</v>
      </c>
      <c r="S2086" t="str">
        <f>IF($C2086="","",IFERROR(VLOOKUP($C2086,sources!$A$2:$N$200,9,FALSE()),"?"))</f>
        <v>US official</v>
      </c>
    </row>
    <row r="2087" spans="1:19" x14ac:dyDescent="0.2">
      <c r="A2087" t="s">
        <v>6580</v>
      </c>
      <c r="B2087" t="s">
        <v>925</v>
      </c>
      <c r="C2087" t="s">
        <v>1167</v>
      </c>
      <c r="D2087" t="s">
        <v>1666</v>
      </c>
      <c r="E2087" t="s">
        <v>927</v>
      </c>
      <c r="F2087" t="s">
        <v>1612</v>
      </c>
      <c r="I2087" t="s">
        <v>1077</v>
      </c>
      <c r="K2087">
        <v>1907</v>
      </c>
      <c r="L2087">
        <v>1941</v>
      </c>
      <c r="M2087" t="s">
        <v>228</v>
      </c>
      <c r="N2087" t="s">
        <v>222</v>
      </c>
      <c r="O2087" t="s">
        <v>6530</v>
      </c>
      <c r="P2087" t="s">
        <v>6581</v>
      </c>
      <c r="Q2087" t="str">
        <f>IF($C2087="","",IFERROR(VLOOKUP($C2087,sources!$A$2:$N$200,2,FALSE()),"?"))</f>
        <v>Report</v>
      </c>
      <c r="S2087" t="str">
        <f>IF($C2087="","",IFERROR(VLOOKUP($C2087,sources!$A$2:$N$200,9,FALSE()),"?"))</f>
        <v>US official</v>
      </c>
    </row>
    <row r="2088" spans="1:19" x14ac:dyDescent="0.2">
      <c r="A2088" t="s">
        <v>6582</v>
      </c>
      <c r="B2088" t="s">
        <v>929</v>
      </c>
      <c r="C2088" t="s">
        <v>1167</v>
      </c>
      <c r="D2088" t="s">
        <v>1666</v>
      </c>
      <c r="E2088" t="s">
        <v>6583</v>
      </c>
      <c r="F2088" t="s">
        <v>1612</v>
      </c>
      <c r="I2088" t="s">
        <v>1077</v>
      </c>
      <c r="K2088">
        <v>1907</v>
      </c>
      <c r="L2088">
        <v>1941</v>
      </c>
      <c r="M2088" t="s">
        <v>228</v>
      </c>
      <c r="N2088" t="s">
        <v>222</v>
      </c>
      <c r="O2088" t="s">
        <v>6530</v>
      </c>
      <c r="P2088" t="s">
        <v>6584</v>
      </c>
      <c r="Q2088" t="str">
        <f>IF($C2088="","",IFERROR(VLOOKUP($C2088,sources!$A$2:$N$200,2,FALSE()),"?"))</f>
        <v>Report</v>
      </c>
      <c r="S2088" t="str">
        <f>IF($C2088="","",IFERROR(VLOOKUP($C2088,sources!$A$2:$N$200,9,FALSE()),"?"))</f>
        <v>US official</v>
      </c>
    </row>
    <row r="2089" spans="1:19" x14ac:dyDescent="0.2">
      <c r="A2089" t="s">
        <v>6585</v>
      </c>
      <c r="B2089" t="s">
        <v>933</v>
      </c>
      <c r="C2089" t="s">
        <v>1167</v>
      </c>
      <c r="D2089" t="s">
        <v>1666</v>
      </c>
      <c r="E2089" t="s">
        <v>934</v>
      </c>
      <c r="F2089" t="s">
        <v>1612</v>
      </c>
      <c r="I2089" t="s">
        <v>1077</v>
      </c>
      <c r="K2089">
        <v>1907</v>
      </c>
      <c r="L2089">
        <v>1941</v>
      </c>
      <c r="M2089" t="s">
        <v>228</v>
      </c>
      <c r="N2089" t="s">
        <v>222</v>
      </c>
      <c r="O2089" t="s">
        <v>6530</v>
      </c>
      <c r="P2089" t="s">
        <v>6586</v>
      </c>
      <c r="Q2089" t="str">
        <f>IF($C2089="","",IFERROR(VLOOKUP($C2089,sources!$A$2:$N$200,2,FALSE()),"?"))</f>
        <v>Report</v>
      </c>
      <c r="S2089" t="str">
        <f>IF($C2089="","",IFERROR(VLOOKUP($C2089,sources!$A$2:$N$200,9,FALSE()),"?"))</f>
        <v>US official</v>
      </c>
    </row>
    <row r="2090" spans="1:19" x14ac:dyDescent="0.2">
      <c r="A2090" t="s">
        <v>6587</v>
      </c>
      <c r="B2090" t="s">
        <v>936</v>
      </c>
      <c r="C2090" t="s">
        <v>1167</v>
      </c>
      <c r="D2090" t="s">
        <v>1585</v>
      </c>
      <c r="E2090" t="s">
        <v>6588</v>
      </c>
      <c r="F2090" t="s">
        <v>1612</v>
      </c>
      <c r="I2090" t="s">
        <v>1077</v>
      </c>
      <c r="K2090">
        <v>1913</v>
      </c>
      <c r="L2090">
        <v>1914</v>
      </c>
      <c r="M2090" t="s">
        <v>228</v>
      </c>
      <c r="N2090" t="s">
        <v>222</v>
      </c>
      <c r="O2090" t="s">
        <v>6530</v>
      </c>
      <c r="P2090" t="s">
        <v>6589</v>
      </c>
      <c r="Q2090" t="str">
        <f>IF($C2090="","",IFERROR(VLOOKUP($C2090,sources!$A$2:$N$200,2,FALSE()),"?"))</f>
        <v>Report</v>
      </c>
      <c r="S2090" t="str">
        <f>IF($C2090="","",IFERROR(VLOOKUP($C2090,sources!$A$2:$N$200,9,FALSE()),"?"))</f>
        <v>US official</v>
      </c>
    </row>
    <row r="2091" spans="1:19" x14ac:dyDescent="0.2">
      <c r="A2091" t="s">
        <v>6590</v>
      </c>
      <c r="B2091" t="s">
        <v>939</v>
      </c>
      <c r="C2091" t="s">
        <v>1167</v>
      </c>
      <c r="D2091" t="s">
        <v>1585</v>
      </c>
      <c r="E2091" t="s">
        <v>6591</v>
      </c>
      <c r="F2091" t="s">
        <v>1612</v>
      </c>
      <c r="I2091" t="s">
        <v>1077</v>
      </c>
      <c r="K2091">
        <v>1907</v>
      </c>
      <c r="L2091">
        <v>1941</v>
      </c>
      <c r="M2091" t="s">
        <v>228</v>
      </c>
      <c r="N2091" t="s">
        <v>222</v>
      </c>
      <c r="O2091" t="s">
        <v>6530</v>
      </c>
      <c r="P2091" t="s">
        <v>6592</v>
      </c>
      <c r="Q2091" t="str">
        <f>IF($C2091="","",IFERROR(VLOOKUP($C2091,sources!$A$2:$N$200,2,FALSE()),"?"))</f>
        <v>Report</v>
      </c>
      <c r="S2091" t="str">
        <f>IF($C2091="","",IFERROR(VLOOKUP($C2091,sources!$A$2:$N$200,9,FALSE()),"?"))</f>
        <v>US official</v>
      </c>
    </row>
    <row r="2092" spans="1:19" x14ac:dyDescent="0.2">
      <c r="A2092" t="s">
        <v>6593</v>
      </c>
      <c r="B2092" t="s">
        <v>943</v>
      </c>
      <c r="C2092" t="s">
        <v>1167</v>
      </c>
      <c r="D2092" t="s">
        <v>1666</v>
      </c>
      <c r="E2092" t="s">
        <v>6594</v>
      </c>
      <c r="F2092" t="s">
        <v>1612</v>
      </c>
      <c r="I2092" t="s">
        <v>1077</v>
      </c>
      <c r="K2092">
        <v>1907</v>
      </c>
      <c r="L2092">
        <v>1941</v>
      </c>
      <c r="M2092" t="s">
        <v>228</v>
      </c>
      <c r="N2092" t="s">
        <v>222</v>
      </c>
      <c r="O2092" t="s">
        <v>6530</v>
      </c>
      <c r="P2092" t="s">
        <v>6595</v>
      </c>
      <c r="Q2092" t="str">
        <f>IF($C2092="","",IFERROR(VLOOKUP($C2092,sources!$A$2:$N$200,2,FALSE()),"?"))</f>
        <v>Report</v>
      </c>
      <c r="S2092" t="str">
        <f>IF($C2092="","",IFERROR(VLOOKUP($C2092,sources!$A$2:$N$200,9,FALSE()),"?"))</f>
        <v>US official</v>
      </c>
    </row>
    <row r="2093" spans="1:19" x14ac:dyDescent="0.2">
      <c r="A2093" t="s">
        <v>6596</v>
      </c>
      <c r="B2093" t="s">
        <v>951</v>
      </c>
      <c r="C2093" t="s">
        <v>1167</v>
      </c>
      <c r="D2093" t="s">
        <v>1599</v>
      </c>
      <c r="E2093" t="s">
        <v>953</v>
      </c>
      <c r="F2093" t="s">
        <v>1612</v>
      </c>
      <c r="I2093" t="s">
        <v>1077</v>
      </c>
      <c r="K2093">
        <v>1914</v>
      </c>
      <c r="L2093">
        <v>1914</v>
      </c>
      <c r="M2093" t="s">
        <v>228</v>
      </c>
      <c r="N2093" t="s">
        <v>222</v>
      </c>
      <c r="O2093" t="s">
        <v>6530</v>
      </c>
      <c r="P2093" t="s">
        <v>6597</v>
      </c>
      <c r="Q2093" t="str">
        <f>IF($C2093="","",IFERROR(VLOOKUP($C2093,sources!$A$2:$N$200,2,FALSE()),"?"))</f>
        <v>Report</v>
      </c>
      <c r="S2093" t="str">
        <f>IF($C2093="","",IFERROR(VLOOKUP($C2093,sources!$A$2:$N$200,9,FALSE()),"?"))</f>
        <v>US official</v>
      </c>
    </row>
    <row r="2094" spans="1:19" x14ac:dyDescent="0.2">
      <c r="A2094" t="s">
        <v>6598</v>
      </c>
      <c r="B2094" t="s">
        <v>957</v>
      </c>
      <c r="C2094" t="s">
        <v>1167</v>
      </c>
      <c r="D2094" t="s">
        <v>1599</v>
      </c>
      <c r="E2094" t="s">
        <v>958</v>
      </c>
      <c r="F2094" t="s">
        <v>1612</v>
      </c>
      <c r="I2094" t="s">
        <v>1077</v>
      </c>
      <c r="K2094">
        <v>1907</v>
      </c>
      <c r="L2094">
        <v>1911</v>
      </c>
      <c r="M2094" t="s">
        <v>228</v>
      </c>
      <c r="N2094" t="s">
        <v>222</v>
      </c>
      <c r="O2094" t="s">
        <v>6530</v>
      </c>
      <c r="P2094" t="s">
        <v>6599</v>
      </c>
      <c r="Q2094" t="str">
        <f>IF($C2094="","",IFERROR(VLOOKUP($C2094,sources!$A$2:$N$200,2,FALSE()),"?"))</f>
        <v>Report</v>
      </c>
      <c r="S2094" t="str">
        <f>IF($C2094="","",IFERROR(VLOOKUP($C2094,sources!$A$2:$N$200,9,FALSE()),"?"))</f>
        <v>US official</v>
      </c>
    </row>
    <row r="2095" spans="1:19" x14ac:dyDescent="0.2">
      <c r="A2095" t="s">
        <v>6600</v>
      </c>
      <c r="B2095" t="s">
        <v>962</v>
      </c>
      <c r="C2095" t="s">
        <v>1167</v>
      </c>
      <c r="D2095" t="s">
        <v>1585</v>
      </c>
      <c r="E2095" t="s">
        <v>6160</v>
      </c>
      <c r="F2095" t="s">
        <v>1612</v>
      </c>
      <c r="I2095" t="s">
        <v>1077</v>
      </c>
      <c r="K2095">
        <v>1912</v>
      </c>
      <c r="L2095">
        <v>1915</v>
      </c>
      <c r="M2095" t="s">
        <v>228</v>
      </c>
      <c r="N2095" t="s">
        <v>228</v>
      </c>
      <c r="O2095" t="s">
        <v>6530</v>
      </c>
      <c r="P2095" t="s">
        <v>6601</v>
      </c>
      <c r="Q2095" t="str">
        <f>IF($C2095="","",IFERROR(VLOOKUP($C2095,sources!$A$2:$N$200,2,FALSE()),"?"))</f>
        <v>Report</v>
      </c>
      <c r="S2095" t="str">
        <f>IF($C2095="","",IFERROR(VLOOKUP($C2095,sources!$A$2:$N$200,9,FALSE()),"?"))</f>
        <v>US official</v>
      </c>
    </row>
    <row r="2096" spans="1:19" x14ac:dyDescent="0.2">
      <c r="A2096" t="s">
        <v>6602</v>
      </c>
      <c r="B2096" t="s">
        <v>966</v>
      </c>
      <c r="C2096" t="s">
        <v>1167</v>
      </c>
      <c r="D2096" t="s">
        <v>1599</v>
      </c>
      <c r="E2096" t="s">
        <v>6603</v>
      </c>
      <c r="F2096" t="s">
        <v>1612</v>
      </c>
      <c r="I2096" t="s">
        <v>1077</v>
      </c>
      <c r="M2096" t="s">
        <v>209</v>
      </c>
      <c r="N2096" t="s">
        <v>228</v>
      </c>
      <c r="O2096" t="s">
        <v>6530</v>
      </c>
      <c r="P2096" t="s">
        <v>6604</v>
      </c>
      <c r="Q2096" t="str">
        <f>IF($C2096="","",IFERROR(VLOOKUP($C2096,sources!$A$2:$N$200,2,FALSE()),"?"))</f>
        <v>Report</v>
      </c>
      <c r="S2096" t="str">
        <f>IF($C2096="","",IFERROR(VLOOKUP($C2096,sources!$A$2:$N$200,9,FALSE()),"?"))</f>
        <v>US official</v>
      </c>
    </row>
    <row r="2097" spans="1:19" x14ac:dyDescent="0.2">
      <c r="A2097" t="s">
        <v>6605</v>
      </c>
      <c r="B2097" t="s">
        <v>955</v>
      </c>
      <c r="C2097" t="s">
        <v>1167</v>
      </c>
      <c r="D2097" t="s">
        <v>1599</v>
      </c>
      <c r="E2097" t="s">
        <v>6606</v>
      </c>
      <c r="F2097" t="s">
        <v>1612</v>
      </c>
      <c r="I2097" t="s">
        <v>1077</v>
      </c>
      <c r="K2097">
        <v>1908</v>
      </c>
      <c r="L2097">
        <v>1941</v>
      </c>
      <c r="M2097" t="s">
        <v>228</v>
      </c>
      <c r="N2097" t="s">
        <v>222</v>
      </c>
      <c r="O2097" t="s">
        <v>6530</v>
      </c>
      <c r="P2097" t="s">
        <v>6607</v>
      </c>
      <c r="Q2097" t="str">
        <f>IF($C2097="","",IFERROR(VLOOKUP($C2097,sources!$A$2:$N$200,2,FALSE()),"?"))</f>
        <v>Report</v>
      </c>
      <c r="S2097" t="str">
        <f>IF($C2097="","",IFERROR(VLOOKUP($C2097,sources!$A$2:$N$200,9,FALSE()),"?"))</f>
        <v>US official</v>
      </c>
    </row>
    <row r="2098" spans="1:19" x14ac:dyDescent="0.2">
      <c r="A2098" t="s">
        <v>6608</v>
      </c>
      <c r="B2098" t="s">
        <v>974</v>
      </c>
      <c r="C2098" t="s">
        <v>1167</v>
      </c>
      <c r="D2098" t="s">
        <v>1666</v>
      </c>
      <c r="E2098" t="s">
        <v>6609</v>
      </c>
      <c r="F2098" t="s">
        <v>1612</v>
      </c>
      <c r="I2098" t="s">
        <v>1077</v>
      </c>
      <c r="K2098">
        <v>1907</v>
      </c>
      <c r="L2098">
        <v>1941</v>
      </c>
      <c r="M2098" t="s">
        <v>228</v>
      </c>
      <c r="N2098" t="s">
        <v>222</v>
      </c>
      <c r="O2098" t="s">
        <v>6530</v>
      </c>
      <c r="P2098" t="s">
        <v>6610</v>
      </c>
      <c r="Q2098" t="str">
        <f>IF($C2098="","",IFERROR(VLOOKUP($C2098,sources!$A$2:$N$200,2,FALSE()),"?"))</f>
        <v>Report</v>
      </c>
      <c r="S2098" t="str">
        <f>IF($C2098="","",IFERROR(VLOOKUP($C2098,sources!$A$2:$N$200,9,FALSE()),"?"))</f>
        <v>US official</v>
      </c>
    </row>
    <row r="2099" spans="1:19" x14ac:dyDescent="0.2">
      <c r="A2099" t="s">
        <v>6611</v>
      </c>
      <c r="B2099" t="s">
        <v>978</v>
      </c>
      <c r="C2099" t="s">
        <v>1167</v>
      </c>
      <c r="D2099" t="s">
        <v>1599</v>
      </c>
      <c r="E2099" t="s">
        <v>6612</v>
      </c>
      <c r="F2099" t="s">
        <v>1612</v>
      </c>
      <c r="I2099" t="s">
        <v>1077</v>
      </c>
      <c r="K2099">
        <v>1906</v>
      </c>
      <c r="L2099">
        <v>1912</v>
      </c>
      <c r="M2099" t="s">
        <v>228</v>
      </c>
      <c r="N2099" t="s">
        <v>222</v>
      </c>
      <c r="O2099" t="s">
        <v>6530</v>
      </c>
      <c r="P2099" t="s">
        <v>6613</v>
      </c>
      <c r="Q2099" t="str">
        <f>IF($C2099="","",IFERROR(VLOOKUP($C2099,sources!$A$2:$N$200,2,FALSE()),"?"))</f>
        <v>Report</v>
      </c>
      <c r="S2099" t="str">
        <f>IF($C2099="","",IFERROR(VLOOKUP($C2099,sources!$A$2:$N$200,9,FALSE()),"?"))</f>
        <v>US official</v>
      </c>
    </row>
    <row r="2100" spans="1:19" x14ac:dyDescent="0.2">
      <c r="A2100" t="s">
        <v>6614</v>
      </c>
      <c r="B2100" t="s">
        <v>981</v>
      </c>
      <c r="C2100" t="s">
        <v>1167</v>
      </c>
      <c r="D2100" t="s">
        <v>1666</v>
      </c>
      <c r="E2100" t="s">
        <v>982</v>
      </c>
      <c r="F2100" t="s">
        <v>1612</v>
      </c>
      <c r="I2100" t="s">
        <v>1077</v>
      </c>
      <c r="K2100">
        <v>1907</v>
      </c>
      <c r="L2100">
        <v>1941</v>
      </c>
      <c r="M2100" t="s">
        <v>228</v>
      </c>
      <c r="N2100" t="s">
        <v>222</v>
      </c>
      <c r="O2100" t="s">
        <v>6530</v>
      </c>
      <c r="P2100" t="s">
        <v>6615</v>
      </c>
      <c r="Q2100" t="str">
        <f>IF($C2100="","",IFERROR(VLOOKUP($C2100,sources!$A$2:$N$200,2,FALSE()),"?"))</f>
        <v>Report</v>
      </c>
      <c r="S2100" t="str">
        <f>IF($C2100="","",IFERROR(VLOOKUP($C2100,sources!$A$2:$N$200,9,FALSE()),"?"))</f>
        <v>US official</v>
      </c>
    </row>
    <row r="2101" spans="1:19" x14ac:dyDescent="0.2">
      <c r="A2101" t="s">
        <v>6616</v>
      </c>
      <c r="B2101" t="s">
        <v>985</v>
      </c>
      <c r="C2101" t="s">
        <v>1167</v>
      </c>
      <c r="D2101" t="s">
        <v>1585</v>
      </c>
      <c r="E2101" t="s">
        <v>5308</v>
      </c>
      <c r="F2101" t="s">
        <v>1612</v>
      </c>
      <c r="I2101" t="s">
        <v>1077</v>
      </c>
      <c r="K2101">
        <v>1916</v>
      </c>
      <c r="L2101">
        <v>1917</v>
      </c>
      <c r="M2101" t="s">
        <v>228</v>
      </c>
      <c r="N2101" t="s">
        <v>209</v>
      </c>
      <c r="O2101" t="s">
        <v>6530</v>
      </c>
      <c r="P2101" t="s">
        <v>6617</v>
      </c>
      <c r="Q2101" t="str">
        <f>IF($C2101="","",IFERROR(VLOOKUP($C2101,sources!$A$2:$N$200,2,FALSE()),"?"))</f>
        <v>Report</v>
      </c>
      <c r="S2101" t="str">
        <f>IF($C2101="","",IFERROR(VLOOKUP($C2101,sources!$A$2:$N$200,9,FALSE()),"?"))</f>
        <v>US official</v>
      </c>
    </row>
    <row r="2102" spans="1:19" x14ac:dyDescent="0.2">
      <c r="A2102" t="s">
        <v>6618</v>
      </c>
      <c r="B2102" t="s">
        <v>990</v>
      </c>
      <c r="C2102" t="s">
        <v>1167</v>
      </c>
      <c r="D2102" t="s">
        <v>1599</v>
      </c>
      <c r="E2102" t="s">
        <v>6619</v>
      </c>
      <c r="F2102" t="s">
        <v>1612</v>
      </c>
      <c r="I2102" t="s">
        <v>1077</v>
      </c>
      <c r="K2102">
        <v>1907</v>
      </c>
      <c r="L2102">
        <v>1941</v>
      </c>
      <c r="M2102" t="s">
        <v>228</v>
      </c>
      <c r="N2102" t="s">
        <v>222</v>
      </c>
      <c r="O2102" t="s">
        <v>6530</v>
      </c>
      <c r="P2102" t="s">
        <v>6620</v>
      </c>
      <c r="Q2102" t="str">
        <f>IF($C2102="","",IFERROR(VLOOKUP($C2102,sources!$A$2:$N$200,2,FALSE()),"?"))</f>
        <v>Report</v>
      </c>
      <c r="S2102" t="str">
        <f>IF($C2102="","",IFERROR(VLOOKUP($C2102,sources!$A$2:$N$200,9,FALSE()),"?"))</f>
        <v>US official</v>
      </c>
    </row>
    <row r="2103" spans="1:19" x14ac:dyDescent="0.2">
      <c r="A2103" t="s">
        <v>6621</v>
      </c>
      <c r="B2103" t="s">
        <v>993</v>
      </c>
      <c r="C2103" t="s">
        <v>1167</v>
      </c>
      <c r="D2103" t="s">
        <v>1599</v>
      </c>
      <c r="E2103" t="s">
        <v>6622</v>
      </c>
      <c r="F2103" t="s">
        <v>1612</v>
      </c>
      <c r="I2103" t="s">
        <v>1077</v>
      </c>
      <c r="K2103">
        <v>1911</v>
      </c>
      <c r="L2103">
        <v>1911</v>
      </c>
      <c r="M2103" t="s">
        <v>228</v>
      </c>
      <c r="N2103" t="s">
        <v>222</v>
      </c>
      <c r="O2103" t="s">
        <v>6530</v>
      </c>
      <c r="P2103" t="s">
        <v>6623</v>
      </c>
      <c r="Q2103" t="str">
        <f>IF($C2103="","",IFERROR(VLOOKUP($C2103,sources!$A$2:$N$200,2,FALSE()),"?"))</f>
        <v>Report</v>
      </c>
      <c r="S2103" t="str">
        <f>IF($C2103="","",IFERROR(VLOOKUP($C2103,sources!$A$2:$N$200,9,FALSE()),"?"))</f>
        <v>US official</v>
      </c>
    </row>
    <row r="2104" spans="1:19" x14ac:dyDescent="0.2">
      <c r="A2104" t="s">
        <v>6624</v>
      </c>
      <c r="B2104" t="s">
        <v>815</v>
      </c>
      <c r="C2104" t="s">
        <v>1167</v>
      </c>
      <c r="D2104" t="s">
        <v>1585</v>
      </c>
      <c r="E2104" t="s">
        <v>6625</v>
      </c>
      <c r="F2104" t="s">
        <v>1612</v>
      </c>
      <c r="I2104" t="s">
        <v>1077</v>
      </c>
      <c r="K2104">
        <v>1911</v>
      </c>
      <c r="L2104">
        <v>1911</v>
      </c>
      <c r="M2104" t="s">
        <v>228</v>
      </c>
      <c r="N2104" t="s">
        <v>228</v>
      </c>
      <c r="O2104" t="s">
        <v>6530</v>
      </c>
      <c r="P2104" t="s">
        <v>6626</v>
      </c>
      <c r="Q2104" t="str">
        <f>IF($C2104="","",IFERROR(VLOOKUP($C2104,sources!$A$2:$N$200,2,FALSE()),"?"))</f>
        <v>Report</v>
      </c>
      <c r="S2104" t="str">
        <f>IF($C2104="","",IFERROR(VLOOKUP($C2104,sources!$A$2:$N$200,9,FALSE()),"?"))</f>
        <v>US official</v>
      </c>
    </row>
    <row r="2105" spans="1:19" x14ac:dyDescent="0.2">
      <c r="A2105" t="s">
        <v>6627</v>
      </c>
      <c r="B2105" t="s">
        <v>998</v>
      </c>
      <c r="C2105" t="s">
        <v>1167</v>
      </c>
      <c r="D2105" t="s">
        <v>1666</v>
      </c>
      <c r="E2105" t="s">
        <v>1000</v>
      </c>
      <c r="F2105" t="s">
        <v>1612</v>
      </c>
      <c r="I2105" t="s">
        <v>1077</v>
      </c>
      <c r="K2105">
        <v>1907</v>
      </c>
      <c r="L2105">
        <v>1941</v>
      </c>
      <c r="M2105" t="s">
        <v>228</v>
      </c>
      <c r="N2105" t="s">
        <v>228</v>
      </c>
      <c r="O2105" t="s">
        <v>6530</v>
      </c>
      <c r="P2105" t="s">
        <v>6628</v>
      </c>
      <c r="Q2105" t="str">
        <f>IF($C2105="","",IFERROR(VLOOKUP($C2105,sources!$A$2:$N$200,2,FALSE()),"?"))</f>
        <v>Report</v>
      </c>
      <c r="S2105" t="str">
        <f>IF($C2105="","",IFERROR(VLOOKUP($C2105,sources!$A$2:$N$200,9,FALSE()),"?"))</f>
        <v>US official</v>
      </c>
    </row>
    <row r="2106" spans="1:19" x14ac:dyDescent="0.2">
      <c r="A2106" t="s">
        <v>6629</v>
      </c>
      <c r="B2106" t="s">
        <v>1002</v>
      </c>
      <c r="C2106" t="s">
        <v>1167</v>
      </c>
      <c r="D2106" t="s">
        <v>1599</v>
      </c>
      <c r="E2106" t="s">
        <v>1004</v>
      </c>
      <c r="F2106" t="s">
        <v>1612</v>
      </c>
      <c r="I2106" t="s">
        <v>1077</v>
      </c>
      <c r="K2106">
        <v>1909</v>
      </c>
      <c r="L2106">
        <v>1913</v>
      </c>
      <c r="M2106" t="s">
        <v>228</v>
      </c>
      <c r="N2106" t="s">
        <v>222</v>
      </c>
      <c r="O2106" t="s">
        <v>6530</v>
      </c>
      <c r="P2106" t="s">
        <v>6630</v>
      </c>
      <c r="Q2106" t="str">
        <f>IF($C2106="","",IFERROR(VLOOKUP($C2106,sources!$A$2:$N$200,2,FALSE()),"?"))</f>
        <v>Report</v>
      </c>
      <c r="S2106" t="str">
        <f>IF($C2106="","",IFERROR(VLOOKUP($C2106,sources!$A$2:$N$200,9,FALSE()),"?"))</f>
        <v>US official</v>
      </c>
    </row>
    <row r="2107" spans="1:19" x14ac:dyDescent="0.2">
      <c r="A2107" t="s">
        <v>6631</v>
      </c>
      <c r="B2107" t="s">
        <v>1013</v>
      </c>
      <c r="C2107" t="s">
        <v>1167</v>
      </c>
      <c r="D2107" t="s">
        <v>1599</v>
      </c>
      <c r="E2107" t="s">
        <v>1014</v>
      </c>
      <c r="F2107" t="s">
        <v>1612</v>
      </c>
      <c r="I2107" t="s">
        <v>1077</v>
      </c>
      <c r="K2107">
        <v>1907</v>
      </c>
      <c r="L2107">
        <v>1914</v>
      </c>
      <c r="M2107" t="s">
        <v>228</v>
      </c>
      <c r="N2107" t="s">
        <v>222</v>
      </c>
      <c r="O2107" t="s">
        <v>6530</v>
      </c>
      <c r="P2107" t="s">
        <v>6632</v>
      </c>
      <c r="Q2107" t="str">
        <f>IF($C2107="","",IFERROR(VLOOKUP($C2107,sources!$A$2:$N$200,2,FALSE()),"?"))</f>
        <v>Report</v>
      </c>
      <c r="S2107" t="str">
        <f>IF($C2107="","",IFERROR(VLOOKUP($C2107,sources!$A$2:$N$200,9,FALSE()),"?"))</f>
        <v>US official</v>
      </c>
    </row>
    <row r="2108" spans="1:19" x14ac:dyDescent="0.2">
      <c r="A2108" t="s">
        <v>6633</v>
      </c>
      <c r="B2108" t="s">
        <v>1016</v>
      </c>
      <c r="C2108" t="s">
        <v>1167</v>
      </c>
      <c r="D2108" t="s">
        <v>1599</v>
      </c>
      <c r="E2108" t="s">
        <v>6634</v>
      </c>
      <c r="F2108" t="s">
        <v>1612</v>
      </c>
      <c r="I2108" t="s">
        <v>1077</v>
      </c>
      <c r="K2108">
        <v>1909</v>
      </c>
      <c r="L2108">
        <v>1910</v>
      </c>
      <c r="M2108" t="s">
        <v>228</v>
      </c>
      <c r="N2108" t="s">
        <v>222</v>
      </c>
      <c r="O2108" t="s">
        <v>6530</v>
      </c>
      <c r="P2108" t="s">
        <v>6635</v>
      </c>
      <c r="Q2108" t="str">
        <f>IF($C2108="","",IFERROR(VLOOKUP($C2108,sources!$A$2:$N$200,2,FALSE()),"?"))</f>
        <v>Report</v>
      </c>
      <c r="S2108" t="str">
        <f>IF($C2108="","",IFERROR(VLOOKUP($C2108,sources!$A$2:$N$200,9,FALSE()),"?"))</f>
        <v>US official</v>
      </c>
    </row>
    <row r="2109" spans="1:19" x14ac:dyDescent="0.2">
      <c r="A2109" t="s">
        <v>6636</v>
      </c>
      <c r="B2109" t="s">
        <v>1021</v>
      </c>
      <c r="C2109" t="s">
        <v>1167</v>
      </c>
      <c r="D2109" t="s">
        <v>1599</v>
      </c>
      <c r="E2109" t="s">
        <v>1022</v>
      </c>
      <c r="F2109" t="s">
        <v>1612</v>
      </c>
      <c r="I2109" t="s">
        <v>1077</v>
      </c>
      <c r="K2109">
        <v>1917</v>
      </c>
      <c r="L2109">
        <v>1927</v>
      </c>
      <c r="M2109" t="s">
        <v>228</v>
      </c>
      <c r="N2109" t="s">
        <v>222</v>
      </c>
      <c r="O2109" t="s">
        <v>6530</v>
      </c>
      <c r="P2109" t="s">
        <v>6637</v>
      </c>
      <c r="Q2109" t="str">
        <f>IF($C2109="","",IFERROR(VLOOKUP($C2109,sources!$A$2:$N$200,2,FALSE()),"?"))</f>
        <v>Report</v>
      </c>
      <c r="S2109" t="str">
        <f>IF($C2109="","",IFERROR(VLOOKUP($C2109,sources!$A$2:$N$200,9,FALSE()),"?"))</f>
        <v>US official</v>
      </c>
    </row>
    <row r="2110" spans="1:19" x14ac:dyDescent="0.2">
      <c r="A2110" t="s">
        <v>6638</v>
      </c>
      <c r="B2110" t="s">
        <v>792</v>
      </c>
      <c r="C2110" t="s">
        <v>1167</v>
      </c>
      <c r="D2110" t="s">
        <v>1666</v>
      </c>
      <c r="E2110" t="s">
        <v>4619</v>
      </c>
      <c r="F2110" t="s">
        <v>1612</v>
      </c>
      <c r="I2110" t="s">
        <v>1077</v>
      </c>
      <c r="K2110">
        <v>1907</v>
      </c>
      <c r="L2110">
        <v>1941</v>
      </c>
      <c r="M2110" t="s">
        <v>228</v>
      </c>
      <c r="N2110" t="s">
        <v>228</v>
      </c>
      <c r="O2110" t="s">
        <v>6530</v>
      </c>
      <c r="P2110" t="s">
        <v>6639</v>
      </c>
      <c r="Q2110" t="str">
        <f>IF($C2110="","",IFERROR(VLOOKUP($C2110,sources!$A$2:$N$200,2,FALSE()),"?"))</f>
        <v>Report</v>
      </c>
      <c r="S2110" t="str">
        <f>IF($C2110="","",IFERROR(VLOOKUP($C2110,sources!$A$2:$N$200,9,FALSE()),"?"))</f>
        <v>US official</v>
      </c>
    </row>
    <row r="2111" spans="1:19" x14ac:dyDescent="0.2">
      <c r="A2111" t="s">
        <v>6640</v>
      </c>
      <c r="B2111" t="s">
        <v>810</v>
      </c>
      <c r="C2111" t="s">
        <v>1167</v>
      </c>
      <c r="D2111" t="s">
        <v>1599</v>
      </c>
      <c r="E2111" t="s">
        <v>6641</v>
      </c>
      <c r="F2111" t="s">
        <v>1612</v>
      </c>
      <c r="I2111" t="s">
        <v>1077</v>
      </c>
      <c r="K2111">
        <v>1909</v>
      </c>
      <c r="L2111">
        <v>1911</v>
      </c>
      <c r="M2111" t="s">
        <v>209</v>
      </c>
      <c r="N2111" t="s">
        <v>209</v>
      </c>
      <c r="O2111" t="s">
        <v>6530</v>
      </c>
      <c r="P2111" t="s">
        <v>6642</v>
      </c>
      <c r="Q2111" t="str">
        <f>IF($C2111="","",IFERROR(VLOOKUP($C2111,sources!$A$2:$N$200,2,FALSE()),"?"))</f>
        <v>Report</v>
      </c>
      <c r="S2111" t="str">
        <f>IF($C2111="","",IFERROR(VLOOKUP($C2111,sources!$A$2:$N$200,9,FALSE()),"?"))</f>
        <v>US official</v>
      </c>
    </row>
    <row r="2112" spans="1:19" x14ac:dyDescent="0.2">
      <c r="A2112" t="s">
        <v>6643</v>
      </c>
      <c r="B2112" t="s">
        <v>892</v>
      </c>
      <c r="C2112" t="s">
        <v>1167</v>
      </c>
      <c r="D2112" t="s">
        <v>1599</v>
      </c>
      <c r="E2112" t="s">
        <v>6644</v>
      </c>
      <c r="F2112" t="s">
        <v>1612</v>
      </c>
      <c r="I2112" t="s">
        <v>1077</v>
      </c>
      <c r="K2112">
        <v>1912</v>
      </c>
      <c r="L2112">
        <v>1913</v>
      </c>
      <c r="M2112" t="s">
        <v>209</v>
      </c>
      <c r="N2112" t="s">
        <v>209</v>
      </c>
      <c r="O2112" t="s">
        <v>6530</v>
      </c>
      <c r="P2112" t="s">
        <v>6645</v>
      </c>
      <c r="Q2112" t="str">
        <f>IF($C2112="","",IFERROR(VLOOKUP($C2112,sources!$A$2:$N$200,2,FALSE()),"?"))</f>
        <v>Report</v>
      </c>
      <c r="S2112" t="str">
        <f>IF($C2112="","",IFERROR(VLOOKUP($C2112,sources!$A$2:$N$200,9,FALSE()),"?"))</f>
        <v>US official</v>
      </c>
    </row>
    <row r="2113" spans="1:19" x14ac:dyDescent="0.2">
      <c r="A2113" t="s">
        <v>6646</v>
      </c>
      <c r="B2113" t="s">
        <v>898</v>
      </c>
      <c r="C2113" t="s">
        <v>1167</v>
      </c>
      <c r="D2113" t="s">
        <v>1599</v>
      </c>
      <c r="E2113" t="s">
        <v>6647</v>
      </c>
      <c r="F2113" t="s">
        <v>1612</v>
      </c>
      <c r="I2113" t="s">
        <v>1077</v>
      </c>
      <c r="K2113">
        <v>1919</v>
      </c>
      <c r="L2113">
        <v>1919</v>
      </c>
      <c r="M2113" t="s">
        <v>209</v>
      </c>
      <c r="N2113" t="s">
        <v>209</v>
      </c>
      <c r="O2113" t="s">
        <v>6530</v>
      </c>
      <c r="P2113" t="s">
        <v>6648</v>
      </c>
      <c r="Q2113" t="str">
        <f>IF($C2113="","",IFERROR(VLOOKUP($C2113,sources!$A$2:$N$200,2,FALSE()),"?"))</f>
        <v>Report</v>
      </c>
      <c r="S2113" t="str">
        <f>IF($C2113="","",IFERROR(VLOOKUP($C2113,sources!$A$2:$N$200,9,FALSE()),"?"))</f>
        <v>US official</v>
      </c>
    </row>
    <row r="2114" spans="1:19" x14ac:dyDescent="0.2">
      <c r="A2114" t="s">
        <v>6649</v>
      </c>
      <c r="B2114" t="s">
        <v>795</v>
      </c>
      <c r="C2114" t="s">
        <v>1277</v>
      </c>
      <c r="D2114" t="s">
        <v>1666</v>
      </c>
      <c r="E2114" t="s">
        <v>796</v>
      </c>
      <c r="F2114" t="s">
        <v>1612</v>
      </c>
      <c r="I2114" t="s">
        <v>1077</v>
      </c>
      <c r="M2114" t="s">
        <v>209</v>
      </c>
      <c r="N2114" t="s">
        <v>228</v>
      </c>
      <c r="O2114" t="s">
        <v>6530</v>
      </c>
      <c r="P2114" t="s">
        <v>6650</v>
      </c>
      <c r="Q2114" t="str">
        <f>IF($C2114="","",IFERROR(VLOOKUP($C2114,sources!$A$2:$N$200,2,FALSE()),"?"))</f>
        <v>Administrative</v>
      </c>
      <c r="S2114" t="str">
        <f>IF($C2114="","",IFERROR(VLOOKUP($C2114,sources!$A$2:$N$200,9,FALSE()),"?"))</f>
        <v>US official</v>
      </c>
    </row>
    <row r="2115" spans="1:19" x14ac:dyDescent="0.2">
      <c r="A2115" t="s">
        <v>6651</v>
      </c>
      <c r="B2115" t="s">
        <v>802</v>
      </c>
      <c r="C2115" t="s">
        <v>1277</v>
      </c>
      <c r="D2115" t="s">
        <v>1666</v>
      </c>
      <c r="E2115" t="s">
        <v>803</v>
      </c>
      <c r="F2115" t="s">
        <v>1612</v>
      </c>
      <c r="I2115" t="s">
        <v>1077</v>
      </c>
      <c r="M2115" t="s">
        <v>209</v>
      </c>
      <c r="N2115" t="s">
        <v>228</v>
      </c>
      <c r="O2115" t="s">
        <v>6530</v>
      </c>
      <c r="P2115" t="s">
        <v>6652</v>
      </c>
      <c r="Q2115" t="str">
        <f>IF($C2115="","",IFERROR(VLOOKUP($C2115,sources!$A$2:$N$200,2,FALSE()),"?"))</f>
        <v>Administrative</v>
      </c>
      <c r="S2115" t="str">
        <f>IF($C2115="","",IFERROR(VLOOKUP($C2115,sources!$A$2:$N$200,9,FALSE()),"?"))</f>
        <v>US official</v>
      </c>
    </row>
    <row r="2116" spans="1:19" x14ac:dyDescent="0.2">
      <c r="A2116" t="s">
        <v>6653</v>
      </c>
      <c r="B2116" t="s">
        <v>805</v>
      </c>
      <c r="C2116" t="s">
        <v>1277</v>
      </c>
      <c r="D2116" t="s">
        <v>1666</v>
      </c>
      <c r="E2116" t="s">
        <v>806</v>
      </c>
      <c r="F2116" t="s">
        <v>1612</v>
      </c>
      <c r="I2116" t="s">
        <v>1077</v>
      </c>
      <c r="M2116" t="s">
        <v>209</v>
      </c>
      <c r="N2116" t="s">
        <v>228</v>
      </c>
      <c r="O2116" t="s">
        <v>6530</v>
      </c>
      <c r="P2116" t="s">
        <v>6654</v>
      </c>
      <c r="Q2116" t="str">
        <f>IF($C2116="","",IFERROR(VLOOKUP($C2116,sources!$A$2:$N$200,2,FALSE()),"?"))</f>
        <v>Administrative</v>
      </c>
      <c r="S2116" t="str">
        <f>IF($C2116="","",IFERROR(VLOOKUP($C2116,sources!$A$2:$N$200,9,FALSE()),"?"))</f>
        <v>US official</v>
      </c>
    </row>
    <row r="2117" spans="1:19" x14ac:dyDescent="0.2">
      <c r="A2117" t="s">
        <v>6655</v>
      </c>
      <c r="B2117" t="s">
        <v>810</v>
      </c>
      <c r="C2117" t="s">
        <v>1277</v>
      </c>
      <c r="D2117" t="s">
        <v>1666</v>
      </c>
      <c r="E2117" t="s">
        <v>6641</v>
      </c>
      <c r="F2117" t="s">
        <v>1612</v>
      </c>
      <c r="I2117" t="s">
        <v>1077</v>
      </c>
      <c r="M2117" t="s">
        <v>209</v>
      </c>
      <c r="N2117" t="s">
        <v>228</v>
      </c>
      <c r="O2117" t="s">
        <v>6530</v>
      </c>
      <c r="P2117" t="s">
        <v>6656</v>
      </c>
      <c r="Q2117" t="str">
        <f>IF($C2117="","",IFERROR(VLOOKUP($C2117,sources!$A$2:$N$200,2,FALSE()),"?"))</f>
        <v>Administrative</v>
      </c>
      <c r="S2117" t="str">
        <f>IF($C2117="","",IFERROR(VLOOKUP($C2117,sources!$A$2:$N$200,9,FALSE()),"?"))</f>
        <v>US official</v>
      </c>
    </row>
    <row r="2118" spans="1:19" x14ac:dyDescent="0.2">
      <c r="A2118" t="s">
        <v>6657</v>
      </c>
      <c r="B2118" t="s">
        <v>815</v>
      </c>
      <c r="C2118" t="s">
        <v>1277</v>
      </c>
      <c r="D2118" t="s">
        <v>1666</v>
      </c>
      <c r="E2118" t="s">
        <v>6658</v>
      </c>
      <c r="F2118" t="s">
        <v>1612</v>
      </c>
      <c r="I2118" t="s">
        <v>1077</v>
      </c>
      <c r="M2118" t="s">
        <v>209</v>
      </c>
      <c r="N2118" t="s">
        <v>228</v>
      </c>
      <c r="O2118" t="s">
        <v>6530</v>
      </c>
      <c r="P2118" t="s">
        <v>6659</v>
      </c>
      <c r="Q2118" t="str">
        <f>IF($C2118="","",IFERROR(VLOOKUP($C2118,sources!$A$2:$N$200,2,FALSE()),"?"))</f>
        <v>Administrative</v>
      </c>
      <c r="S2118" t="str">
        <f>IF($C2118="","",IFERROR(VLOOKUP($C2118,sources!$A$2:$N$200,9,FALSE()),"?"))</f>
        <v>US official</v>
      </c>
    </row>
    <row r="2119" spans="1:19" x14ac:dyDescent="0.2">
      <c r="A2119" t="s">
        <v>6660</v>
      </c>
      <c r="B2119" t="s">
        <v>820</v>
      </c>
      <c r="C2119" t="s">
        <v>1277</v>
      </c>
      <c r="D2119" t="s">
        <v>1666</v>
      </c>
      <c r="E2119" t="s">
        <v>821</v>
      </c>
      <c r="F2119" t="s">
        <v>1612</v>
      </c>
      <c r="I2119" t="s">
        <v>1077</v>
      </c>
      <c r="M2119" t="s">
        <v>209</v>
      </c>
      <c r="N2119" t="s">
        <v>228</v>
      </c>
      <c r="O2119" t="s">
        <v>6530</v>
      </c>
      <c r="P2119" t="s">
        <v>6661</v>
      </c>
      <c r="Q2119" t="str">
        <f>IF($C2119="","",IFERROR(VLOOKUP($C2119,sources!$A$2:$N$200,2,FALSE()),"?"))</f>
        <v>Administrative</v>
      </c>
      <c r="S2119" t="str">
        <f>IF($C2119="","",IFERROR(VLOOKUP($C2119,sources!$A$2:$N$200,9,FALSE()),"?"))</f>
        <v>US official</v>
      </c>
    </row>
    <row r="2120" spans="1:19" x14ac:dyDescent="0.2">
      <c r="A2120" t="s">
        <v>6662</v>
      </c>
      <c r="B2120" t="s">
        <v>824</v>
      </c>
      <c r="C2120" t="s">
        <v>1277</v>
      </c>
      <c r="D2120" t="s">
        <v>1666</v>
      </c>
      <c r="E2120" t="s">
        <v>825</v>
      </c>
      <c r="F2120" t="s">
        <v>1612</v>
      </c>
      <c r="I2120" t="s">
        <v>1077</v>
      </c>
      <c r="M2120" t="s">
        <v>209</v>
      </c>
      <c r="N2120" t="s">
        <v>228</v>
      </c>
      <c r="O2120" t="s">
        <v>6530</v>
      </c>
      <c r="P2120" t="s">
        <v>6663</v>
      </c>
      <c r="Q2120" t="str">
        <f>IF($C2120="","",IFERROR(VLOOKUP($C2120,sources!$A$2:$N$200,2,FALSE()),"?"))</f>
        <v>Administrative</v>
      </c>
      <c r="S2120" t="str">
        <f>IF($C2120="","",IFERROR(VLOOKUP($C2120,sources!$A$2:$N$200,9,FALSE()),"?"))</f>
        <v>US official</v>
      </c>
    </row>
    <row r="2121" spans="1:19" x14ac:dyDescent="0.2">
      <c r="A2121" t="s">
        <v>6664</v>
      </c>
      <c r="B2121" t="s">
        <v>827</v>
      </c>
      <c r="C2121" t="s">
        <v>1277</v>
      </c>
      <c r="D2121" t="s">
        <v>1666</v>
      </c>
      <c r="E2121" t="s">
        <v>4888</v>
      </c>
      <c r="F2121" t="s">
        <v>1612</v>
      </c>
      <c r="I2121" t="s">
        <v>1077</v>
      </c>
      <c r="M2121" t="s">
        <v>209</v>
      </c>
      <c r="N2121" t="s">
        <v>228</v>
      </c>
      <c r="O2121" t="s">
        <v>6530</v>
      </c>
      <c r="P2121" t="s">
        <v>6665</v>
      </c>
      <c r="Q2121" t="str">
        <f>IF($C2121="","",IFERROR(VLOOKUP($C2121,sources!$A$2:$N$200,2,FALSE()),"?"))</f>
        <v>Administrative</v>
      </c>
      <c r="S2121" t="str">
        <f>IF($C2121="","",IFERROR(VLOOKUP($C2121,sources!$A$2:$N$200,9,FALSE()),"?"))</f>
        <v>US official</v>
      </c>
    </row>
    <row r="2122" spans="1:19" x14ac:dyDescent="0.2">
      <c r="A2122" t="s">
        <v>6666</v>
      </c>
      <c r="B2122" t="s">
        <v>830</v>
      </c>
      <c r="C2122" t="s">
        <v>1277</v>
      </c>
      <c r="D2122" t="s">
        <v>1585</v>
      </c>
      <c r="E2122" t="s">
        <v>6667</v>
      </c>
      <c r="F2122" t="s">
        <v>1612</v>
      </c>
      <c r="I2122" t="s">
        <v>1077</v>
      </c>
      <c r="M2122" t="s">
        <v>209</v>
      </c>
      <c r="N2122" t="s">
        <v>228</v>
      </c>
      <c r="O2122" t="s">
        <v>6530</v>
      </c>
      <c r="P2122" t="s">
        <v>6668</v>
      </c>
      <c r="Q2122" t="str">
        <f>IF($C2122="","",IFERROR(VLOOKUP($C2122,sources!$A$2:$N$200,2,FALSE()),"?"))</f>
        <v>Administrative</v>
      </c>
      <c r="S2122" t="str">
        <f>IF($C2122="","",IFERROR(VLOOKUP($C2122,sources!$A$2:$N$200,9,FALSE()),"?"))</f>
        <v>US official</v>
      </c>
    </row>
    <row r="2123" spans="1:19" x14ac:dyDescent="0.2">
      <c r="A2123" t="s">
        <v>6669</v>
      </c>
      <c r="B2123" t="s">
        <v>835</v>
      </c>
      <c r="C2123" t="s">
        <v>1277</v>
      </c>
      <c r="D2123" t="s">
        <v>1585</v>
      </c>
      <c r="E2123" t="s">
        <v>6544</v>
      </c>
      <c r="F2123" t="s">
        <v>1612</v>
      </c>
      <c r="I2123" t="s">
        <v>1077</v>
      </c>
      <c r="K2123">
        <v>1911</v>
      </c>
      <c r="L2123">
        <v>1941</v>
      </c>
      <c r="M2123" t="s">
        <v>228</v>
      </c>
      <c r="N2123" t="s">
        <v>222</v>
      </c>
      <c r="O2123" t="s">
        <v>6530</v>
      </c>
      <c r="P2123" t="s">
        <v>6670</v>
      </c>
      <c r="Q2123" t="str">
        <f>IF($C2123="","",IFERROR(VLOOKUP($C2123,sources!$A$2:$N$200,2,FALSE()),"?"))</f>
        <v>Administrative</v>
      </c>
      <c r="S2123" t="str">
        <f>IF($C2123="","",IFERROR(VLOOKUP($C2123,sources!$A$2:$N$200,9,FALSE()),"?"))</f>
        <v>US official</v>
      </c>
    </row>
    <row r="2124" spans="1:19" x14ac:dyDescent="0.2">
      <c r="A2124" t="s">
        <v>6671</v>
      </c>
      <c r="B2124" t="s">
        <v>838</v>
      </c>
      <c r="C2124" t="s">
        <v>1277</v>
      </c>
      <c r="D2124" t="s">
        <v>1599</v>
      </c>
      <c r="E2124" t="s">
        <v>839</v>
      </c>
      <c r="F2124" t="s">
        <v>1612</v>
      </c>
      <c r="I2124" t="s">
        <v>1077</v>
      </c>
      <c r="K2124">
        <v>1952</v>
      </c>
      <c r="L2124">
        <v>1982</v>
      </c>
      <c r="M2124" t="s">
        <v>228</v>
      </c>
      <c r="N2124" t="s">
        <v>228</v>
      </c>
      <c r="O2124" t="s">
        <v>6530</v>
      </c>
      <c r="P2124" t="s">
        <v>6672</v>
      </c>
      <c r="Q2124" t="str">
        <f>IF($C2124="","",IFERROR(VLOOKUP($C2124,sources!$A$2:$N$200,2,FALSE()),"?"))</f>
        <v>Administrative</v>
      </c>
      <c r="S2124" t="str">
        <f>IF($C2124="","",IFERROR(VLOOKUP($C2124,sources!$A$2:$N$200,9,FALSE()),"?"))</f>
        <v>US official</v>
      </c>
    </row>
    <row r="2125" spans="1:19" x14ac:dyDescent="0.2">
      <c r="A2125" t="s">
        <v>6673</v>
      </c>
      <c r="B2125" t="s">
        <v>843</v>
      </c>
      <c r="C2125" t="s">
        <v>1277</v>
      </c>
      <c r="D2125" t="s">
        <v>1666</v>
      </c>
      <c r="E2125" t="s">
        <v>844</v>
      </c>
      <c r="F2125" t="s">
        <v>1612</v>
      </c>
      <c r="I2125" t="s">
        <v>1077</v>
      </c>
      <c r="M2125" t="s">
        <v>209</v>
      </c>
      <c r="N2125" t="s">
        <v>228</v>
      </c>
      <c r="O2125" t="s">
        <v>6530</v>
      </c>
      <c r="P2125" t="s">
        <v>6674</v>
      </c>
      <c r="Q2125" t="str">
        <f>IF($C2125="","",IFERROR(VLOOKUP($C2125,sources!$A$2:$N$200,2,FALSE()),"?"))</f>
        <v>Administrative</v>
      </c>
      <c r="S2125" t="str">
        <f>IF($C2125="","",IFERROR(VLOOKUP($C2125,sources!$A$2:$N$200,9,FALSE()),"?"))</f>
        <v>US official</v>
      </c>
    </row>
    <row r="2126" spans="1:19" x14ac:dyDescent="0.2">
      <c r="A2126" t="s">
        <v>6675</v>
      </c>
      <c r="B2126" t="s">
        <v>847</v>
      </c>
      <c r="C2126" t="s">
        <v>1277</v>
      </c>
      <c r="D2126" t="s">
        <v>1666</v>
      </c>
      <c r="E2126" t="s">
        <v>848</v>
      </c>
      <c r="F2126" t="s">
        <v>1612</v>
      </c>
      <c r="I2126" t="s">
        <v>1077</v>
      </c>
      <c r="M2126" t="s">
        <v>209</v>
      </c>
      <c r="N2126" t="s">
        <v>228</v>
      </c>
      <c r="O2126" t="s">
        <v>6530</v>
      </c>
      <c r="P2126" t="s">
        <v>6676</v>
      </c>
      <c r="Q2126" t="str">
        <f>IF($C2126="","",IFERROR(VLOOKUP($C2126,sources!$A$2:$N$200,2,FALSE()),"?"))</f>
        <v>Administrative</v>
      </c>
      <c r="S2126" t="str">
        <f>IF($C2126="","",IFERROR(VLOOKUP($C2126,sources!$A$2:$N$200,9,FALSE()),"?"))</f>
        <v>US official</v>
      </c>
    </row>
    <row r="2127" spans="1:19" x14ac:dyDescent="0.2">
      <c r="A2127" t="s">
        <v>6677</v>
      </c>
      <c r="B2127" t="s">
        <v>851</v>
      </c>
      <c r="C2127" t="s">
        <v>1277</v>
      </c>
      <c r="D2127" t="s">
        <v>1666</v>
      </c>
      <c r="E2127" t="s">
        <v>852</v>
      </c>
      <c r="F2127" t="s">
        <v>1612</v>
      </c>
      <c r="I2127" t="s">
        <v>1077</v>
      </c>
      <c r="M2127" t="s">
        <v>209</v>
      </c>
      <c r="N2127" t="s">
        <v>228</v>
      </c>
      <c r="O2127" t="s">
        <v>6530</v>
      </c>
      <c r="P2127" t="s">
        <v>6678</v>
      </c>
      <c r="Q2127" t="str">
        <f>IF($C2127="","",IFERROR(VLOOKUP($C2127,sources!$A$2:$N$200,2,FALSE()),"?"))</f>
        <v>Administrative</v>
      </c>
      <c r="S2127" t="str">
        <f>IF($C2127="","",IFERROR(VLOOKUP($C2127,sources!$A$2:$N$200,9,FALSE()),"?"))</f>
        <v>US official</v>
      </c>
    </row>
    <row r="2128" spans="1:19" x14ac:dyDescent="0.2">
      <c r="A2128" t="s">
        <v>6679</v>
      </c>
      <c r="B2128" t="s">
        <v>854</v>
      </c>
      <c r="C2128" t="s">
        <v>1277</v>
      </c>
      <c r="D2128" t="s">
        <v>1666</v>
      </c>
      <c r="E2128" t="s">
        <v>523</v>
      </c>
      <c r="F2128" t="s">
        <v>1612</v>
      </c>
      <c r="I2128" t="s">
        <v>1077</v>
      </c>
      <c r="M2128" t="s">
        <v>209</v>
      </c>
      <c r="N2128" t="s">
        <v>228</v>
      </c>
      <c r="O2128" t="s">
        <v>6530</v>
      </c>
      <c r="P2128" t="s">
        <v>6680</v>
      </c>
      <c r="Q2128" t="str">
        <f>IF($C2128="","",IFERROR(VLOOKUP($C2128,sources!$A$2:$N$200,2,FALSE()),"?"))</f>
        <v>Administrative</v>
      </c>
      <c r="S2128" t="str">
        <f>IF($C2128="","",IFERROR(VLOOKUP($C2128,sources!$A$2:$N$200,9,FALSE()),"?"))</f>
        <v>US official</v>
      </c>
    </row>
    <row r="2129" spans="1:19" x14ac:dyDescent="0.2">
      <c r="A2129" t="s">
        <v>6681</v>
      </c>
      <c r="B2129" t="s">
        <v>866</v>
      </c>
      <c r="C2129" t="s">
        <v>1277</v>
      </c>
      <c r="D2129" t="s">
        <v>1599</v>
      </c>
      <c r="E2129" t="s">
        <v>867</v>
      </c>
      <c r="F2129" t="s">
        <v>1612</v>
      </c>
      <c r="I2129" t="s">
        <v>1077</v>
      </c>
      <c r="K2129">
        <v>1911</v>
      </c>
      <c r="L2129">
        <v>1914</v>
      </c>
      <c r="M2129" t="s">
        <v>228</v>
      </c>
      <c r="N2129" t="s">
        <v>222</v>
      </c>
      <c r="O2129" t="s">
        <v>6530</v>
      </c>
      <c r="P2129" t="s">
        <v>6682</v>
      </c>
      <c r="Q2129" t="str">
        <f>IF($C2129="","",IFERROR(VLOOKUP($C2129,sources!$A$2:$N$200,2,FALSE()),"?"))</f>
        <v>Administrative</v>
      </c>
      <c r="S2129" t="str">
        <f>IF($C2129="","",IFERROR(VLOOKUP($C2129,sources!$A$2:$N$200,9,FALSE()),"?"))</f>
        <v>US official</v>
      </c>
    </row>
    <row r="2130" spans="1:19" x14ac:dyDescent="0.2">
      <c r="A2130" t="s">
        <v>6683</v>
      </c>
      <c r="B2130" t="s">
        <v>871</v>
      </c>
      <c r="C2130" t="s">
        <v>1277</v>
      </c>
      <c r="D2130" t="s">
        <v>1666</v>
      </c>
      <c r="E2130" t="s">
        <v>873</v>
      </c>
      <c r="F2130" t="s">
        <v>1612</v>
      </c>
      <c r="I2130" t="s">
        <v>1077</v>
      </c>
      <c r="M2130" t="s">
        <v>209</v>
      </c>
      <c r="N2130" t="s">
        <v>228</v>
      </c>
      <c r="O2130" t="s">
        <v>6530</v>
      </c>
      <c r="P2130" t="s">
        <v>6684</v>
      </c>
      <c r="Q2130" t="str">
        <f>IF($C2130="","",IFERROR(VLOOKUP($C2130,sources!$A$2:$N$200,2,FALSE()),"?"))</f>
        <v>Administrative</v>
      </c>
      <c r="S2130" t="str">
        <f>IF($C2130="","",IFERROR(VLOOKUP($C2130,sources!$A$2:$N$200,9,FALSE()),"?"))</f>
        <v>US official</v>
      </c>
    </row>
    <row r="2131" spans="1:19" x14ac:dyDescent="0.2">
      <c r="A2131" t="s">
        <v>6685</v>
      </c>
      <c r="B2131" t="s">
        <v>875</v>
      </c>
      <c r="C2131" t="s">
        <v>1277</v>
      </c>
      <c r="D2131" t="s">
        <v>1666</v>
      </c>
      <c r="E2131" t="s">
        <v>6686</v>
      </c>
      <c r="F2131" t="s">
        <v>1612</v>
      </c>
      <c r="I2131" t="s">
        <v>1077</v>
      </c>
      <c r="M2131" t="s">
        <v>209</v>
      </c>
      <c r="N2131" t="s">
        <v>228</v>
      </c>
      <c r="O2131" t="s">
        <v>6530</v>
      </c>
      <c r="P2131" t="s">
        <v>6687</v>
      </c>
      <c r="Q2131" t="str">
        <f>IF($C2131="","",IFERROR(VLOOKUP($C2131,sources!$A$2:$N$200,2,FALSE()),"?"))</f>
        <v>Administrative</v>
      </c>
      <c r="S2131" t="str">
        <f>IF($C2131="","",IFERROR(VLOOKUP($C2131,sources!$A$2:$N$200,9,FALSE()),"?"))</f>
        <v>US official</v>
      </c>
    </row>
    <row r="2132" spans="1:19" x14ac:dyDescent="0.2">
      <c r="A2132" t="s">
        <v>6688</v>
      </c>
      <c r="B2132" t="s">
        <v>879</v>
      </c>
      <c r="C2132" t="s">
        <v>1277</v>
      </c>
      <c r="D2132" t="s">
        <v>1666</v>
      </c>
      <c r="E2132" t="s">
        <v>4832</v>
      </c>
      <c r="F2132" t="s">
        <v>1612</v>
      </c>
      <c r="I2132" t="s">
        <v>1077</v>
      </c>
      <c r="M2132" t="s">
        <v>209</v>
      </c>
      <c r="N2132" t="s">
        <v>228</v>
      </c>
      <c r="O2132" t="s">
        <v>6530</v>
      </c>
      <c r="P2132" t="s">
        <v>6689</v>
      </c>
      <c r="Q2132" t="str">
        <f>IF($C2132="","",IFERROR(VLOOKUP($C2132,sources!$A$2:$N$200,2,FALSE()),"?"))</f>
        <v>Administrative</v>
      </c>
      <c r="S2132" t="str">
        <f>IF($C2132="","",IFERROR(VLOOKUP($C2132,sources!$A$2:$N$200,9,FALSE()),"?"))</f>
        <v>US official</v>
      </c>
    </row>
    <row r="2133" spans="1:19" x14ac:dyDescent="0.2">
      <c r="A2133" t="s">
        <v>6690</v>
      </c>
      <c r="B2133" t="s">
        <v>884</v>
      </c>
      <c r="C2133" t="s">
        <v>1277</v>
      </c>
      <c r="D2133" t="s">
        <v>1666</v>
      </c>
      <c r="E2133" t="s">
        <v>4835</v>
      </c>
      <c r="F2133" t="s">
        <v>1612</v>
      </c>
      <c r="I2133" t="s">
        <v>1077</v>
      </c>
      <c r="M2133" t="s">
        <v>209</v>
      </c>
      <c r="N2133" t="s">
        <v>228</v>
      </c>
      <c r="O2133" t="s">
        <v>6530</v>
      </c>
      <c r="P2133" t="s">
        <v>6691</v>
      </c>
      <c r="Q2133" t="str">
        <f>IF($C2133="","",IFERROR(VLOOKUP($C2133,sources!$A$2:$N$200,2,FALSE()),"?"))</f>
        <v>Administrative</v>
      </c>
      <c r="S2133" t="str">
        <f>IF($C2133="","",IFERROR(VLOOKUP($C2133,sources!$A$2:$N$200,9,FALSE()),"?"))</f>
        <v>US official</v>
      </c>
    </row>
    <row r="2134" spans="1:19" x14ac:dyDescent="0.2">
      <c r="A2134" t="s">
        <v>6692</v>
      </c>
      <c r="B2134" t="s">
        <v>888</v>
      </c>
      <c r="C2134" t="s">
        <v>1277</v>
      </c>
      <c r="D2134" t="s">
        <v>1666</v>
      </c>
      <c r="E2134" t="s">
        <v>6693</v>
      </c>
      <c r="F2134" t="s">
        <v>1612</v>
      </c>
      <c r="I2134" t="s">
        <v>1077</v>
      </c>
      <c r="M2134" t="s">
        <v>209</v>
      </c>
      <c r="N2134" t="s">
        <v>228</v>
      </c>
      <c r="O2134" t="s">
        <v>6530</v>
      </c>
      <c r="P2134" t="s">
        <v>6694</v>
      </c>
      <c r="Q2134" t="str">
        <f>IF($C2134="","",IFERROR(VLOOKUP($C2134,sources!$A$2:$N$200,2,FALSE()),"?"))</f>
        <v>Administrative</v>
      </c>
      <c r="S2134" t="str">
        <f>IF($C2134="","",IFERROR(VLOOKUP($C2134,sources!$A$2:$N$200,9,FALSE()),"?"))</f>
        <v>US official</v>
      </c>
    </row>
    <row r="2135" spans="1:19" x14ac:dyDescent="0.2">
      <c r="A2135" t="s">
        <v>6695</v>
      </c>
      <c r="B2135" t="s">
        <v>892</v>
      </c>
      <c r="C2135" t="s">
        <v>1277</v>
      </c>
      <c r="D2135" t="s">
        <v>1666</v>
      </c>
      <c r="E2135" t="s">
        <v>6644</v>
      </c>
      <c r="F2135" t="s">
        <v>1612</v>
      </c>
      <c r="I2135" t="s">
        <v>1077</v>
      </c>
      <c r="M2135" t="s">
        <v>209</v>
      </c>
      <c r="N2135" t="s">
        <v>228</v>
      </c>
      <c r="O2135" t="s">
        <v>6530</v>
      </c>
      <c r="P2135" t="s">
        <v>6696</v>
      </c>
      <c r="Q2135" t="str">
        <f>IF($C2135="","",IFERROR(VLOOKUP($C2135,sources!$A$2:$N$200,2,FALSE()),"?"))</f>
        <v>Administrative</v>
      </c>
      <c r="S2135" t="str">
        <f>IF($C2135="","",IFERROR(VLOOKUP($C2135,sources!$A$2:$N$200,9,FALSE()),"?"))</f>
        <v>US official</v>
      </c>
    </row>
    <row r="2136" spans="1:19" x14ac:dyDescent="0.2">
      <c r="A2136" t="s">
        <v>6697</v>
      </c>
      <c r="B2136" t="s">
        <v>895</v>
      </c>
      <c r="C2136" t="s">
        <v>1277</v>
      </c>
      <c r="D2136" t="s">
        <v>1666</v>
      </c>
      <c r="E2136" t="s">
        <v>6565</v>
      </c>
      <c r="F2136" t="s">
        <v>1612</v>
      </c>
      <c r="I2136" t="s">
        <v>1077</v>
      </c>
      <c r="M2136" t="s">
        <v>209</v>
      </c>
      <c r="N2136" t="s">
        <v>228</v>
      </c>
      <c r="O2136" t="s">
        <v>6530</v>
      </c>
      <c r="P2136" t="s">
        <v>6698</v>
      </c>
      <c r="Q2136" t="str">
        <f>IF($C2136="","",IFERROR(VLOOKUP($C2136,sources!$A$2:$N$200,2,FALSE()),"?"))</f>
        <v>Administrative</v>
      </c>
      <c r="S2136" t="str">
        <f>IF($C2136="","",IFERROR(VLOOKUP($C2136,sources!$A$2:$N$200,9,FALSE()),"?"))</f>
        <v>US official</v>
      </c>
    </row>
    <row r="2137" spans="1:19" x14ac:dyDescent="0.2">
      <c r="A2137" t="s">
        <v>6699</v>
      </c>
      <c r="B2137" t="s">
        <v>898</v>
      </c>
      <c r="C2137" t="s">
        <v>1277</v>
      </c>
      <c r="D2137" t="s">
        <v>1666</v>
      </c>
      <c r="E2137" t="s">
        <v>6647</v>
      </c>
      <c r="F2137" t="s">
        <v>1612</v>
      </c>
      <c r="I2137" t="s">
        <v>1077</v>
      </c>
      <c r="M2137" t="s">
        <v>209</v>
      </c>
      <c r="N2137" t="s">
        <v>228</v>
      </c>
      <c r="O2137" t="s">
        <v>6530</v>
      </c>
      <c r="P2137" t="s">
        <v>6700</v>
      </c>
      <c r="Q2137" t="str">
        <f>IF($C2137="","",IFERROR(VLOOKUP($C2137,sources!$A$2:$N$200,2,FALSE()),"?"))</f>
        <v>Administrative</v>
      </c>
      <c r="S2137" t="str">
        <f>IF($C2137="","",IFERROR(VLOOKUP($C2137,sources!$A$2:$N$200,9,FALSE()),"?"))</f>
        <v>US official</v>
      </c>
    </row>
    <row r="2138" spans="1:19" x14ac:dyDescent="0.2">
      <c r="A2138" t="s">
        <v>6701</v>
      </c>
      <c r="B2138" t="s">
        <v>902</v>
      </c>
      <c r="C2138" t="s">
        <v>1277</v>
      </c>
      <c r="D2138" t="s">
        <v>1599</v>
      </c>
      <c r="E2138" t="s">
        <v>903</v>
      </c>
      <c r="F2138" t="s">
        <v>1612</v>
      </c>
      <c r="I2138" t="s">
        <v>1077</v>
      </c>
      <c r="K2138">
        <v>1964</v>
      </c>
      <c r="L2138">
        <v>1996</v>
      </c>
      <c r="M2138" t="s">
        <v>228</v>
      </c>
      <c r="N2138" t="s">
        <v>222</v>
      </c>
      <c r="O2138" t="s">
        <v>6530</v>
      </c>
      <c r="P2138" t="s">
        <v>6702</v>
      </c>
      <c r="Q2138" t="str">
        <f>IF($C2138="","",IFERROR(VLOOKUP($C2138,sources!$A$2:$N$200,2,FALSE()),"?"))</f>
        <v>Administrative</v>
      </c>
      <c r="S2138" t="str">
        <f>IF($C2138="","",IFERROR(VLOOKUP($C2138,sources!$A$2:$N$200,9,FALSE()),"?"))</f>
        <v>US official</v>
      </c>
    </row>
    <row r="2139" spans="1:19" x14ac:dyDescent="0.2">
      <c r="A2139" t="s">
        <v>6703</v>
      </c>
      <c r="B2139" t="s">
        <v>907</v>
      </c>
      <c r="C2139" t="s">
        <v>1277</v>
      </c>
      <c r="D2139" t="s">
        <v>1666</v>
      </c>
      <c r="E2139" t="s">
        <v>6568</v>
      </c>
      <c r="F2139" t="s">
        <v>1612</v>
      </c>
      <c r="I2139" t="s">
        <v>1077</v>
      </c>
      <c r="M2139" t="s">
        <v>209</v>
      </c>
      <c r="N2139" t="s">
        <v>228</v>
      </c>
      <c r="O2139" t="s">
        <v>6530</v>
      </c>
      <c r="P2139" t="s">
        <v>6704</v>
      </c>
      <c r="Q2139" t="str">
        <f>IF($C2139="","",IFERROR(VLOOKUP($C2139,sources!$A$2:$N$200,2,FALSE()),"?"))</f>
        <v>Administrative</v>
      </c>
      <c r="S2139" t="str">
        <f>IF($C2139="","",IFERROR(VLOOKUP($C2139,sources!$A$2:$N$200,9,FALSE()),"?"))</f>
        <v>US official</v>
      </c>
    </row>
    <row r="2140" spans="1:19" x14ac:dyDescent="0.2">
      <c r="A2140" t="s">
        <v>6705</v>
      </c>
      <c r="B2140" t="s">
        <v>911</v>
      </c>
      <c r="C2140" t="s">
        <v>1277</v>
      </c>
      <c r="D2140" t="s">
        <v>1666</v>
      </c>
      <c r="E2140" t="s">
        <v>6706</v>
      </c>
      <c r="F2140" t="s">
        <v>1612</v>
      </c>
      <c r="I2140" t="s">
        <v>1077</v>
      </c>
      <c r="M2140" t="s">
        <v>209</v>
      </c>
      <c r="N2140" t="s">
        <v>228</v>
      </c>
      <c r="O2140" t="s">
        <v>6530</v>
      </c>
      <c r="P2140" t="s">
        <v>6707</v>
      </c>
      <c r="Q2140" t="str">
        <f>IF($C2140="","",IFERROR(VLOOKUP($C2140,sources!$A$2:$N$200,2,FALSE()),"?"))</f>
        <v>Administrative</v>
      </c>
      <c r="S2140" t="str">
        <f>IF($C2140="","",IFERROR(VLOOKUP($C2140,sources!$A$2:$N$200,9,FALSE()),"?"))</f>
        <v>US official</v>
      </c>
    </row>
    <row r="2141" spans="1:19" x14ac:dyDescent="0.2">
      <c r="A2141" t="s">
        <v>6708</v>
      </c>
      <c r="B2141" t="s">
        <v>915</v>
      </c>
      <c r="C2141" t="s">
        <v>1277</v>
      </c>
      <c r="D2141" t="s">
        <v>1666</v>
      </c>
      <c r="E2141" t="s">
        <v>916</v>
      </c>
      <c r="F2141" t="s">
        <v>1612</v>
      </c>
      <c r="I2141" t="s">
        <v>1077</v>
      </c>
      <c r="M2141" t="s">
        <v>209</v>
      </c>
      <c r="N2141" t="s">
        <v>228</v>
      </c>
      <c r="O2141" t="s">
        <v>6530</v>
      </c>
      <c r="P2141" t="s">
        <v>6709</v>
      </c>
      <c r="Q2141" t="str">
        <f>IF($C2141="","",IFERROR(VLOOKUP($C2141,sources!$A$2:$N$200,2,FALSE()),"?"))</f>
        <v>Administrative</v>
      </c>
      <c r="S2141" t="str">
        <f>IF($C2141="","",IFERROR(VLOOKUP($C2141,sources!$A$2:$N$200,9,FALSE()),"?"))</f>
        <v>US official</v>
      </c>
    </row>
    <row r="2142" spans="1:19" x14ac:dyDescent="0.2">
      <c r="A2142" t="s">
        <v>6710</v>
      </c>
      <c r="B2142" t="s">
        <v>918</v>
      </c>
      <c r="C2142" t="s">
        <v>1277</v>
      </c>
      <c r="D2142" t="s">
        <v>1666</v>
      </c>
      <c r="E2142" t="s">
        <v>919</v>
      </c>
      <c r="F2142" t="s">
        <v>1612</v>
      </c>
      <c r="I2142" t="s">
        <v>1077</v>
      </c>
      <c r="M2142" t="s">
        <v>209</v>
      </c>
      <c r="N2142" t="s">
        <v>228</v>
      </c>
      <c r="O2142" t="s">
        <v>6530</v>
      </c>
      <c r="P2142" t="s">
        <v>6711</v>
      </c>
      <c r="Q2142" t="str">
        <f>IF($C2142="","",IFERROR(VLOOKUP($C2142,sources!$A$2:$N$200,2,FALSE()),"?"))</f>
        <v>Administrative</v>
      </c>
      <c r="S2142" t="str">
        <f>IF($C2142="","",IFERROR(VLOOKUP($C2142,sources!$A$2:$N$200,9,FALSE()),"?"))</f>
        <v>US official</v>
      </c>
    </row>
    <row r="2143" spans="1:19" x14ac:dyDescent="0.2">
      <c r="A2143" t="s">
        <v>6712</v>
      </c>
      <c r="B2143" t="s">
        <v>921</v>
      </c>
      <c r="C2143" t="s">
        <v>1277</v>
      </c>
      <c r="D2143" t="s">
        <v>1666</v>
      </c>
      <c r="E2143" t="s">
        <v>922</v>
      </c>
      <c r="F2143" t="s">
        <v>1612</v>
      </c>
      <c r="I2143" t="s">
        <v>1077</v>
      </c>
      <c r="M2143" t="s">
        <v>209</v>
      </c>
      <c r="N2143" t="s">
        <v>228</v>
      </c>
      <c r="O2143" t="s">
        <v>6530</v>
      </c>
      <c r="P2143" t="s">
        <v>6713</v>
      </c>
      <c r="Q2143" t="str">
        <f>IF($C2143="","",IFERROR(VLOOKUP($C2143,sources!$A$2:$N$200,2,FALSE()),"?"))</f>
        <v>Administrative</v>
      </c>
      <c r="S2143" t="str">
        <f>IF($C2143="","",IFERROR(VLOOKUP($C2143,sources!$A$2:$N$200,9,FALSE()),"?"))</f>
        <v>US official</v>
      </c>
    </row>
    <row r="2144" spans="1:19" x14ac:dyDescent="0.2">
      <c r="A2144" t="s">
        <v>6714</v>
      </c>
      <c r="B2144" t="s">
        <v>925</v>
      </c>
      <c r="C2144" t="s">
        <v>1277</v>
      </c>
      <c r="D2144" t="s">
        <v>1666</v>
      </c>
      <c r="E2144" t="s">
        <v>927</v>
      </c>
      <c r="F2144" t="s">
        <v>1612</v>
      </c>
      <c r="I2144" t="s">
        <v>1077</v>
      </c>
      <c r="M2144" t="s">
        <v>209</v>
      </c>
      <c r="N2144" t="s">
        <v>228</v>
      </c>
      <c r="O2144" t="s">
        <v>6530</v>
      </c>
      <c r="P2144" t="s">
        <v>6715</v>
      </c>
      <c r="Q2144" t="str">
        <f>IF($C2144="","",IFERROR(VLOOKUP($C2144,sources!$A$2:$N$200,2,FALSE()),"?"))</f>
        <v>Administrative</v>
      </c>
      <c r="S2144" t="str">
        <f>IF($C2144="","",IFERROR(VLOOKUP($C2144,sources!$A$2:$N$200,9,FALSE()),"?"))</f>
        <v>US official</v>
      </c>
    </row>
    <row r="2145" spans="1:19" x14ac:dyDescent="0.2">
      <c r="A2145" t="s">
        <v>6716</v>
      </c>
      <c r="B2145" t="s">
        <v>929</v>
      </c>
      <c r="C2145" t="s">
        <v>1277</v>
      </c>
      <c r="D2145" t="s">
        <v>1666</v>
      </c>
      <c r="E2145" t="s">
        <v>930</v>
      </c>
      <c r="F2145" t="s">
        <v>1612</v>
      </c>
      <c r="I2145" t="s">
        <v>1077</v>
      </c>
      <c r="M2145" t="s">
        <v>209</v>
      </c>
      <c r="N2145" t="s">
        <v>228</v>
      </c>
      <c r="O2145" t="s">
        <v>6530</v>
      </c>
      <c r="P2145" t="s">
        <v>6717</v>
      </c>
      <c r="Q2145" t="str">
        <f>IF($C2145="","",IFERROR(VLOOKUP($C2145,sources!$A$2:$N$200,2,FALSE()),"?"))</f>
        <v>Administrative</v>
      </c>
      <c r="S2145" t="str">
        <f>IF($C2145="","",IFERROR(VLOOKUP($C2145,sources!$A$2:$N$200,9,FALSE()),"?"))</f>
        <v>US official</v>
      </c>
    </row>
    <row r="2146" spans="1:19" x14ac:dyDescent="0.2">
      <c r="A2146" t="s">
        <v>6718</v>
      </c>
      <c r="B2146" t="s">
        <v>933</v>
      </c>
      <c r="C2146" t="s">
        <v>1277</v>
      </c>
      <c r="D2146" t="s">
        <v>1666</v>
      </c>
      <c r="E2146" t="s">
        <v>934</v>
      </c>
      <c r="F2146" t="s">
        <v>1612</v>
      </c>
      <c r="I2146" t="s">
        <v>1077</v>
      </c>
      <c r="M2146" t="s">
        <v>209</v>
      </c>
      <c r="N2146" t="s">
        <v>228</v>
      </c>
      <c r="O2146" t="s">
        <v>6530</v>
      </c>
      <c r="P2146" t="s">
        <v>6719</v>
      </c>
      <c r="Q2146" t="str">
        <f>IF($C2146="","",IFERROR(VLOOKUP($C2146,sources!$A$2:$N$200,2,FALSE()),"?"))</f>
        <v>Administrative</v>
      </c>
      <c r="S2146" t="str">
        <f>IF($C2146="","",IFERROR(VLOOKUP($C2146,sources!$A$2:$N$200,9,FALSE()),"?"))</f>
        <v>US official</v>
      </c>
    </row>
    <row r="2147" spans="1:19" x14ac:dyDescent="0.2">
      <c r="A2147" t="s">
        <v>6720</v>
      </c>
      <c r="B2147" t="s">
        <v>936</v>
      </c>
      <c r="C2147" t="s">
        <v>1277</v>
      </c>
      <c r="D2147" t="s">
        <v>1666</v>
      </c>
      <c r="E2147" t="s">
        <v>937</v>
      </c>
      <c r="F2147" t="s">
        <v>1612</v>
      </c>
      <c r="I2147" t="s">
        <v>1077</v>
      </c>
      <c r="M2147" t="s">
        <v>209</v>
      </c>
      <c r="N2147" t="s">
        <v>228</v>
      </c>
      <c r="O2147" t="s">
        <v>6530</v>
      </c>
      <c r="P2147" t="s">
        <v>6721</v>
      </c>
      <c r="Q2147" t="str">
        <f>IF($C2147="","",IFERROR(VLOOKUP($C2147,sources!$A$2:$N$200,2,FALSE()),"?"))</f>
        <v>Administrative</v>
      </c>
      <c r="S2147" t="str">
        <f>IF($C2147="","",IFERROR(VLOOKUP($C2147,sources!$A$2:$N$200,9,FALSE()),"?"))</f>
        <v>US official</v>
      </c>
    </row>
    <row r="2148" spans="1:19" x14ac:dyDescent="0.2">
      <c r="A2148" t="s">
        <v>6722</v>
      </c>
      <c r="B2148" t="s">
        <v>939</v>
      </c>
      <c r="C2148" t="s">
        <v>1277</v>
      </c>
      <c r="D2148" t="s">
        <v>1585</v>
      </c>
      <c r="E2148" t="s">
        <v>6391</v>
      </c>
      <c r="F2148" t="s">
        <v>1612</v>
      </c>
      <c r="I2148" t="s">
        <v>1077</v>
      </c>
      <c r="K2148">
        <v>1911</v>
      </c>
      <c r="L2148">
        <v>1965</v>
      </c>
      <c r="M2148" t="s">
        <v>228</v>
      </c>
      <c r="N2148" t="s">
        <v>222</v>
      </c>
      <c r="O2148" t="s">
        <v>6530</v>
      </c>
      <c r="P2148" t="s">
        <v>6723</v>
      </c>
      <c r="Q2148" t="str">
        <f>IF($C2148="","",IFERROR(VLOOKUP($C2148,sources!$A$2:$N$200,2,FALSE()),"?"))</f>
        <v>Administrative</v>
      </c>
      <c r="S2148" t="str">
        <f>IF($C2148="","",IFERROR(VLOOKUP($C2148,sources!$A$2:$N$200,9,FALSE()),"?"))</f>
        <v>US official</v>
      </c>
    </row>
    <row r="2149" spans="1:19" x14ac:dyDescent="0.2">
      <c r="A2149" t="s">
        <v>6724</v>
      </c>
      <c r="B2149" t="s">
        <v>943</v>
      </c>
      <c r="C2149" t="s">
        <v>1277</v>
      </c>
      <c r="D2149" t="s">
        <v>1666</v>
      </c>
      <c r="E2149" t="s">
        <v>6725</v>
      </c>
      <c r="F2149" t="s">
        <v>1612</v>
      </c>
      <c r="I2149" t="s">
        <v>1077</v>
      </c>
      <c r="M2149" t="s">
        <v>209</v>
      </c>
      <c r="N2149" t="s">
        <v>228</v>
      </c>
      <c r="O2149" t="s">
        <v>6530</v>
      </c>
      <c r="P2149" t="s">
        <v>6726</v>
      </c>
      <c r="Q2149" t="str">
        <f>IF($C2149="","",IFERROR(VLOOKUP($C2149,sources!$A$2:$N$200,2,FALSE()),"?"))</f>
        <v>Administrative</v>
      </c>
      <c r="S2149" t="str">
        <f>IF($C2149="","",IFERROR(VLOOKUP($C2149,sources!$A$2:$N$200,9,FALSE()),"?"))</f>
        <v>US official</v>
      </c>
    </row>
    <row r="2150" spans="1:19" x14ac:dyDescent="0.2">
      <c r="A2150" t="s">
        <v>6727</v>
      </c>
      <c r="B2150" t="s">
        <v>951</v>
      </c>
      <c r="C2150" t="s">
        <v>1277</v>
      </c>
      <c r="D2150" t="s">
        <v>1666</v>
      </c>
      <c r="E2150" t="s">
        <v>953</v>
      </c>
      <c r="F2150" t="s">
        <v>1612</v>
      </c>
      <c r="I2150" t="s">
        <v>1077</v>
      </c>
      <c r="M2150" t="s">
        <v>209</v>
      </c>
      <c r="N2150" t="s">
        <v>228</v>
      </c>
      <c r="O2150" t="s">
        <v>6530</v>
      </c>
      <c r="P2150" t="s">
        <v>6728</v>
      </c>
      <c r="Q2150" t="str">
        <f>IF($C2150="","",IFERROR(VLOOKUP($C2150,sources!$A$2:$N$200,2,FALSE()),"?"))</f>
        <v>Administrative</v>
      </c>
      <c r="S2150" t="str">
        <f>IF($C2150="","",IFERROR(VLOOKUP($C2150,sources!$A$2:$N$200,9,FALSE()),"?"))</f>
        <v>US official</v>
      </c>
    </row>
    <row r="2151" spans="1:19" x14ac:dyDescent="0.2">
      <c r="A2151" t="s">
        <v>6729</v>
      </c>
      <c r="B2151" t="s">
        <v>957</v>
      </c>
      <c r="C2151" t="s">
        <v>1277</v>
      </c>
      <c r="D2151" t="s">
        <v>1599</v>
      </c>
      <c r="E2151" t="s">
        <v>958</v>
      </c>
      <c r="F2151" t="s">
        <v>1612</v>
      </c>
      <c r="I2151" t="s">
        <v>1077</v>
      </c>
      <c r="M2151" t="s">
        <v>209</v>
      </c>
      <c r="N2151" t="s">
        <v>228</v>
      </c>
      <c r="O2151" t="s">
        <v>6530</v>
      </c>
      <c r="P2151" t="s">
        <v>6730</v>
      </c>
      <c r="Q2151" t="str">
        <f>IF($C2151="","",IFERROR(VLOOKUP($C2151,sources!$A$2:$N$200,2,FALSE()),"?"))</f>
        <v>Administrative</v>
      </c>
      <c r="S2151" t="str">
        <f>IF($C2151="","",IFERROR(VLOOKUP($C2151,sources!$A$2:$N$200,9,FALSE()),"?"))</f>
        <v>US official</v>
      </c>
    </row>
    <row r="2152" spans="1:19" x14ac:dyDescent="0.2">
      <c r="A2152" t="s">
        <v>6731</v>
      </c>
      <c r="B2152" t="s">
        <v>962</v>
      </c>
      <c r="C2152" t="s">
        <v>1277</v>
      </c>
      <c r="D2152" t="s">
        <v>1666</v>
      </c>
      <c r="E2152" t="s">
        <v>6160</v>
      </c>
      <c r="F2152" t="s">
        <v>1612</v>
      </c>
      <c r="I2152" t="s">
        <v>1077</v>
      </c>
      <c r="M2152" t="s">
        <v>209</v>
      </c>
      <c r="N2152" t="s">
        <v>228</v>
      </c>
      <c r="O2152" t="s">
        <v>6530</v>
      </c>
      <c r="P2152" t="s">
        <v>6732</v>
      </c>
      <c r="Q2152" t="str">
        <f>IF($C2152="","",IFERROR(VLOOKUP($C2152,sources!$A$2:$N$200,2,FALSE()),"?"))</f>
        <v>Administrative</v>
      </c>
      <c r="S2152" t="str">
        <f>IF($C2152="","",IFERROR(VLOOKUP($C2152,sources!$A$2:$N$200,9,FALSE()),"?"))</f>
        <v>US official</v>
      </c>
    </row>
    <row r="2153" spans="1:19" x14ac:dyDescent="0.2">
      <c r="A2153" t="s">
        <v>6733</v>
      </c>
      <c r="B2153" t="s">
        <v>966</v>
      </c>
      <c r="C2153" t="s">
        <v>1277</v>
      </c>
      <c r="D2153" t="s">
        <v>1666</v>
      </c>
      <c r="E2153" t="s">
        <v>6734</v>
      </c>
      <c r="F2153" t="s">
        <v>1612</v>
      </c>
      <c r="I2153" t="s">
        <v>1077</v>
      </c>
      <c r="M2153" t="s">
        <v>209</v>
      </c>
      <c r="N2153" t="s">
        <v>228</v>
      </c>
      <c r="O2153" t="s">
        <v>6530</v>
      </c>
      <c r="P2153" t="s">
        <v>6735</v>
      </c>
      <c r="Q2153" t="str">
        <f>IF($C2153="","",IFERROR(VLOOKUP($C2153,sources!$A$2:$N$200,2,FALSE()),"?"))</f>
        <v>Administrative</v>
      </c>
      <c r="S2153" t="str">
        <f>IF($C2153="","",IFERROR(VLOOKUP($C2153,sources!$A$2:$N$200,9,FALSE()),"?"))</f>
        <v>US official</v>
      </c>
    </row>
    <row r="2154" spans="1:19" x14ac:dyDescent="0.2">
      <c r="A2154" t="s">
        <v>6736</v>
      </c>
      <c r="B2154" t="s">
        <v>955</v>
      </c>
      <c r="C2154" t="s">
        <v>1277</v>
      </c>
      <c r="D2154" t="s">
        <v>1666</v>
      </c>
      <c r="E2154" t="s">
        <v>6737</v>
      </c>
      <c r="F2154" t="s">
        <v>1612</v>
      </c>
      <c r="I2154" t="s">
        <v>1077</v>
      </c>
      <c r="M2154" t="s">
        <v>209</v>
      </c>
      <c r="N2154" t="s">
        <v>228</v>
      </c>
      <c r="O2154" t="s">
        <v>6530</v>
      </c>
      <c r="P2154" t="s">
        <v>6738</v>
      </c>
      <c r="Q2154" t="str">
        <f>IF($C2154="","",IFERROR(VLOOKUP($C2154,sources!$A$2:$N$200,2,FALSE()),"?"))</f>
        <v>Administrative</v>
      </c>
      <c r="S2154" t="str">
        <f>IF($C2154="","",IFERROR(VLOOKUP($C2154,sources!$A$2:$N$200,9,FALSE()),"?"))</f>
        <v>US official</v>
      </c>
    </row>
    <row r="2155" spans="1:19" x14ac:dyDescent="0.2">
      <c r="A2155" t="s">
        <v>6739</v>
      </c>
      <c r="B2155" t="s">
        <v>974</v>
      </c>
      <c r="C2155" t="s">
        <v>1277</v>
      </c>
      <c r="D2155" t="s">
        <v>1666</v>
      </c>
      <c r="E2155" t="s">
        <v>6609</v>
      </c>
      <c r="F2155" t="s">
        <v>1612</v>
      </c>
      <c r="I2155" t="s">
        <v>1077</v>
      </c>
      <c r="M2155" t="s">
        <v>209</v>
      </c>
      <c r="N2155" t="s">
        <v>228</v>
      </c>
      <c r="O2155" t="s">
        <v>6530</v>
      </c>
      <c r="P2155" t="s">
        <v>6740</v>
      </c>
      <c r="Q2155" t="str">
        <f>IF($C2155="","",IFERROR(VLOOKUP($C2155,sources!$A$2:$N$200,2,FALSE()),"?"))</f>
        <v>Administrative</v>
      </c>
      <c r="S2155" t="str">
        <f>IF($C2155="","",IFERROR(VLOOKUP($C2155,sources!$A$2:$N$200,9,FALSE()),"?"))</f>
        <v>US official</v>
      </c>
    </row>
    <row r="2156" spans="1:19" x14ac:dyDescent="0.2">
      <c r="A2156" t="s">
        <v>6741</v>
      </c>
      <c r="B2156" t="s">
        <v>978</v>
      </c>
      <c r="C2156" t="s">
        <v>1277</v>
      </c>
      <c r="D2156" t="s">
        <v>1666</v>
      </c>
      <c r="E2156" t="s">
        <v>979</v>
      </c>
      <c r="F2156" t="s">
        <v>1612</v>
      </c>
      <c r="I2156" t="s">
        <v>1077</v>
      </c>
      <c r="M2156" t="s">
        <v>209</v>
      </c>
      <c r="N2156" t="s">
        <v>228</v>
      </c>
      <c r="O2156" t="s">
        <v>6530</v>
      </c>
      <c r="P2156" t="s">
        <v>6742</v>
      </c>
      <c r="Q2156" t="str">
        <f>IF($C2156="","",IFERROR(VLOOKUP($C2156,sources!$A$2:$N$200,2,FALSE()),"?"))</f>
        <v>Administrative</v>
      </c>
      <c r="S2156" t="str">
        <f>IF($C2156="","",IFERROR(VLOOKUP($C2156,sources!$A$2:$N$200,9,FALSE()),"?"))</f>
        <v>US official</v>
      </c>
    </row>
    <row r="2157" spans="1:19" x14ac:dyDescent="0.2">
      <c r="A2157" t="s">
        <v>6743</v>
      </c>
      <c r="B2157" t="s">
        <v>981</v>
      </c>
      <c r="C2157" t="s">
        <v>1277</v>
      </c>
      <c r="D2157" t="s">
        <v>1666</v>
      </c>
      <c r="E2157" t="s">
        <v>982</v>
      </c>
      <c r="F2157" t="s">
        <v>1612</v>
      </c>
      <c r="I2157" t="s">
        <v>1077</v>
      </c>
      <c r="M2157" t="s">
        <v>209</v>
      </c>
      <c r="N2157" t="s">
        <v>228</v>
      </c>
      <c r="O2157" t="s">
        <v>6530</v>
      </c>
      <c r="P2157" t="s">
        <v>6744</v>
      </c>
      <c r="Q2157" t="str">
        <f>IF($C2157="","",IFERROR(VLOOKUP($C2157,sources!$A$2:$N$200,2,FALSE()),"?"))</f>
        <v>Administrative</v>
      </c>
      <c r="S2157" t="str">
        <f>IF($C2157="","",IFERROR(VLOOKUP($C2157,sources!$A$2:$N$200,9,FALSE()),"?"))</f>
        <v>US official</v>
      </c>
    </row>
    <row r="2158" spans="1:19" x14ac:dyDescent="0.2">
      <c r="A2158" t="s">
        <v>6745</v>
      </c>
      <c r="B2158" t="s">
        <v>985</v>
      </c>
      <c r="C2158" t="s">
        <v>1277</v>
      </c>
      <c r="D2158" t="s">
        <v>1585</v>
      </c>
      <c r="E2158" t="s">
        <v>5308</v>
      </c>
      <c r="F2158" t="s">
        <v>1612</v>
      </c>
      <c r="I2158" t="s">
        <v>1077</v>
      </c>
      <c r="M2158" t="s">
        <v>209</v>
      </c>
      <c r="N2158" t="s">
        <v>209</v>
      </c>
      <c r="O2158" t="s">
        <v>6530</v>
      </c>
      <c r="P2158" t="s">
        <v>6746</v>
      </c>
      <c r="Q2158" t="str">
        <f>IF($C2158="","",IFERROR(VLOOKUP($C2158,sources!$A$2:$N$200,2,FALSE()),"?"))</f>
        <v>Administrative</v>
      </c>
      <c r="S2158" t="str">
        <f>IF($C2158="","",IFERROR(VLOOKUP($C2158,sources!$A$2:$N$200,9,FALSE()),"?"))</f>
        <v>US official</v>
      </c>
    </row>
    <row r="2159" spans="1:19" x14ac:dyDescent="0.2">
      <c r="A2159" t="s">
        <v>6747</v>
      </c>
      <c r="B2159" t="s">
        <v>990</v>
      </c>
      <c r="C2159" t="s">
        <v>1277</v>
      </c>
      <c r="D2159" t="s">
        <v>1599</v>
      </c>
      <c r="E2159" t="s">
        <v>991</v>
      </c>
      <c r="F2159" t="s">
        <v>1612</v>
      </c>
      <c r="I2159" t="s">
        <v>1077</v>
      </c>
      <c r="K2159">
        <v>1919</v>
      </c>
      <c r="L2159">
        <v>1964</v>
      </c>
      <c r="M2159" t="s">
        <v>228</v>
      </c>
      <c r="N2159" t="s">
        <v>222</v>
      </c>
      <c r="O2159" t="s">
        <v>6530</v>
      </c>
      <c r="P2159" t="s">
        <v>6748</v>
      </c>
      <c r="Q2159" t="str">
        <f>IF($C2159="","",IFERROR(VLOOKUP($C2159,sources!$A$2:$N$200,2,FALSE()),"?"))</f>
        <v>Administrative</v>
      </c>
      <c r="S2159" t="str">
        <f>IF($C2159="","",IFERROR(VLOOKUP($C2159,sources!$A$2:$N$200,9,FALSE()),"?"))</f>
        <v>US official</v>
      </c>
    </row>
    <row r="2160" spans="1:19" x14ac:dyDescent="0.2">
      <c r="A2160" t="s">
        <v>6749</v>
      </c>
      <c r="B2160" t="s">
        <v>993</v>
      </c>
      <c r="C2160" t="s">
        <v>1277</v>
      </c>
      <c r="D2160" t="s">
        <v>1666</v>
      </c>
      <c r="E2160" t="s">
        <v>6622</v>
      </c>
      <c r="F2160" t="s">
        <v>1612</v>
      </c>
      <c r="I2160" t="s">
        <v>1077</v>
      </c>
      <c r="M2160" t="s">
        <v>209</v>
      </c>
      <c r="N2160" t="s">
        <v>228</v>
      </c>
      <c r="O2160" t="s">
        <v>6530</v>
      </c>
      <c r="P2160" t="s">
        <v>6750</v>
      </c>
      <c r="Q2160" t="str">
        <f>IF($C2160="","",IFERROR(VLOOKUP($C2160,sources!$A$2:$N$200,2,FALSE()),"?"))</f>
        <v>Administrative</v>
      </c>
      <c r="S2160" t="str">
        <f>IF($C2160="","",IFERROR(VLOOKUP($C2160,sources!$A$2:$N$200,9,FALSE()),"?"))</f>
        <v>US official</v>
      </c>
    </row>
    <row r="2161" spans="1:19" x14ac:dyDescent="0.2">
      <c r="A2161" t="s">
        <v>6751</v>
      </c>
      <c r="B2161" t="s">
        <v>998</v>
      </c>
      <c r="C2161" t="s">
        <v>1277</v>
      </c>
      <c r="D2161" t="s">
        <v>1666</v>
      </c>
      <c r="E2161" t="s">
        <v>1000</v>
      </c>
      <c r="F2161" t="s">
        <v>1612</v>
      </c>
      <c r="I2161" t="s">
        <v>1077</v>
      </c>
      <c r="M2161" t="s">
        <v>209</v>
      </c>
      <c r="N2161" t="s">
        <v>228</v>
      </c>
      <c r="O2161" t="s">
        <v>6530</v>
      </c>
      <c r="P2161" t="s">
        <v>6752</v>
      </c>
      <c r="Q2161" t="str">
        <f>IF($C2161="","",IFERROR(VLOOKUP($C2161,sources!$A$2:$N$200,2,FALSE()),"?"))</f>
        <v>Administrative</v>
      </c>
      <c r="S2161" t="str">
        <f>IF($C2161="","",IFERROR(VLOOKUP($C2161,sources!$A$2:$N$200,9,FALSE()),"?"))</f>
        <v>US official</v>
      </c>
    </row>
    <row r="2162" spans="1:19" x14ac:dyDescent="0.2">
      <c r="A2162" t="s">
        <v>6753</v>
      </c>
      <c r="B2162" t="s">
        <v>1002</v>
      </c>
      <c r="C2162" t="s">
        <v>1277</v>
      </c>
      <c r="D2162" t="s">
        <v>1666</v>
      </c>
      <c r="E2162" t="s">
        <v>1004</v>
      </c>
      <c r="F2162" t="s">
        <v>1612</v>
      </c>
      <c r="I2162" t="s">
        <v>1077</v>
      </c>
      <c r="M2162" t="s">
        <v>209</v>
      </c>
      <c r="N2162" t="s">
        <v>228</v>
      </c>
      <c r="O2162" t="s">
        <v>6530</v>
      </c>
      <c r="P2162" t="s">
        <v>6754</v>
      </c>
      <c r="Q2162" t="str">
        <f>IF($C2162="","",IFERROR(VLOOKUP($C2162,sources!$A$2:$N$200,2,FALSE()),"?"))</f>
        <v>Administrative</v>
      </c>
      <c r="S2162" t="str">
        <f>IF($C2162="","",IFERROR(VLOOKUP($C2162,sources!$A$2:$N$200,9,FALSE()),"?"))</f>
        <v>US official</v>
      </c>
    </row>
    <row r="2163" spans="1:19" x14ac:dyDescent="0.2">
      <c r="A2163" t="s">
        <v>6755</v>
      </c>
      <c r="B2163" t="s">
        <v>805</v>
      </c>
      <c r="C2163" t="s">
        <v>1277</v>
      </c>
      <c r="D2163" t="s">
        <v>1666</v>
      </c>
      <c r="E2163" t="s">
        <v>806</v>
      </c>
      <c r="F2163" t="s">
        <v>1612</v>
      </c>
      <c r="I2163" t="s">
        <v>1077</v>
      </c>
      <c r="M2163" t="s">
        <v>209</v>
      </c>
      <c r="N2163" t="s">
        <v>209</v>
      </c>
      <c r="O2163" t="s">
        <v>6530</v>
      </c>
      <c r="P2163" t="s">
        <v>6756</v>
      </c>
      <c r="Q2163" t="str">
        <f>IF($C2163="","",IFERROR(VLOOKUP($C2163,sources!$A$2:$N$200,2,FALSE()),"?"))</f>
        <v>Administrative</v>
      </c>
      <c r="S2163" t="str">
        <f>IF($C2163="","",IFERROR(VLOOKUP($C2163,sources!$A$2:$N$200,9,FALSE()),"?"))</f>
        <v>US official</v>
      </c>
    </row>
    <row r="2164" spans="1:19" x14ac:dyDescent="0.2">
      <c r="A2164" t="s">
        <v>6757</v>
      </c>
      <c r="B2164" t="s">
        <v>1013</v>
      </c>
      <c r="C2164" t="s">
        <v>1277</v>
      </c>
      <c r="D2164" t="s">
        <v>1666</v>
      </c>
      <c r="E2164" t="s">
        <v>1014</v>
      </c>
      <c r="F2164" t="s">
        <v>1612</v>
      </c>
      <c r="I2164" t="s">
        <v>1077</v>
      </c>
      <c r="M2164" t="s">
        <v>209</v>
      </c>
      <c r="N2164" t="s">
        <v>228</v>
      </c>
      <c r="O2164" t="s">
        <v>6530</v>
      </c>
      <c r="P2164" t="s">
        <v>6758</v>
      </c>
      <c r="Q2164" t="str">
        <f>IF($C2164="","",IFERROR(VLOOKUP($C2164,sources!$A$2:$N$200,2,FALSE()),"?"))</f>
        <v>Administrative</v>
      </c>
      <c r="S2164" t="str">
        <f>IF($C2164="","",IFERROR(VLOOKUP($C2164,sources!$A$2:$N$200,9,FALSE()),"?"))</f>
        <v>US official</v>
      </c>
    </row>
    <row r="2165" spans="1:19" x14ac:dyDescent="0.2">
      <c r="A2165" t="s">
        <v>6759</v>
      </c>
      <c r="B2165" t="s">
        <v>1016</v>
      </c>
      <c r="C2165" t="s">
        <v>1277</v>
      </c>
      <c r="D2165" t="s">
        <v>1599</v>
      </c>
      <c r="E2165" t="s">
        <v>1017</v>
      </c>
      <c r="F2165" t="s">
        <v>1612</v>
      </c>
      <c r="I2165" t="s">
        <v>1077</v>
      </c>
      <c r="K2165">
        <v>1923</v>
      </c>
      <c r="L2165">
        <v>1923</v>
      </c>
      <c r="M2165" t="s">
        <v>228</v>
      </c>
      <c r="N2165" t="s">
        <v>222</v>
      </c>
      <c r="O2165" t="s">
        <v>6530</v>
      </c>
      <c r="P2165" t="s">
        <v>6760</v>
      </c>
      <c r="Q2165" t="str">
        <f>IF($C2165="","",IFERROR(VLOOKUP($C2165,sources!$A$2:$N$200,2,FALSE()),"?"))</f>
        <v>Administrative</v>
      </c>
      <c r="S2165" t="str">
        <f>IF($C2165="","",IFERROR(VLOOKUP($C2165,sources!$A$2:$N$200,9,FALSE()),"?"))</f>
        <v>US official</v>
      </c>
    </row>
    <row r="2166" spans="1:19" x14ac:dyDescent="0.2">
      <c r="A2166" t="s">
        <v>6761</v>
      </c>
      <c r="B2166" t="s">
        <v>1021</v>
      </c>
      <c r="C2166" t="s">
        <v>1277</v>
      </c>
      <c r="D2166" t="s">
        <v>1666</v>
      </c>
      <c r="E2166" t="s">
        <v>1022</v>
      </c>
      <c r="F2166" t="s">
        <v>1612</v>
      </c>
      <c r="I2166" t="s">
        <v>1077</v>
      </c>
      <c r="M2166" t="s">
        <v>209</v>
      </c>
      <c r="N2166" t="s">
        <v>228</v>
      </c>
      <c r="O2166" t="s">
        <v>6530</v>
      </c>
      <c r="P2166" t="s">
        <v>6762</v>
      </c>
      <c r="Q2166" t="str">
        <f>IF($C2166="","",IFERROR(VLOOKUP($C2166,sources!$A$2:$N$200,2,FALSE()),"?"))</f>
        <v>Administrative</v>
      </c>
      <c r="S2166" t="str">
        <f>IF($C2166="","",IFERROR(VLOOKUP($C2166,sources!$A$2:$N$200,9,FALSE()),"?"))</f>
        <v>US official</v>
      </c>
    </row>
    <row r="2167" spans="1:19" x14ac:dyDescent="0.2">
      <c r="A2167" t="s">
        <v>6763</v>
      </c>
      <c r="B2167" t="s">
        <v>1027</v>
      </c>
      <c r="C2167" t="s">
        <v>1277</v>
      </c>
      <c r="D2167" t="s">
        <v>1666</v>
      </c>
      <c r="E2167" t="s">
        <v>873</v>
      </c>
      <c r="F2167" t="s">
        <v>1612</v>
      </c>
      <c r="I2167" t="s">
        <v>1077</v>
      </c>
      <c r="M2167" t="s">
        <v>209</v>
      </c>
      <c r="N2167" t="s">
        <v>228</v>
      </c>
      <c r="O2167" t="s">
        <v>6530</v>
      </c>
      <c r="P2167" t="s">
        <v>6684</v>
      </c>
      <c r="Q2167" t="str">
        <f>IF($C2167="","",IFERROR(VLOOKUP($C2167,sources!$A$2:$N$200,2,FALSE()),"?"))</f>
        <v>Administrative</v>
      </c>
      <c r="S2167" t="str">
        <f>IF($C2167="","",IFERROR(VLOOKUP($C2167,sources!$A$2:$N$200,9,FALSE()),"?"))</f>
        <v>US official</v>
      </c>
    </row>
    <row r="2168" spans="1:19" x14ac:dyDescent="0.2">
      <c r="A2168" t="s">
        <v>6764</v>
      </c>
      <c r="B2168" t="s">
        <v>1031</v>
      </c>
      <c r="C2168" t="s">
        <v>1277</v>
      </c>
      <c r="D2168" t="s">
        <v>1666</v>
      </c>
      <c r="E2168" t="s">
        <v>1032</v>
      </c>
      <c r="F2168" t="s">
        <v>1612</v>
      </c>
      <c r="I2168" t="s">
        <v>1077</v>
      </c>
      <c r="M2168" t="s">
        <v>209</v>
      </c>
      <c r="N2168" t="s">
        <v>228</v>
      </c>
      <c r="O2168" t="s">
        <v>6530</v>
      </c>
      <c r="P2168" t="s">
        <v>6765</v>
      </c>
      <c r="Q2168" t="str">
        <f>IF($C2168="","",IFERROR(VLOOKUP($C2168,sources!$A$2:$N$200,2,FALSE()),"?"))</f>
        <v>Administrative</v>
      </c>
      <c r="S2168" t="str">
        <f>IF($C2168="","",IFERROR(VLOOKUP($C2168,sources!$A$2:$N$200,9,FALSE()),"?"))</f>
        <v>US official</v>
      </c>
    </row>
    <row r="2169" spans="1:19" x14ac:dyDescent="0.2">
      <c r="A2169" t="s">
        <v>6766</v>
      </c>
      <c r="B2169" t="s">
        <v>921</v>
      </c>
      <c r="C2169" t="s">
        <v>1277</v>
      </c>
      <c r="D2169" t="s">
        <v>1666</v>
      </c>
      <c r="E2169" t="s">
        <v>923</v>
      </c>
      <c r="F2169" t="s">
        <v>1612</v>
      </c>
      <c r="I2169" t="s">
        <v>1077</v>
      </c>
      <c r="M2169" t="s">
        <v>209</v>
      </c>
      <c r="N2169" t="s">
        <v>228</v>
      </c>
      <c r="O2169" t="s">
        <v>6530</v>
      </c>
      <c r="P2169" t="s">
        <v>6767</v>
      </c>
      <c r="Q2169" t="str">
        <f>IF($C2169="","",IFERROR(VLOOKUP($C2169,sources!$A$2:$N$200,2,FALSE()),"?"))</f>
        <v>Administrative</v>
      </c>
      <c r="S2169" t="str">
        <f>IF($C2169="","",IFERROR(VLOOKUP($C2169,sources!$A$2:$N$200,9,FALSE()),"?"))</f>
        <v>US official</v>
      </c>
    </row>
    <row r="2170" spans="1:19" x14ac:dyDescent="0.2">
      <c r="A2170" t="s">
        <v>6768</v>
      </c>
      <c r="B2170" t="s">
        <v>1036</v>
      </c>
      <c r="C2170" t="s">
        <v>1277</v>
      </c>
      <c r="D2170" t="s">
        <v>1666</v>
      </c>
      <c r="E2170" t="s">
        <v>1037</v>
      </c>
      <c r="F2170" t="s">
        <v>1612</v>
      </c>
      <c r="I2170" t="s">
        <v>1077</v>
      </c>
      <c r="M2170" t="s">
        <v>209</v>
      </c>
      <c r="N2170" t="s">
        <v>228</v>
      </c>
      <c r="O2170" t="s">
        <v>6530</v>
      </c>
      <c r="P2170" t="s">
        <v>6769</v>
      </c>
      <c r="Q2170" t="str">
        <f>IF($C2170="","",IFERROR(VLOOKUP($C2170,sources!$A$2:$N$200,2,FALSE()),"?"))</f>
        <v>Administrative</v>
      </c>
      <c r="S2170" t="str">
        <f>IF($C2170="","",IFERROR(VLOOKUP($C2170,sources!$A$2:$N$200,9,FALSE()),"?"))</f>
        <v>US official</v>
      </c>
    </row>
    <row r="2171" spans="1:19" x14ac:dyDescent="0.2">
      <c r="A2171" t="s">
        <v>6770</v>
      </c>
      <c r="B2171" t="s">
        <v>1040</v>
      </c>
      <c r="C2171" t="s">
        <v>1277</v>
      </c>
      <c r="D2171" t="s">
        <v>1666</v>
      </c>
      <c r="E2171" t="s">
        <v>1041</v>
      </c>
      <c r="F2171" t="s">
        <v>1612</v>
      </c>
      <c r="I2171" t="s">
        <v>1077</v>
      </c>
      <c r="M2171" t="s">
        <v>209</v>
      </c>
      <c r="N2171" t="s">
        <v>228</v>
      </c>
      <c r="O2171" t="s">
        <v>6530</v>
      </c>
      <c r="P2171" t="s">
        <v>6771</v>
      </c>
      <c r="Q2171" t="str">
        <f>IF($C2171="","",IFERROR(VLOOKUP($C2171,sources!$A$2:$N$200,2,FALSE()),"?"))</f>
        <v>Administrative</v>
      </c>
      <c r="S2171" t="str">
        <f>IF($C2171="","",IFERROR(VLOOKUP($C2171,sources!$A$2:$N$200,9,FALSE()),"?"))</f>
        <v>US official</v>
      </c>
    </row>
    <row r="2172" spans="1:19" x14ac:dyDescent="0.2">
      <c r="A2172" t="s">
        <v>6772</v>
      </c>
      <c r="B2172" t="s">
        <v>925</v>
      </c>
      <c r="C2172" t="s">
        <v>1277</v>
      </c>
      <c r="D2172" t="s">
        <v>1666</v>
      </c>
      <c r="E2172" t="s">
        <v>927</v>
      </c>
      <c r="F2172" t="s">
        <v>1612</v>
      </c>
      <c r="I2172" t="s">
        <v>1077</v>
      </c>
      <c r="M2172" t="s">
        <v>209</v>
      </c>
      <c r="N2172" t="s">
        <v>209</v>
      </c>
      <c r="O2172" t="s">
        <v>6530</v>
      </c>
      <c r="P2172" t="s">
        <v>6773</v>
      </c>
      <c r="Q2172" t="str">
        <f>IF($C2172="","",IFERROR(VLOOKUP($C2172,sources!$A$2:$N$200,2,FALSE()),"?"))</f>
        <v>Administrative</v>
      </c>
      <c r="S2172" t="str">
        <f>IF($C2172="","",IFERROR(VLOOKUP($C2172,sources!$A$2:$N$200,9,FALSE()),"?"))</f>
        <v>US official</v>
      </c>
    </row>
    <row r="2173" spans="1:19" x14ac:dyDescent="0.2">
      <c r="A2173" t="s">
        <v>6774</v>
      </c>
      <c r="B2173" t="s">
        <v>792</v>
      </c>
      <c r="C2173" t="s">
        <v>1403</v>
      </c>
      <c r="D2173" t="s">
        <v>1666</v>
      </c>
      <c r="E2173" t="s">
        <v>4619</v>
      </c>
      <c r="F2173" t="s">
        <v>1612</v>
      </c>
      <c r="I2173" t="s">
        <v>1077</v>
      </c>
      <c r="N2173" t="s">
        <v>228</v>
      </c>
      <c r="O2173" t="s">
        <v>6530</v>
      </c>
      <c r="P2173" t="s">
        <v>6775</v>
      </c>
      <c r="Q2173" t="str">
        <f>IF($C2173="","",IFERROR(VLOOKUP($C2173,sources!$A$2:$N$200,2,FALSE()),"?"))</f>
        <v>Newspaper</v>
      </c>
      <c r="S2173" t="str">
        <f>IF($C2173="","",IFERROR(VLOOKUP($C2173,sources!$A$2:$N$200,9,FALSE()),"?"))</f>
        <v>Caribbean community</v>
      </c>
    </row>
    <row r="2174" spans="1:19" x14ac:dyDescent="0.2">
      <c r="A2174" t="s">
        <v>6776</v>
      </c>
      <c r="B2174" t="s">
        <v>805</v>
      </c>
      <c r="C2174" t="s">
        <v>1403</v>
      </c>
      <c r="D2174" t="s">
        <v>1599</v>
      </c>
      <c r="E2174" t="s">
        <v>806</v>
      </c>
      <c r="F2174" t="s">
        <v>1612</v>
      </c>
      <c r="I2174" t="s">
        <v>1077</v>
      </c>
      <c r="M2174" t="s">
        <v>209</v>
      </c>
      <c r="N2174" t="s">
        <v>209</v>
      </c>
      <c r="O2174" t="s">
        <v>6530</v>
      </c>
      <c r="P2174" t="s">
        <v>6777</v>
      </c>
      <c r="Q2174" t="str">
        <f>IF($C2174="","",IFERROR(VLOOKUP($C2174,sources!$A$2:$N$200,2,FALSE()),"?"))</f>
        <v>Newspaper</v>
      </c>
      <c r="S2174" t="str">
        <f>IF($C2174="","",IFERROR(VLOOKUP($C2174,sources!$A$2:$N$200,9,FALSE()),"?"))</f>
        <v>Caribbean community</v>
      </c>
    </row>
    <row r="2175" spans="1:19" x14ac:dyDescent="0.2">
      <c r="A2175" t="s">
        <v>6778</v>
      </c>
      <c r="B2175" t="s">
        <v>810</v>
      </c>
      <c r="C2175" t="s">
        <v>1403</v>
      </c>
      <c r="D2175" t="s">
        <v>1666</v>
      </c>
      <c r="E2175" t="s">
        <v>6641</v>
      </c>
      <c r="F2175" t="s">
        <v>1612</v>
      </c>
      <c r="I2175" t="s">
        <v>1077</v>
      </c>
      <c r="N2175" t="s">
        <v>228</v>
      </c>
      <c r="O2175" t="s">
        <v>6530</v>
      </c>
      <c r="P2175" t="s">
        <v>6779</v>
      </c>
      <c r="Q2175" t="str">
        <f>IF($C2175="","",IFERROR(VLOOKUP($C2175,sources!$A$2:$N$200,2,FALSE()),"?"))</f>
        <v>Newspaper</v>
      </c>
      <c r="S2175" t="str">
        <f>IF($C2175="","",IFERROR(VLOOKUP($C2175,sources!$A$2:$N$200,9,FALSE()),"?"))</f>
        <v>Caribbean community</v>
      </c>
    </row>
    <row r="2176" spans="1:19" x14ac:dyDescent="0.2">
      <c r="A2176" t="s">
        <v>6780</v>
      </c>
      <c r="B2176" t="s">
        <v>815</v>
      </c>
      <c r="C2176" t="s">
        <v>1403</v>
      </c>
      <c r="D2176" t="s">
        <v>1666</v>
      </c>
      <c r="E2176" t="s">
        <v>6658</v>
      </c>
      <c r="F2176" t="s">
        <v>1612</v>
      </c>
      <c r="I2176" t="s">
        <v>1077</v>
      </c>
      <c r="N2176" t="s">
        <v>228</v>
      </c>
      <c r="O2176" t="s">
        <v>6530</v>
      </c>
      <c r="P2176" t="s">
        <v>6781</v>
      </c>
      <c r="Q2176" t="str">
        <f>IF($C2176="","",IFERROR(VLOOKUP($C2176,sources!$A$2:$N$200,2,FALSE()),"?"))</f>
        <v>Newspaper</v>
      </c>
      <c r="S2176" t="str">
        <f>IF($C2176="","",IFERROR(VLOOKUP($C2176,sources!$A$2:$N$200,9,FALSE()),"?"))</f>
        <v>Caribbean community</v>
      </c>
    </row>
    <row r="2177" spans="1:19" x14ac:dyDescent="0.2">
      <c r="A2177" t="s">
        <v>6782</v>
      </c>
      <c r="B2177" t="s">
        <v>820</v>
      </c>
      <c r="C2177" t="s">
        <v>1403</v>
      </c>
      <c r="D2177" t="s">
        <v>1599</v>
      </c>
      <c r="E2177" t="s">
        <v>821</v>
      </c>
      <c r="F2177" t="s">
        <v>1612</v>
      </c>
      <c r="I2177" t="s">
        <v>1077</v>
      </c>
      <c r="M2177" t="s">
        <v>209</v>
      </c>
      <c r="N2177" t="s">
        <v>209</v>
      </c>
      <c r="O2177" t="s">
        <v>6530</v>
      </c>
      <c r="P2177" t="s">
        <v>6783</v>
      </c>
      <c r="Q2177" t="str">
        <f>IF($C2177="","",IFERROR(VLOOKUP($C2177,sources!$A$2:$N$200,2,FALSE()),"?"))</f>
        <v>Newspaper</v>
      </c>
      <c r="S2177" t="str">
        <f>IF($C2177="","",IFERROR(VLOOKUP($C2177,sources!$A$2:$N$200,9,FALSE()),"?"))</f>
        <v>Caribbean community</v>
      </c>
    </row>
    <row r="2178" spans="1:19" x14ac:dyDescent="0.2">
      <c r="A2178" t="s">
        <v>6784</v>
      </c>
      <c r="B2178" t="s">
        <v>824</v>
      </c>
      <c r="C2178" t="s">
        <v>1403</v>
      </c>
      <c r="D2178" t="s">
        <v>1666</v>
      </c>
      <c r="E2178" t="s">
        <v>825</v>
      </c>
      <c r="F2178" t="s">
        <v>1612</v>
      </c>
      <c r="I2178" t="s">
        <v>1077</v>
      </c>
      <c r="N2178" t="s">
        <v>228</v>
      </c>
      <c r="O2178" t="s">
        <v>6530</v>
      </c>
      <c r="P2178" t="s">
        <v>6785</v>
      </c>
      <c r="Q2178" t="str">
        <f>IF($C2178="","",IFERROR(VLOOKUP($C2178,sources!$A$2:$N$200,2,FALSE()),"?"))</f>
        <v>Newspaper</v>
      </c>
      <c r="S2178" t="str">
        <f>IF($C2178="","",IFERROR(VLOOKUP($C2178,sources!$A$2:$N$200,9,FALSE()),"?"))</f>
        <v>Caribbean community</v>
      </c>
    </row>
    <row r="2179" spans="1:19" x14ac:dyDescent="0.2">
      <c r="A2179" t="s">
        <v>6786</v>
      </c>
      <c r="B2179" t="s">
        <v>827</v>
      </c>
      <c r="C2179" t="s">
        <v>1403</v>
      </c>
      <c r="D2179" t="s">
        <v>1599</v>
      </c>
      <c r="E2179" t="s">
        <v>4888</v>
      </c>
      <c r="F2179" t="s">
        <v>1612</v>
      </c>
      <c r="I2179" t="s">
        <v>1077</v>
      </c>
      <c r="M2179" t="s">
        <v>209</v>
      </c>
      <c r="N2179" t="s">
        <v>209</v>
      </c>
      <c r="O2179" t="s">
        <v>6530</v>
      </c>
      <c r="P2179" t="s">
        <v>6787</v>
      </c>
      <c r="Q2179" t="str">
        <f>IF($C2179="","",IFERROR(VLOOKUP($C2179,sources!$A$2:$N$200,2,FALSE()),"?"))</f>
        <v>Newspaper</v>
      </c>
      <c r="S2179" t="str">
        <f>IF($C2179="","",IFERROR(VLOOKUP($C2179,sources!$A$2:$N$200,9,FALSE()),"?"))</f>
        <v>Caribbean community</v>
      </c>
    </row>
    <row r="2180" spans="1:19" x14ac:dyDescent="0.2">
      <c r="A2180" t="s">
        <v>6788</v>
      </c>
      <c r="B2180" t="s">
        <v>830</v>
      </c>
      <c r="C2180" t="s">
        <v>1403</v>
      </c>
      <c r="D2180" t="s">
        <v>1666</v>
      </c>
      <c r="E2180" t="s">
        <v>831</v>
      </c>
      <c r="F2180" t="s">
        <v>1612</v>
      </c>
      <c r="I2180" t="s">
        <v>1077</v>
      </c>
      <c r="N2180" t="s">
        <v>228</v>
      </c>
      <c r="O2180" t="s">
        <v>6530</v>
      </c>
      <c r="P2180" t="s">
        <v>6789</v>
      </c>
      <c r="Q2180" t="str">
        <f>IF($C2180="","",IFERROR(VLOOKUP($C2180,sources!$A$2:$N$200,2,FALSE()),"?"))</f>
        <v>Newspaper</v>
      </c>
      <c r="S2180" t="str">
        <f>IF($C2180="","",IFERROR(VLOOKUP($C2180,sources!$A$2:$N$200,9,FALSE()),"?"))</f>
        <v>Caribbean community</v>
      </c>
    </row>
    <row r="2181" spans="1:19" x14ac:dyDescent="0.2">
      <c r="A2181" t="s">
        <v>6790</v>
      </c>
      <c r="B2181" t="s">
        <v>851</v>
      </c>
      <c r="C2181" t="s">
        <v>1403</v>
      </c>
      <c r="D2181" t="s">
        <v>1599</v>
      </c>
      <c r="E2181" t="s">
        <v>852</v>
      </c>
      <c r="F2181" t="s">
        <v>1612</v>
      </c>
      <c r="I2181" t="s">
        <v>1077</v>
      </c>
      <c r="M2181" t="s">
        <v>209</v>
      </c>
      <c r="N2181" t="s">
        <v>209</v>
      </c>
      <c r="O2181" t="s">
        <v>6530</v>
      </c>
      <c r="P2181" t="s">
        <v>6791</v>
      </c>
      <c r="Q2181" t="str">
        <f>IF($C2181="","",IFERROR(VLOOKUP($C2181,sources!$A$2:$N$200,2,FALSE()),"?"))</f>
        <v>Newspaper</v>
      </c>
      <c r="S2181" t="str">
        <f>IF($C2181="","",IFERROR(VLOOKUP($C2181,sources!$A$2:$N$200,9,FALSE()),"?"))</f>
        <v>Caribbean community</v>
      </c>
    </row>
    <row r="2182" spans="1:19" x14ac:dyDescent="0.2">
      <c r="A2182" t="s">
        <v>6792</v>
      </c>
      <c r="B2182" t="s">
        <v>854</v>
      </c>
      <c r="C2182" t="s">
        <v>1403</v>
      </c>
      <c r="D2182" t="s">
        <v>1666</v>
      </c>
      <c r="E2182" t="s">
        <v>523</v>
      </c>
      <c r="F2182" t="s">
        <v>1612</v>
      </c>
      <c r="I2182" t="s">
        <v>1077</v>
      </c>
      <c r="N2182" t="s">
        <v>228</v>
      </c>
      <c r="O2182" t="s">
        <v>6530</v>
      </c>
      <c r="P2182" t="s">
        <v>6793</v>
      </c>
      <c r="Q2182" t="str">
        <f>IF($C2182="","",IFERROR(VLOOKUP($C2182,sources!$A$2:$N$200,2,FALSE()),"?"))</f>
        <v>Newspaper</v>
      </c>
      <c r="S2182" t="str">
        <f>IF($C2182="","",IFERROR(VLOOKUP($C2182,sources!$A$2:$N$200,9,FALSE()),"?"))</f>
        <v>Caribbean community</v>
      </c>
    </row>
    <row r="2183" spans="1:19" x14ac:dyDescent="0.2">
      <c r="A2183" t="s">
        <v>6794</v>
      </c>
      <c r="B2183" t="s">
        <v>875</v>
      </c>
      <c r="C2183" t="s">
        <v>1403</v>
      </c>
      <c r="D2183" t="s">
        <v>1666</v>
      </c>
      <c r="E2183" t="s">
        <v>6686</v>
      </c>
      <c r="F2183" t="s">
        <v>1612</v>
      </c>
      <c r="I2183" t="s">
        <v>1077</v>
      </c>
      <c r="N2183" t="s">
        <v>228</v>
      </c>
      <c r="O2183" t="s">
        <v>6530</v>
      </c>
      <c r="P2183" t="s">
        <v>6795</v>
      </c>
      <c r="Q2183" t="str">
        <f>IF($C2183="","",IFERROR(VLOOKUP($C2183,sources!$A$2:$N$200,2,FALSE()),"?"))</f>
        <v>Newspaper</v>
      </c>
      <c r="S2183" t="str">
        <f>IF($C2183="","",IFERROR(VLOOKUP($C2183,sources!$A$2:$N$200,9,FALSE()),"?"))</f>
        <v>Caribbean community</v>
      </c>
    </row>
    <row r="2184" spans="1:19" x14ac:dyDescent="0.2">
      <c r="A2184" t="s">
        <v>6796</v>
      </c>
      <c r="B2184" t="s">
        <v>879</v>
      </c>
      <c r="C2184" t="s">
        <v>1403</v>
      </c>
      <c r="D2184" t="s">
        <v>1666</v>
      </c>
      <c r="E2184" t="s">
        <v>4832</v>
      </c>
      <c r="F2184" t="s">
        <v>1612</v>
      </c>
      <c r="I2184" t="s">
        <v>1077</v>
      </c>
      <c r="N2184" t="s">
        <v>228</v>
      </c>
      <c r="O2184" t="s">
        <v>6530</v>
      </c>
      <c r="P2184" t="s">
        <v>6797</v>
      </c>
      <c r="Q2184" t="str">
        <f>IF($C2184="","",IFERROR(VLOOKUP($C2184,sources!$A$2:$N$200,2,FALSE()),"?"))</f>
        <v>Newspaper</v>
      </c>
      <c r="S2184" t="str">
        <f>IF($C2184="","",IFERROR(VLOOKUP($C2184,sources!$A$2:$N$200,9,FALSE()),"?"))</f>
        <v>Caribbean community</v>
      </c>
    </row>
    <row r="2185" spans="1:19" x14ac:dyDescent="0.2">
      <c r="A2185" t="s">
        <v>6798</v>
      </c>
      <c r="B2185" t="s">
        <v>884</v>
      </c>
      <c r="C2185" t="s">
        <v>1403</v>
      </c>
      <c r="D2185" t="s">
        <v>1666</v>
      </c>
      <c r="E2185" t="s">
        <v>4835</v>
      </c>
      <c r="F2185" t="s">
        <v>1612</v>
      </c>
      <c r="I2185" t="s">
        <v>1077</v>
      </c>
      <c r="N2185" t="s">
        <v>228</v>
      </c>
      <c r="O2185" t="s">
        <v>6530</v>
      </c>
      <c r="P2185" t="s">
        <v>6799</v>
      </c>
      <c r="Q2185" t="str">
        <f>IF($C2185="","",IFERROR(VLOOKUP($C2185,sources!$A$2:$N$200,2,FALSE()),"?"))</f>
        <v>Newspaper</v>
      </c>
      <c r="S2185" t="str">
        <f>IF($C2185="","",IFERROR(VLOOKUP($C2185,sources!$A$2:$N$200,9,FALSE()),"?"))</f>
        <v>Caribbean community</v>
      </c>
    </row>
    <row r="2186" spans="1:19" x14ac:dyDescent="0.2">
      <c r="A2186" t="s">
        <v>6800</v>
      </c>
      <c r="B2186" t="s">
        <v>888</v>
      </c>
      <c r="C2186" t="s">
        <v>1403</v>
      </c>
      <c r="D2186" t="s">
        <v>1666</v>
      </c>
      <c r="E2186" t="s">
        <v>6693</v>
      </c>
      <c r="F2186" t="s">
        <v>1612</v>
      </c>
      <c r="I2186" t="s">
        <v>1077</v>
      </c>
      <c r="N2186" t="s">
        <v>228</v>
      </c>
      <c r="O2186" t="s">
        <v>6530</v>
      </c>
      <c r="P2186" t="s">
        <v>6801</v>
      </c>
      <c r="Q2186" t="str">
        <f>IF($C2186="","",IFERROR(VLOOKUP($C2186,sources!$A$2:$N$200,2,FALSE()),"?"))</f>
        <v>Newspaper</v>
      </c>
      <c r="S2186" t="str">
        <f>IF($C2186="","",IFERROR(VLOOKUP($C2186,sources!$A$2:$N$200,9,FALSE()),"?"))</f>
        <v>Caribbean community</v>
      </c>
    </row>
    <row r="2187" spans="1:19" x14ac:dyDescent="0.2">
      <c r="A2187" t="s">
        <v>6802</v>
      </c>
      <c r="B2187" t="s">
        <v>892</v>
      </c>
      <c r="C2187" t="s">
        <v>1403</v>
      </c>
      <c r="D2187" t="s">
        <v>1666</v>
      </c>
      <c r="E2187" t="s">
        <v>6644</v>
      </c>
      <c r="F2187" t="s">
        <v>1612</v>
      </c>
      <c r="I2187" t="s">
        <v>1077</v>
      </c>
      <c r="N2187" t="s">
        <v>228</v>
      </c>
      <c r="O2187" t="s">
        <v>6530</v>
      </c>
      <c r="P2187" t="s">
        <v>6803</v>
      </c>
      <c r="Q2187" t="str">
        <f>IF($C2187="","",IFERROR(VLOOKUP($C2187,sources!$A$2:$N$200,2,FALSE()),"?"))</f>
        <v>Newspaper</v>
      </c>
      <c r="S2187" t="str">
        <f>IF($C2187="","",IFERROR(VLOOKUP($C2187,sources!$A$2:$N$200,9,FALSE()),"?"))</f>
        <v>Caribbean community</v>
      </c>
    </row>
    <row r="2188" spans="1:19" x14ac:dyDescent="0.2">
      <c r="A2188" t="s">
        <v>6804</v>
      </c>
      <c r="B2188" t="s">
        <v>895</v>
      </c>
      <c r="C2188" t="s">
        <v>1403</v>
      </c>
      <c r="D2188" t="s">
        <v>1666</v>
      </c>
      <c r="E2188" t="s">
        <v>6565</v>
      </c>
      <c r="F2188" t="s">
        <v>1612</v>
      </c>
      <c r="I2188" t="s">
        <v>1077</v>
      </c>
      <c r="N2188" t="s">
        <v>228</v>
      </c>
      <c r="O2188" t="s">
        <v>6530</v>
      </c>
      <c r="P2188" t="s">
        <v>6805</v>
      </c>
      <c r="Q2188" t="str">
        <f>IF($C2188="","",IFERROR(VLOOKUP($C2188,sources!$A$2:$N$200,2,FALSE()),"?"))</f>
        <v>Newspaper</v>
      </c>
      <c r="S2188" t="str">
        <f>IF($C2188="","",IFERROR(VLOOKUP($C2188,sources!$A$2:$N$200,9,FALSE()),"?"))</f>
        <v>Caribbean community</v>
      </c>
    </row>
    <row r="2189" spans="1:19" x14ac:dyDescent="0.2">
      <c r="A2189" t="s">
        <v>6806</v>
      </c>
      <c r="B2189" t="s">
        <v>898</v>
      </c>
      <c r="C2189" t="s">
        <v>1403</v>
      </c>
      <c r="D2189" t="s">
        <v>1666</v>
      </c>
      <c r="E2189" t="s">
        <v>6647</v>
      </c>
      <c r="F2189" t="s">
        <v>1612</v>
      </c>
      <c r="I2189" t="s">
        <v>1077</v>
      </c>
      <c r="N2189" t="s">
        <v>228</v>
      </c>
      <c r="O2189" t="s">
        <v>6530</v>
      </c>
      <c r="P2189" t="s">
        <v>6807</v>
      </c>
      <c r="Q2189" t="str">
        <f>IF($C2189="","",IFERROR(VLOOKUP($C2189,sources!$A$2:$N$200,2,FALSE()),"?"))</f>
        <v>Newspaper</v>
      </c>
      <c r="S2189" t="str">
        <f>IF($C2189="","",IFERROR(VLOOKUP($C2189,sources!$A$2:$N$200,9,FALSE()),"?"))</f>
        <v>Caribbean community</v>
      </c>
    </row>
    <row r="2190" spans="1:19" x14ac:dyDescent="0.2">
      <c r="A2190" t="s">
        <v>6808</v>
      </c>
      <c r="B2190" t="s">
        <v>902</v>
      </c>
      <c r="C2190" t="s">
        <v>1403</v>
      </c>
      <c r="D2190" t="s">
        <v>1599</v>
      </c>
      <c r="E2190" t="s">
        <v>903</v>
      </c>
      <c r="F2190" t="s">
        <v>1612</v>
      </c>
      <c r="I2190" t="s">
        <v>1077</v>
      </c>
      <c r="M2190" t="s">
        <v>209</v>
      </c>
      <c r="N2190" t="s">
        <v>209</v>
      </c>
      <c r="O2190" t="s">
        <v>6530</v>
      </c>
      <c r="P2190" t="s">
        <v>6809</v>
      </c>
      <c r="Q2190" t="str">
        <f>IF($C2190="","",IFERROR(VLOOKUP($C2190,sources!$A$2:$N$200,2,FALSE()),"?"))</f>
        <v>Newspaper</v>
      </c>
      <c r="S2190" t="str">
        <f>IF($C2190="","",IFERROR(VLOOKUP($C2190,sources!$A$2:$N$200,9,FALSE()),"?"))</f>
        <v>Caribbean community</v>
      </c>
    </row>
    <row r="2191" spans="1:19" x14ac:dyDescent="0.2">
      <c r="A2191" t="s">
        <v>6810</v>
      </c>
      <c r="B2191" t="s">
        <v>907</v>
      </c>
      <c r="C2191" t="s">
        <v>1403</v>
      </c>
      <c r="D2191" t="s">
        <v>1666</v>
      </c>
      <c r="E2191" t="s">
        <v>6568</v>
      </c>
      <c r="F2191" t="s">
        <v>1612</v>
      </c>
      <c r="I2191" t="s">
        <v>1077</v>
      </c>
      <c r="N2191" t="s">
        <v>228</v>
      </c>
      <c r="O2191" t="s">
        <v>6530</v>
      </c>
      <c r="P2191" t="s">
        <v>6811</v>
      </c>
      <c r="Q2191" t="str">
        <f>IF($C2191="","",IFERROR(VLOOKUP($C2191,sources!$A$2:$N$200,2,FALSE()),"?"))</f>
        <v>Newspaper</v>
      </c>
      <c r="S2191" t="str">
        <f>IF($C2191="","",IFERROR(VLOOKUP($C2191,sources!$A$2:$N$200,9,FALSE()),"?"))</f>
        <v>Caribbean community</v>
      </c>
    </row>
    <row r="2192" spans="1:19" x14ac:dyDescent="0.2">
      <c r="A2192" t="s">
        <v>6812</v>
      </c>
      <c r="B2192" t="s">
        <v>911</v>
      </c>
      <c r="C2192" t="s">
        <v>1403</v>
      </c>
      <c r="D2192" t="s">
        <v>1666</v>
      </c>
      <c r="E2192" t="s">
        <v>6706</v>
      </c>
      <c r="F2192" t="s">
        <v>1612</v>
      </c>
      <c r="I2192" t="s">
        <v>1077</v>
      </c>
      <c r="N2192" t="s">
        <v>228</v>
      </c>
      <c r="O2192" t="s">
        <v>6530</v>
      </c>
      <c r="P2192" t="s">
        <v>6813</v>
      </c>
      <c r="Q2192" t="str">
        <f>IF($C2192="","",IFERROR(VLOOKUP($C2192,sources!$A$2:$N$200,2,FALSE()),"?"))</f>
        <v>Newspaper</v>
      </c>
      <c r="S2192" t="str">
        <f>IF($C2192="","",IFERROR(VLOOKUP($C2192,sources!$A$2:$N$200,9,FALSE()),"?"))</f>
        <v>Caribbean community</v>
      </c>
    </row>
    <row r="2193" spans="1:19" x14ac:dyDescent="0.2">
      <c r="A2193" t="s">
        <v>6814</v>
      </c>
      <c r="B2193" t="s">
        <v>915</v>
      </c>
      <c r="C2193" t="s">
        <v>1403</v>
      </c>
      <c r="D2193" t="s">
        <v>1666</v>
      </c>
      <c r="E2193" t="s">
        <v>916</v>
      </c>
      <c r="F2193" t="s">
        <v>1612</v>
      </c>
      <c r="I2193" t="s">
        <v>1077</v>
      </c>
      <c r="N2193" t="s">
        <v>228</v>
      </c>
      <c r="O2193" t="s">
        <v>6530</v>
      </c>
      <c r="P2193" t="s">
        <v>6815</v>
      </c>
      <c r="Q2193" t="str">
        <f>IF($C2193="","",IFERROR(VLOOKUP($C2193,sources!$A$2:$N$200,2,FALSE()),"?"))</f>
        <v>Newspaper</v>
      </c>
      <c r="S2193" t="str">
        <f>IF($C2193="","",IFERROR(VLOOKUP($C2193,sources!$A$2:$N$200,9,FALSE()),"?"))</f>
        <v>Caribbean community</v>
      </c>
    </row>
    <row r="2194" spans="1:19" x14ac:dyDescent="0.2">
      <c r="A2194" t="s">
        <v>6816</v>
      </c>
      <c r="B2194" t="s">
        <v>918</v>
      </c>
      <c r="C2194" t="s">
        <v>1403</v>
      </c>
      <c r="D2194" t="s">
        <v>1666</v>
      </c>
      <c r="E2194" t="s">
        <v>919</v>
      </c>
      <c r="F2194" t="s">
        <v>1612</v>
      </c>
      <c r="I2194" t="s">
        <v>1077</v>
      </c>
      <c r="N2194" t="s">
        <v>228</v>
      </c>
      <c r="O2194" t="s">
        <v>6530</v>
      </c>
      <c r="P2194" t="s">
        <v>6817</v>
      </c>
      <c r="Q2194" t="str">
        <f>IF($C2194="","",IFERROR(VLOOKUP($C2194,sources!$A$2:$N$200,2,FALSE()),"?"))</f>
        <v>Newspaper</v>
      </c>
      <c r="S2194" t="str">
        <f>IF($C2194="","",IFERROR(VLOOKUP($C2194,sources!$A$2:$N$200,9,FALSE()),"?"))</f>
        <v>Caribbean community</v>
      </c>
    </row>
    <row r="2195" spans="1:19" x14ac:dyDescent="0.2">
      <c r="A2195" t="s">
        <v>6818</v>
      </c>
      <c r="B2195" t="s">
        <v>921</v>
      </c>
      <c r="C2195" t="s">
        <v>1403</v>
      </c>
      <c r="D2195" t="s">
        <v>1666</v>
      </c>
      <c r="E2195" t="s">
        <v>922</v>
      </c>
      <c r="F2195" t="s">
        <v>1612</v>
      </c>
      <c r="I2195" t="s">
        <v>1077</v>
      </c>
      <c r="N2195" t="s">
        <v>228</v>
      </c>
      <c r="O2195" t="s">
        <v>6530</v>
      </c>
      <c r="P2195" t="s">
        <v>6819</v>
      </c>
      <c r="Q2195" t="str">
        <f>IF($C2195="","",IFERROR(VLOOKUP($C2195,sources!$A$2:$N$200,2,FALSE()),"?"))</f>
        <v>Newspaper</v>
      </c>
      <c r="S2195" t="str">
        <f>IF($C2195="","",IFERROR(VLOOKUP($C2195,sources!$A$2:$N$200,9,FALSE()),"?"))</f>
        <v>Caribbean community</v>
      </c>
    </row>
    <row r="2196" spans="1:19" x14ac:dyDescent="0.2">
      <c r="A2196" t="s">
        <v>6820</v>
      </c>
      <c r="B2196" t="s">
        <v>925</v>
      </c>
      <c r="C2196" t="s">
        <v>1403</v>
      </c>
      <c r="D2196" t="s">
        <v>1666</v>
      </c>
      <c r="E2196" t="s">
        <v>927</v>
      </c>
      <c r="F2196" t="s">
        <v>1612</v>
      </c>
      <c r="I2196" t="s">
        <v>1077</v>
      </c>
      <c r="N2196" t="s">
        <v>228</v>
      </c>
      <c r="O2196" t="s">
        <v>6530</v>
      </c>
      <c r="P2196" t="s">
        <v>6821</v>
      </c>
      <c r="Q2196" t="str">
        <f>IF($C2196="","",IFERROR(VLOOKUP($C2196,sources!$A$2:$N$200,2,FALSE()),"?"))</f>
        <v>Newspaper</v>
      </c>
      <c r="S2196" t="str">
        <f>IF($C2196="","",IFERROR(VLOOKUP($C2196,sources!$A$2:$N$200,9,FALSE()),"?"))</f>
        <v>Caribbean community</v>
      </c>
    </row>
    <row r="2197" spans="1:19" x14ac:dyDescent="0.2">
      <c r="A2197" t="s">
        <v>6822</v>
      </c>
      <c r="B2197" t="s">
        <v>929</v>
      </c>
      <c r="C2197" t="s">
        <v>1403</v>
      </c>
      <c r="D2197" t="s">
        <v>1666</v>
      </c>
      <c r="E2197" t="s">
        <v>930</v>
      </c>
      <c r="F2197" t="s">
        <v>1612</v>
      </c>
      <c r="I2197" t="s">
        <v>1077</v>
      </c>
      <c r="N2197" t="s">
        <v>228</v>
      </c>
      <c r="O2197" t="s">
        <v>6530</v>
      </c>
      <c r="P2197" t="s">
        <v>6823</v>
      </c>
      <c r="Q2197" t="str">
        <f>IF($C2197="","",IFERROR(VLOOKUP($C2197,sources!$A$2:$N$200,2,FALSE()),"?"))</f>
        <v>Newspaper</v>
      </c>
      <c r="S2197" t="str">
        <f>IF($C2197="","",IFERROR(VLOOKUP($C2197,sources!$A$2:$N$200,9,FALSE()),"?"))</f>
        <v>Caribbean community</v>
      </c>
    </row>
    <row r="2198" spans="1:19" x14ac:dyDescent="0.2">
      <c r="A2198" t="s">
        <v>6824</v>
      </c>
      <c r="B2198" t="s">
        <v>933</v>
      </c>
      <c r="C2198" t="s">
        <v>1403</v>
      </c>
      <c r="D2198" t="s">
        <v>1666</v>
      </c>
      <c r="E2198" t="s">
        <v>934</v>
      </c>
      <c r="F2198" t="s">
        <v>1612</v>
      </c>
      <c r="I2198" t="s">
        <v>1077</v>
      </c>
      <c r="N2198" t="s">
        <v>228</v>
      </c>
      <c r="O2198" t="s">
        <v>6530</v>
      </c>
      <c r="P2198" t="s">
        <v>6825</v>
      </c>
      <c r="Q2198" t="str">
        <f>IF($C2198="","",IFERROR(VLOOKUP($C2198,sources!$A$2:$N$200,2,FALSE()),"?"))</f>
        <v>Newspaper</v>
      </c>
      <c r="S2198" t="str">
        <f>IF($C2198="","",IFERROR(VLOOKUP($C2198,sources!$A$2:$N$200,9,FALSE()),"?"))</f>
        <v>Caribbean community</v>
      </c>
    </row>
    <row r="2199" spans="1:19" x14ac:dyDescent="0.2">
      <c r="A2199" t="s">
        <v>6826</v>
      </c>
      <c r="B2199" t="s">
        <v>943</v>
      </c>
      <c r="C2199" t="s">
        <v>1403</v>
      </c>
      <c r="D2199" t="s">
        <v>1666</v>
      </c>
      <c r="E2199" t="s">
        <v>6725</v>
      </c>
      <c r="F2199" t="s">
        <v>1612</v>
      </c>
      <c r="I2199" t="s">
        <v>1077</v>
      </c>
      <c r="N2199" t="s">
        <v>228</v>
      </c>
      <c r="O2199" t="s">
        <v>6530</v>
      </c>
      <c r="P2199" t="s">
        <v>6827</v>
      </c>
      <c r="Q2199" t="str">
        <f>IF($C2199="","",IFERROR(VLOOKUP($C2199,sources!$A$2:$N$200,2,FALSE()),"?"))</f>
        <v>Newspaper</v>
      </c>
      <c r="S2199" t="str">
        <f>IF($C2199="","",IFERROR(VLOOKUP($C2199,sources!$A$2:$N$200,9,FALSE()),"?"))</f>
        <v>Caribbean community</v>
      </c>
    </row>
    <row r="2200" spans="1:19" x14ac:dyDescent="0.2">
      <c r="A2200" t="s">
        <v>6828</v>
      </c>
      <c r="B2200" t="s">
        <v>951</v>
      </c>
      <c r="C2200" t="s">
        <v>1403</v>
      </c>
      <c r="D2200" t="s">
        <v>1666</v>
      </c>
      <c r="E2200" t="s">
        <v>953</v>
      </c>
      <c r="F2200" t="s">
        <v>1612</v>
      </c>
      <c r="I2200" t="s">
        <v>1077</v>
      </c>
      <c r="N2200" t="s">
        <v>228</v>
      </c>
      <c r="O2200" t="s">
        <v>6530</v>
      </c>
      <c r="P2200" t="s">
        <v>6829</v>
      </c>
      <c r="Q2200" t="str">
        <f>IF($C2200="","",IFERROR(VLOOKUP($C2200,sources!$A$2:$N$200,2,FALSE()),"?"))</f>
        <v>Newspaper</v>
      </c>
      <c r="S2200" t="str">
        <f>IF($C2200="","",IFERROR(VLOOKUP($C2200,sources!$A$2:$N$200,9,FALSE()),"?"))</f>
        <v>Caribbean community</v>
      </c>
    </row>
    <row r="2201" spans="1:19" x14ac:dyDescent="0.2">
      <c r="A2201" t="s">
        <v>6830</v>
      </c>
      <c r="B2201" t="s">
        <v>957</v>
      </c>
      <c r="C2201" t="s">
        <v>1403</v>
      </c>
      <c r="D2201" t="s">
        <v>1666</v>
      </c>
      <c r="E2201" t="s">
        <v>958</v>
      </c>
      <c r="F2201" t="s">
        <v>1612</v>
      </c>
      <c r="I2201" t="s">
        <v>1077</v>
      </c>
      <c r="N2201" t="s">
        <v>228</v>
      </c>
      <c r="O2201" t="s">
        <v>6530</v>
      </c>
      <c r="P2201" t="s">
        <v>6831</v>
      </c>
      <c r="Q2201" t="str">
        <f>IF($C2201="","",IFERROR(VLOOKUP($C2201,sources!$A$2:$N$200,2,FALSE()),"?"))</f>
        <v>Newspaper</v>
      </c>
      <c r="S2201" t="str">
        <f>IF($C2201="","",IFERROR(VLOOKUP($C2201,sources!$A$2:$N$200,9,FALSE()),"?"))</f>
        <v>Caribbean community</v>
      </c>
    </row>
    <row r="2202" spans="1:19" x14ac:dyDescent="0.2">
      <c r="A2202" t="s">
        <v>6832</v>
      </c>
      <c r="B2202" t="s">
        <v>974</v>
      </c>
      <c r="C2202" t="s">
        <v>1403</v>
      </c>
      <c r="D2202" t="s">
        <v>1666</v>
      </c>
      <c r="E2202" t="s">
        <v>6609</v>
      </c>
      <c r="F2202" t="s">
        <v>1612</v>
      </c>
      <c r="I2202" t="s">
        <v>1077</v>
      </c>
      <c r="N2202" t="s">
        <v>228</v>
      </c>
      <c r="O2202" t="s">
        <v>6530</v>
      </c>
      <c r="P2202" t="s">
        <v>6833</v>
      </c>
      <c r="Q2202" t="str">
        <f>IF($C2202="","",IFERROR(VLOOKUP($C2202,sources!$A$2:$N$200,2,FALSE()),"?"))</f>
        <v>Newspaper</v>
      </c>
      <c r="S2202" t="str">
        <f>IF($C2202="","",IFERROR(VLOOKUP($C2202,sources!$A$2:$N$200,9,FALSE()),"?"))</f>
        <v>Caribbean community</v>
      </c>
    </row>
    <row r="2203" spans="1:19" x14ac:dyDescent="0.2">
      <c r="A2203" t="s">
        <v>6834</v>
      </c>
      <c r="B2203" t="s">
        <v>978</v>
      </c>
      <c r="C2203" t="s">
        <v>1403</v>
      </c>
      <c r="D2203" t="s">
        <v>1599</v>
      </c>
      <c r="E2203" t="s">
        <v>979</v>
      </c>
      <c r="F2203" t="s">
        <v>1612</v>
      </c>
      <c r="I2203" t="s">
        <v>1077</v>
      </c>
      <c r="M2203" t="s">
        <v>209</v>
      </c>
      <c r="N2203" t="s">
        <v>209</v>
      </c>
      <c r="O2203" t="s">
        <v>6530</v>
      </c>
      <c r="P2203" t="s">
        <v>6835</v>
      </c>
      <c r="Q2203" t="str">
        <f>IF($C2203="","",IFERROR(VLOOKUP($C2203,sources!$A$2:$N$200,2,FALSE()),"?"))</f>
        <v>Newspaper</v>
      </c>
      <c r="S2203" t="str">
        <f>IF($C2203="","",IFERROR(VLOOKUP($C2203,sources!$A$2:$N$200,9,FALSE()),"?"))</f>
        <v>Caribbean community</v>
      </c>
    </row>
    <row r="2204" spans="1:19" x14ac:dyDescent="0.2">
      <c r="A2204" t="s">
        <v>6836</v>
      </c>
      <c r="B2204" t="s">
        <v>981</v>
      </c>
      <c r="C2204" t="s">
        <v>1403</v>
      </c>
      <c r="D2204" t="s">
        <v>1599</v>
      </c>
      <c r="E2204" t="s">
        <v>982</v>
      </c>
      <c r="F2204" t="s">
        <v>1612</v>
      </c>
      <c r="I2204" t="s">
        <v>1077</v>
      </c>
      <c r="M2204" t="s">
        <v>209</v>
      </c>
      <c r="N2204" t="s">
        <v>209</v>
      </c>
      <c r="O2204" t="s">
        <v>6530</v>
      </c>
      <c r="P2204" t="s">
        <v>6837</v>
      </c>
      <c r="Q2204" t="str">
        <f>IF($C2204="","",IFERROR(VLOOKUP($C2204,sources!$A$2:$N$200,2,FALSE()),"?"))</f>
        <v>Newspaper</v>
      </c>
      <c r="S2204" t="str">
        <f>IF($C2204="","",IFERROR(VLOOKUP($C2204,sources!$A$2:$N$200,9,FALSE()),"?"))</f>
        <v>Caribbean community</v>
      </c>
    </row>
    <row r="2205" spans="1:19" x14ac:dyDescent="0.2">
      <c r="A2205" t="s">
        <v>6838</v>
      </c>
      <c r="B2205" t="s">
        <v>985</v>
      </c>
      <c r="C2205" t="s">
        <v>1403</v>
      </c>
      <c r="D2205" t="s">
        <v>1666</v>
      </c>
      <c r="E2205" t="s">
        <v>5308</v>
      </c>
      <c r="F2205" t="s">
        <v>1612</v>
      </c>
      <c r="I2205" t="s">
        <v>1077</v>
      </c>
      <c r="N2205" t="s">
        <v>209</v>
      </c>
      <c r="O2205" t="s">
        <v>6530</v>
      </c>
      <c r="P2205" t="s">
        <v>6839</v>
      </c>
      <c r="Q2205" t="str">
        <f>IF($C2205="","",IFERROR(VLOOKUP($C2205,sources!$A$2:$N$200,2,FALSE()),"?"))</f>
        <v>Newspaper</v>
      </c>
      <c r="S2205" t="str">
        <f>IF($C2205="","",IFERROR(VLOOKUP($C2205,sources!$A$2:$N$200,9,FALSE()),"?"))</f>
        <v>Caribbean community</v>
      </c>
    </row>
    <row r="2206" spans="1:19" x14ac:dyDescent="0.2">
      <c r="A2206" t="s">
        <v>6840</v>
      </c>
      <c r="B2206" t="s">
        <v>990</v>
      </c>
      <c r="C2206" t="s">
        <v>1403</v>
      </c>
      <c r="D2206" t="s">
        <v>1599</v>
      </c>
      <c r="E2206" t="s">
        <v>6619</v>
      </c>
      <c r="F2206" t="s">
        <v>1612</v>
      </c>
      <c r="I2206" t="s">
        <v>1077</v>
      </c>
      <c r="M2206" t="s">
        <v>209</v>
      </c>
      <c r="N2206" t="s">
        <v>209</v>
      </c>
      <c r="O2206" t="s">
        <v>6530</v>
      </c>
      <c r="P2206" t="s">
        <v>6841</v>
      </c>
      <c r="Q2206" t="str">
        <f>IF($C2206="","",IFERROR(VLOOKUP($C2206,sources!$A$2:$N$200,2,FALSE()),"?"))</f>
        <v>Newspaper</v>
      </c>
      <c r="S2206" t="str">
        <f>IF($C2206="","",IFERROR(VLOOKUP($C2206,sources!$A$2:$N$200,9,FALSE()),"?"))</f>
        <v>Caribbean community</v>
      </c>
    </row>
    <row r="2207" spans="1:19" x14ac:dyDescent="0.2">
      <c r="A2207" t="s">
        <v>6842</v>
      </c>
      <c r="B2207" t="s">
        <v>993</v>
      </c>
      <c r="C2207" t="s">
        <v>1403</v>
      </c>
      <c r="D2207" t="s">
        <v>1666</v>
      </c>
      <c r="E2207" t="s">
        <v>6622</v>
      </c>
      <c r="F2207" t="s">
        <v>1612</v>
      </c>
      <c r="I2207" t="s">
        <v>1077</v>
      </c>
      <c r="N2207" t="s">
        <v>228</v>
      </c>
      <c r="O2207" t="s">
        <v>6530</v>
      </c>
      <c r="P2207" t="s">
        <v>6843</v>
      </c>
      <c r="Q2207" t="str">
        <f>IF($C2207="","",IFERROR(VLOOKUP($C2207,sources!$A$2:$N$200,2,FALSE()),"?"))</f>
        <v>Newspaper</v>
      </c>
      <c r="S2207" t="str">
        <f>IF($C2207="","",IFERROR(VLOOKUP($C2207,sources!$A$2:$N$200,9,FALSE()),"?"))</f>
        <v>Caribbean community</v>
      </c>
    </row>
    <row r="2208" spans="1:19" x14ac:dyDescent="0.2">
      <c r="A2208" t="s">
        <v>6844</v>
      </c>
      <c r="B2208" t="s">
        <v>998</v>
      </c>
      <c r="C2208" t="s">
        <v>1403</v>
      </c>
      <c r="D2208" t="s">
        <v>1666</v>
      </c>
      <c r="E2208" t="s">
        <v>1000</v>
      </c>
      <c r="F2208" t="s">
        <v>1612</v>
      </c>
      <c r="I2208" t="s">
        <v>1077</v>
      </c>
      <c r="N2208" t="s">
        <v>228</v>
      </c>
      <c r="O2208" t="s">
        <v>6530</v>
      </c>
      <c r="P2208" t="s">
        <v>6845</v>
      </c>
      <c r="Q2208" t="str">
        <f>IF($C2208="","",IFERROR(VLOOKUP($C2208,sources!$A$2:$N$200,2,FALSE()),"?"))</f>
        <v>Newspaper</v>
      </c>
      <c r="S2208" t="str">
        <f>IF($C2208="","",IFERROR(VLOOKUP($C2208,sources!$A$2:$N$200,9,FALSE()),"?"))</f>
        <v>Caribbean community</v>
      </c>
    </row>
    <row r="2209" spans="1:19" x14ac:dyDescent="0.2">
      <c r="A2209" t="s">
        <v>6846</v>
      </c>
      <c r="B2209" t="s">
        <v>1002</v>
      </c>
      <c r="C2209" t="s">
        <v>1403</v>
      </c>
      <c r="D2209" t="s">
        <v>1666</v>
      </c>
      <c r="E2209" t="s">
        <v>1004</v>
      </c>
      <c r="F2209" t="s">
        <v>1612</v>
      </c>
      <c r="I2209" t="s">
        <v>1077</v>
      </c>
      <c r="N2209" t="s">
        <v>228</v>
      </c>
      <c r="O2209" t="s">
        <v>6530</v>
      </c>
      <c r="P2209" t="s">
        <v>6847</v>
      </c>
      <c r="Q2209" t="str">
        <f>IF($C2209="","",IFERROR(VLOOKUP($C2209,sources!$A$2:$N$200,2,FALSE()),"?"))</f>
        <v>Newspaper</v>
      </c>
      <c r="S2209" t="str">
        <f>IF($C2209="","",IFERROR(VLOOKUP($C2209,sources!$A$2:$N$200,9,FALSE()),"?"))</f>
        <v>Caribbean community</v>
      </c>
    </row>
    <row r="2210" spans="1:19" x14ac:dyDescent="0.2">
      <c r="A2210" t="s">
        <v>6848</v>
      </c>
      <c r="B2210" t="s">
        <v>805</v>
      </c>
      <c r="C2210" t="s">
        <v>1403</v>
      </c>
      <c r="D2210" t="s">
        <v>1599</v>
      </c>
      <c r="E2210" t="s">
        <v>806</v>
      </c>
      <c r="F2210" t="s">
        <v>1612</v>
      </c>
      <c r="I2210" t="s">
        <v>1077</v>
      </c>
      <c r="M2210" t="s">
        <v>209</v>
      </c>
      <c r="N2210" t="s">
        <v>209</v>
      </c>
      <c r="O2210" t="s">
        <v>6530</v>
      </c>
      <c r="P2210" t="s">
        <v>6849</v>
      </c>
      <c r="Q2210" t="str">
        <f>IF($C2210="","",IFERROR(VLOOKUP($C2210,sources!$A$2:$N$200,2,FALSE()),"?"))</f>
        <v>Newspaper</v>
      </c>
      <c r="S2210" t="str">
        <f>IF($C2210="","",IFERROR(VLOOKUP($C2210,sources!$A$2:$N$200,9,FALSE()),"?"))</f>
        <v>Caribbean community</v>
      </c>
    </row>
    <row r="2211" spans="1:19" x14ac:dyDescent="0.2">
      <c r="A2211" t="s">
        <v>6850</v>
      </c>
      <c r="B2211" t="s">
        <v>1013</v>
      </c>
      <c r="C2211" t="s">
        <v>1403</v>
      </c>
      <c r="D2211" t="s">
        <v>1599</v>
      </c>
      <c r="E2211" t="s">
        <v>1014</v>
      </c>
      <c r="F2211" t="s">
        <v>1612</v>
      </c>
      <c r="I2211" t="s">
        <v>1077</v>
      </c>
      <c r="M2211" t="s">
        <v>209</v>
      </c>
      <c r="N2211" t="s">
        <v>209</v>
      </c>
      <c r="O2211" t="s">
        <v>6530</v>
      </c>
      <c r="P2211" t="s">
        <v>6851</v>
      </c>
      <c r="Q2211" t="str">
        <f>IF($C2211="","",IFERROR(VLOOKUP($C2211,sources!$A$2:$N$200,2,FALSE()),"?"))</f>
        <v>Newspaper</v>
      </c>
      <c r="S2211" t="str">
        <f>IF($C2211="","",IFERROR(VLOOKUP($C2211,sources!$A$2:$N$200,9,FALSE()),"?"))</f>
        <v>Caribbean community</v>
      </c>
    </row>
    <row r="2212" spans="1:19" x14ac:dyDescent="0.2">
      <c r="A2212" t="s">
        <v>6852</v>
      </c>
      <c r="B2212" t="s">
        <v>1016</v>
      </c>
      <c r="C2212" t="s">
        <v>1403</v>
      </c>
      <c r="D2212" t="s">
        <v>1599</v>
      </c>
      <c r="E2212" t="s">
        <v>6634</v>
      </c>
      <c r="F2212" t="s">
        <v>1612</v>
      </c>
      <c r="I2212" t="s">
        <v>1077</v>
      </c>
      <c r="M2212" t="s">
        <v>209</v>
      </c>
      <c r="N2212" t="s">
        <v>209</v>
      </c>
      <c r="O2212" t="s">
        <v>6530</v>
      </c>
      <c r="P2212" t="s">
        <v>6853</v>
      </c>
      <c r="Q2212" t="str">
        <f>IF($C2212="","",IFERROR(VLOOKUP($C2212,sources!$A$2:$N$200,2,FALSE()),"?"))</f>
        <v>Newspaper</v>
      </c>
      <c r="S2212" t="str">
        <f>IF($C2212="","",IFERROR(VLOOKUP($C2212,sources!$A$2:$N$200,9,FALSE()),"?"))</f>
        <v>Caribbean community</v>
      </c>
    </row>
    <row r="2213" spans="1:19" x14ac:dyDescent="0.2">
      <c r="A2213" t="s">
        <v>6854</v>
      </c>
      <c r="B2213" t="s">
        <v>1021</v>
      </c>
      <c r="C2213" t="s">
        <v>1403</v>
      </c>
      <c r="D2213" t="s">
        <v>1666</v>
      </c>
      <c r="E2213" t="s">
        <v>1022</v>
      </c>
      <c r="F2213" t="s">
        <v>1612</v>
      </c>
      <c r="I2213" t="s">
        <v>1077</v>
      </c>
      <c r="N2213" t="s">
        <v>228</v>
      </c>
      <c r="O2213" t="s">
        <v>6530</v>
      </c>
      <c r="P2213" t="s">
        <v>6855</v>
      </c>
      <c r="Q2213" t="str">
        <f>IF($C2213="","",IFERROR(VLOOKUP($C2213,sources!$A$2:$N$200,2,FALSE()),"?"))</f>
        <v>Newspaper</v>
      </c>
      <c r="S2213" t="str">
        <f>IF($C2213="","",IFERROR(VLOOKUP($C2213,sources!$A$2:$N$200,9,FALSE()),"?"))</f>
        <v>Caribbean community</v>
      </c>
    </row>
    <row r="2214" spans="1:19" x14ac:dyDescent="0.2">
      <c r="A2214" t="s">
        <v>6856</v>
      </c>
      <c r="B2214" t="s">
        <v>921</v>
      </c>
      <c r="C2214" t="s">
        <v>1403</v>
      </c>
      <c r="D2214" t="s">
        <v>1666</v>
      </c>
      <c r="E2214" t="s">
        <v>923</v>
      </c>
      <c r="F2214" t="s">
        <v>1612</v>
      </c>
      <c r="I2214" t="s">
        <v>1077</v>
      </c>
      <c r="N2214" t="s">
        <v>228</v>
      </c>
      <c r="O2214" t="s">
        <v>6530</v>
      </c>
      <c r="P2214" t="s">
        <v>6857</v>
      </c>
      <c r="Q2214" t="str">
        <f>IF($C2214="","",IFERROR(VLOOKUP($C2214,sources!$A$2:$N$200,2,FALSE()),"?"))</f>
        <v>Newspaper</v>
      </c>
      <c r="S2214" t="str">
        <f>IF($C2214="","",IFERROR(VLOOKUP($C2214,sources!$A$2:$N$200,9,FALSE()),"?"))</f>
        <v>Caribbean community</v>
      </c>
    </row>
    <row r="2215" spans="1:19" x14ac:dyDescent="0.2">
      <c r="A2215" t="s">
        <v>6858</v>
      </c>
      <c r="B2215" t="s">
        <v>1036</v>
      </c>
      <c r="C2215" t="s">
        <v>1403</v>
      </c>
      <c r="D2215" t="s">
        <v>1666</v>
      </c>
      <c r="E2215" t="s">
        <v>1037</v>
      </c>
      <c r="F2215" t="s">
        <v>1612</v>
      </c>
      <c r="I2215" t="s">
        <v>1077</v>
      </c>
      <c r="N2215" t="s">
        <v>228</v>
      </c>
      <c r="O2215" t="s">
        <v>6530</v>
      </c>
      <c r="P2215" t="s">
        <v>6859</v>
      </c>
      <c r="Q2215" t="str">
        <f>IF($C2215="","",IFERROR(VLOOKUP($C2215,sources!$A$2:$N$200,2,FALSE()),"?"))</f>
        <v>Newspaper</v>
      </c>
      <c r="S2215" t="str">
        <f>IF($C2215="","",IFERROR(VLOOKUP($C2215,sources!$A$2:$N$200,9,FALSE()),"?"))</f>
        <v>Caribbean community</v>
      </c>
    </row>
    <row r="2216" spans="1:19" x14ac:dyDescent="0.2">
      <c r="A2216" t="s">
        <v>6860</v>
      </c>
      <c r="B2216" t="s">
        <v>1040</v>
      </c>
      <c r="C2216" t="s">
        <v>1403</v>
      </c>
      <c r="D2216" t="s">
        <v>1666</v>
      </c>
      <c r="E2216" t="s">
        <v>1041</v>
      </c>
      <c r="F2216" t="s">
        <v>1612</v>
      </c>
      <c r="I2216" t="s">
        <v>1077</v>
      </c>
      <c r="N2216" t="s">
        <v>228</v>
      </c>
      <c r="O2216" t="s">
        <v>6530</v>
      </c>
      <c r="P2216" t="s">
        <v>6861</v>
      </c>
      <c r="Q2216" t="str">
        <f>IF($C2216="","",IFERROR(VLOOKUP($C2216,sources!$A$2:$N$200,2,FALSE()),"?"))</f>
        <v>Newspaper</v>
      </c>
      <c r="S2216" t="str">
        <f>IF($C2216="","",IFERROR(VLOOKUP($C2216,sources!$A$2:$N$200,9,FALSE()),"?"))</f>
        <v>Caribbean community</v>
      </c>
    </row>
    <row r="2217" spans="1:19" x14ac:dyDescent="0.2">
      <c r="A2217" t="s">
        <v>6862</v>
      </c>
      <c r="B2217" t="s">
        <v>925</v>
      </c>
      <c r="C2217" t="s">
        <v>1403</v>
      </c>
      <c r="D2217" t="s">
        <v>1666</v>
      </c>
      <c r="E2217" t="s">
        <v>927</v>
      </c>
      <c r="F2217" t="s">
        <v>1612</v>
      </c>
      <c r="I2217" t="s">
        <v>1077</v>
      </c>
      <c r="N2217" t="s">
        <v>209</v>
      </c>
      <c r="O2217" t="s">
        <v>6530</v>
      </c>
      <c r="P2217" t="s">
        <v>6863</v>
      </c>
      <c r="Q2217" t="str">
        <f>IF($C2217="","",IFERROR(VLOOKUP($C2217,sources!$A$2:$N$200,2,FALSE()),"?"))</f>
        <v>Newspaper</v>
      </c>
      <c r="S2217" t="str">
        <f>IF($C2217="","",IFERROR(VLOOKUP($C2217,sources!$A$2:$N$200,9,FALSE()),"?"))</f>
        <v>Caribbean community</v>
      </c>
    </row>
    <row r="2218" spans="1:19" x14ac:dyDescent="0.2">
      <c r="A2218" t="s">
        <v>6864</v>
      </c>
      <c r="B2218" t="s">
        <v>792</v>
      </c>
      <c r="C2218" t="s">
        <v>1412</v>
      </c>
      <c r="D2218" t="s">
        <v>1666</v>
      </c>
      <c r="E2218" t="s">
        <v>4619</v>
      </c>
      <c r="F2218" t="s">
        <v>1612</v>
      </c>
      <c r="I2218" t="s">
        <v>1077</v>
      </c>
      <c r="M2218" t="s">
        <v>209</v>
      </c>
      <c r="N2218" t="s">
        <v>228</v>
      </c>
      <c r="O2218" t="s">
        <v>6530</v>
      </c>
      <c r="P2218" t="s">
        <v>6865</v>
      </c>
      <c r="Q2218" t="str">
        <f>IF($C2218="","",IFERROR(VLOOKUP($C2218,sources!$A$2:$N$200,2,FALSE()),"?"))</f>
        <v>Web compilation</v>
      </c>
      <c r="S2218" t="str">
        <f>IF($C2218="","",IFERROR(VLOOKUP($C2218,sources!$A$2:$N$200,9,FALSE()),"?"))</f>
        <v>Caribbean community</v>
      </c>
    </row>
    <row r="2219" spans="1:19" x14ac:dyDescent="0.2">
      <c r="A2219" t="s">
        <v>6866</v>
      </c>
      <c r="B2219" t="s">
        <v>805</v>
      </c>
      <c r="C2219" t="s">
        <v>1412</v>
      </c>
      <c r="D2219" t="s">
        <v>1599</v>
      </c>
      <c r="E2219" t="s">
        <v>806</v>
      </c>
      <c r="F2219" t="s">
        <v>1612</v>
      </c>
      <c r="I2219" t="s">
        <v>1077</v>
      </c>
      <c r="M2219" t="s">
        <v>209</v>
      </c>
      <c r="N2219" t="s">
        <v>222</v>
      </c>
      <c r="O2219" t="s">
        <v>6530</v>
      </c>
      <c r="P2219" t="s">
        <v>6867</v>
      </c>
      <c r="Q2219" t="str">
        <f>IF($C2219="","",IFERROR(VLOOKUP($C2219,sources!$A$2:$N$200,2,FALSE()),"?"))</f>
        <v>Web compilation</v>
      </c>
      <c r="S2219" t="str">
        <f>IF($C2219="","",IFERROR(VLOOKUP($C2219,sources!$A$2:$N$200,9,FALSE()),"?"))</f>
        <v>Caribbean community</v>
      </c>
    </row>
    <row r="2220" spans="1:19" x14ac:dyDescent="0.2">
      <c r="A2220" t="s">
        <v>6868</v>
      </c>
      <c r="B2220" t="s">
        <v>810</v>
      </c>
      <c r="C2220" t="s">
        <v>1412</v>
      </c>
      <c r="D2220" t="s">
        <v>1666</v>
      </c>
      <c r="E2220" t="s">
        <v>6641</v>
      </c>
      <c r="F2220" t="s">
        <v>1612</v>
      </c>
      <c r="I2220" t="s">
        <v>1077</v>
      </c>
      <c r="M2220" t="s">
        <v>209</v>
      </c>
      <c r="N2220" t="s">
        <v>228</v>
      </c>
      <c r="O2220" t="s">
        <v>6530</v>
      </c>
      <c r="P2220" t="s">
        <v>6869</v>
      </c>
      <c r="Q2220" t="str">
        <f>IF($C2220="","",IFERROR(VLOOKUP($C2220,sources!$A$2:$N$200,2,FALSE()),"?"))</f>
        <v>Web compilation</v>
      </c>
      <c r="S2220" t="str">
        <f>IF($C2220="","",IFERROR(VLOOKUP($C2220,sources!$A$2:$N$200,9,FALSE()),"?"))</f>
        <v>Caribbean community</v>
      </c>
    </row>
    <row r="2221" spans="1:19" x14ac:dyDescent="0.2">
      <c r="A2221" t="s">
        <v>6870</v>
      </c>
      <c r="B2221" t="s">
        <v>815</v>
      </c>
      <c r="C2221" t="s">
        <v>1412</v>
      </c>
      <c r="D2221" t="s">
        <v>1666</v>
      </c>
      <c r="E2221" t="s">
        <v>6658</v>
      </c>
      <c r="F2221" t="s">
        <v>1612</v>
      </c>
      <c r="I2221" t="s">
        <v>1077</v>
      </c>
      <c r="M2221" t="s">
        <v>209</v>
      </c>
      <c r="N2221" t="s">
        <v>228</v>
      </c>
      <c r="O2221" t="s">
        <v>6530</v>
      </c>
      <c r="P2221" t="s">
        <v>6871</v>
      </c>
      <c r="Q2221" t="str">
        <f>IF($C2221="","",IFERROR(VLOOKUP($C2221,sources!$A$2:$N$200,2,FALSE()),"?"))</f>
        <v>Web compilation</v>
      </c>
      <c r="S2221" t="str">
        <f>IF($C2221="","",IFERROR(VLOOKUP($C2221,sources!$A$2:$N$200,9,FALSE()),"?"))</f>
        <v>Caribbean community</v>
      </c>
    </row>
    <row r="2222" spans="1:19" x14ac:dyDescent="0.2">
      <c r="A2222" t="s">
        <v>6872</v>
      </c>
      <c r="B2222" t="s">
        <v>827</v>
      </c>
      <c r="C2222" t="s">
        <v>1412</v>
      </c>
      <c r="D2222" t="s">
        <v>1666</v>
      </c>
      <c r="E2222" t="s">
        <v>4888</v>
      </c>
      <c r="F2222" t="s">
        <v>1612</v>
      </c>
      <c r="I2222" t="s">
        <v>1077</v>
      </c>
      <c r="M2222" t="s">
        <v>209</v>
      </c>
      <c r="N2222" t="s">
        <v>228</v>
      </c>
      <c r="O2222" t="s">
        <v>6530</v>
      </c>
      <c r="P2222" t="s">
        <v>6873</v>
      </c>
      <c r="Q2222" t="str">
        <f>IF($C2222="","",IFERROR(VLOOKUP($C2222,sources!$A$2:$N$200,2,FALSE()),"?"))</f>
        <v>Web compilation</v>
      </c>
      <c r="S2222" t="str">
        <f>IF($C2222="","",IFERROR(VLOOKUP($C2222,sources!$A$2:$N$200,9,FALSE()),"?"))</f>
        <v>Caribbean community</v>
      </c>
    </row>
    <row r="2223" spans="1:19" x14ac:dyDescent="0.2">
      <c r="A2223" t="s">
        <v>6874</v>
      </c>
      <c r="B2223" t="s">
        <v>830</v>
      </c>
      <c r="C2223" t="s">
        <v>1412</v>
      </c>
      <c r="D2223" t="s">
        <v>1666</v>
      </c>
      <c r="E2223" t="s">
        <v>831</v>
      </c>
      <c r="F2223" t="s">
        <v>1612</v>
      </c>
      <c r="I2223" t="s">
        <v>1077</v>
      </c>
      <c r="M2223" t="s">
        <v>209</v>
      </c>
      <c r="N2223" t="s">
        <v>228</v>
      </c>
      <c r="O2223" t="s">
        <v>6530</v>
      </c>
      <c r="P2223" t="s">
        <v>6875</v>
      </c>
      <c r="Q2223" t="str">
        <f>IF($C2223="","",IFERROR(VLOOKUP($C2223,sources!$A$2:$N$200,2,FALSE()),"?"))</f>
        <v>Web compilation</v>
      </c>
      <c r="S2223" t="str">
        <f>IF($C2223="","",IFERROR(VLOOKUP($C2223,sources!$A$2:$N$200,9,FALSE()),"?"))</f>
        <v>Caribbean community</v>
      </c>
    </row>
    <row r="2224" spans="1:19" x14ac:dyDescent="0.2">
      <c r="A2224" t="s">
        <v>6876</v>
      </c>
      <c r="B2224" t="s">
        <v>838</v>
      </c>
      <c r="C2224" t="s">
        <v>1412</v>
      </c>
      <c r="D2224" t="s">
        <v>1599</v>
      </c>
      <c r="E2224" t="s">
        <v>839</v>
      </c>
      <c r="F2224" t="s">
        <v>1612</v>
      </c>
      <c r="I2224" t="s">
        <v>1077</v>
      </c>
      <c r="M2224" t="s">
        <v>209</v>
      </c>
      <c r="N2224" t="s">
        <v>222</v>
      </c>
      <c r="O2224" t="s">
        <v>6530</v>
      </c>
      <c r="P2224" t="s">
        <v>6877</v>
      </c>
      <c r="Q2224" t="str">
        <f>IF($C2224="","",IFERROR(VLOOKUP($C2224,sources!$A$2:$N$200,2,FALSE()),"?"))</f>
        <v>Web compilation</v>
      </c>
      <c r="S2224" t="str">
        <f>IF($C2224="","",IFERROR(VLOOKUP($C2224,sources!$A$2:$N$200,9,FALSE()),"?"))</f>
        <v>Caribbean community</v>
      </c>
    </row>
    <row r="2225" spans="1:19" x14ac:dyDescent="0.2">
      <c r="A2225" t="s">
        <v>6878</v>
      </c>
      <c r="B2225" t="s">
        <v>843</v>
      </c>
      <c r="C2225" t="s">
        <v>1412</v>
      </c>
      <c r="D2225" t="s">
        <v>1666</v>
      </c>
      <c r="E2225" t="s">
        <v>844</v>
      </c>
      <c r="F2225" t="s">
        <v>1612</v>
      </c>
      <c r="I2225" t="s">
        <v>1077</v>
      </c>
      <c r="M2225" t="s">
        <v>209</v>
      </c>
      <c r="N2225" t="s">
        <v>228</v>
      </c>
      <c r="O2225" t="s">
        <v>6530</v>
      </c>
      <c r="P2225" t="s">
        <v>6879</v>
      </c>
      <c r="Q2225" t="str">
        <f>IF($C2225="","",IFERROR(VLOOKUP($C2225,sources!$A$2:$N$200,2,FALSE()),"?"))</f>
        <v>Web compilation</v>
      </c>
      <c r="S2225" t="str">
        <f>IF($C2225="","",IFERROR(VLOOKUP($C2225,sources!$A$2:$N$200,9,FALSE()),"?"))</f>
        <v>Caribbean community</v>
      </c>
    </row>
    <row r="2226" spans="1:19" x14ac:dyDescent="0.2">
      <c r="A2226" t="s">
        <v>6880</v>
      </c>
      <c r="B2226" t="s">
        <v>847</v>
      </c>
      <c r="C2226" t="s">
        <v>1412</v>
      </c>
      <c r="D2226" t="s">
        <v>1599</v>
      </c>
      <c r="E2226" t="s">
        <v>848</v>
      </c>
      <c r="F2226" t="s">
        <v>1612</v>
      </c>
      <c r="I2226" t="s">
        <v>1077</v>
      </c>
      <c r="M2226" t="s">
        <v>209</v>
      </c>
      <c r="N2226" t="s">
        <v>222</v>
      </c>
      <c r="O2226" t="s">
        <v>6530</v>
      </c>
      <c r="P2226" t="s">
        <v>6881</v>
      </c>
      <c r="Q2226" t="str">
        <f>IF($C2226="","",IFERROR(VLOOKUP($C2226,sources!$A$2:$N$200,2,FALSE()),"?"))</f>
        <v>Web compilation</v>
      </c>
      <c r="S2226" t="str">
        <f>IF($C2226="","",IFERROR(VLOOKUP($C2226,sources!$A$2:$N$200,9,FALSE()),"?"))</f>
        <v>Caribbean community</v>
      </c>
    </row>
    <row r="2227" spans="1:19" x14ac:dyDescent="0.2">
      <c r="A2227" t="s">
        <v>6882</v>
      </c>
      <c r="B2227" t="s">
        <v>851</v>
      </c>
      <c r="C2227" t="s">
        <v>1412</v>
      </c>
      <c r="D2227" t="s">
        <v>1666</v>
      </c>
      <c r="E2227" t="s">
        <v>852</v>
      </c>
      <c r="F2227" t="s">
        <v>1612</v>
      </c>
      <c r="I2227" t="s">
        <v>1077</v>
      </c>
      <c r="M2227" t="s">
        <v>209</v>
      </c>
      <c r="N2227" t="s">
        <v>228</v>
      </c>
      <c r="O2227" t="s">
        <v>6530</v>
      </c>
      <c r="P2227" t="s">
        <v>6883</v>
      </c>
      <c r="Q2227" t="str">
        <f>IF($C2227="","",IFERROR(VLOOKUP($C2227,sources!$A$2:$N$200,2,FALSE()),"?"))</f>
        <v>Web compilation</v>
      </c>
      <c r="S2227" t="str">
        <f>IF($C2227="","",IFERROR(VLOOKUP($C2227,sources!$A$2:$N$200,9,FALSE()),"?"))</f>
        <v>Caribbean community</v>
      </c>
    </row>
    <row r="2228" spans="1:19" x14ac:dyDescent="0.2">
      <c r="A2228" t="s">
        <v>6884</v>
      </c>
      <c r="B2228" t="s">
        <v>866</v>
      </c>
      <c r="C2228" t="s">
        <v>1412</v>
      </c>
      <c r="D2228" t="s">
        <v>1666</v>
      </c>
      <c r="E2228" t="s">
        <v>867</v>
      </c>
      <c r="F2228" t="s">
        <v>1612</v>
      </c>
      <c r="I2228" t="s">
        <v>1077</v>
      </c>
      <c r="M2228" t="s">
        <v>209</v>
      </c>
      <c r="N2228" t="s">
        <v>228</v>
      </c>
      <c r="O2228" t="s">
        <v>6530</v>
      </c>
      <c r="P2228" t="s">
        <v>6885</v>
      </c>
      <c r="Q2228" t="str">
        <f>IF($C2228="","",IFERROR(VLOOKUP($C2228,sources!$A$2:$N$200,2,FALSE()),"?"))</f>
        <v>Web compilation</v>
      </c>
      <c r="S2228" t="str">
        <f>IF($C2228="","",IFERROR(VLOOKUP($C2228,sources!$A$2:$N$200,9,FALSE()),"?"))</f>
        <v>Caribbean community</v>
      </c>
    </row>
    <row r="2229" spans="1:19" x14ac:dyDescent="0.2">
      <c r="A2229" t="s">
        <v>6886</v>
      </c>
      <c r="B2229" t="s">
        <v>892</v>
      </c>
      <c r="C2229" t="s">
        <v>1412</v>
      </c>
      <c r="D2229" t="s">
        <v>1666</v>
      </c>
      <c r="E2229" t="s">
        <v>6644</v>
      </c>
      <c r="F2229" t="s">
        <v>1612</v>
      </c>
      <c r="I2229" t="s">
        <v>1077</v>
      </c>
      <c r="M2229" t="s">
        <v>209</v>
      </c>
      <c r="N2229" t="s">
        <v>228</v>
      </c>
      <c r="O2229" t="s">
        <v>6530</v>
      </c>
      <c r="P2229" t="s">
        <v>6887</v>
      </c>
      <c r="Q2229" t="str">
        <f>IF($C2229="","",IFERROR(VLOOKUP($C2229,sources!$A$2:$N$200,2,FALSE()),"?"))</f>
        <v>Web compilation</v>
      </c>
      <c r="S2229" t="str">
        <f>IF($C2229="","",IFERROR(VLOOKUP($C2229,sources!$A$2:$N$200,9,FALSE()),"?"))</f>
        <v>Caribbean community</v>
      </c>
    </row>
    <row r="2230" spans="1:19" x14ac:dyDescent="0.2">
      <c r="A2230" t="s">
        <v>6888</v>
      </c>
      <c r="B2230" t="s">
        <v>895</v>
      </c>
      <c r="C2230" t="s">
        <v>1412</v>
      </c>
      <c r="D2230" t="s">
        <v>1666</v>
      </c>
      <c r="E2230" t="s">
        <v>6565</v>
      </c>
      <c r="F2230" t="s">
        <v>1612</v>
      </c>
      <c r="I2230" t="s">
        <v>1077</v>
      </c>
      <c r="M2230" t="s">
        <v>209</v>
      </c>
      <c r="N2230" t="s">
        <v>228</v>
      </c>
      <c r="O2230" t="s">
        <v>6530</v>
      </c>
      <c r="P2230" t="s">
        <v>6889</v>
      </c>
      <c r="Q2230" t="str">
        <f>IF($C2230="","",IFERROR(VLOOKUP($C2230,sources!$A$2:$N$200,2,FALSE()),"?"))</f>
        <v>Web compilation</v>
      </c>
      <c r="S2230" t="str">
        <f>IF($C2230="","",IFERROR(VLOOKUP($C2230,sources!$A$2:$N$200,9,FALSE()),"?"))</f>
        <v>Caribbean community</v>
      </c>
    </row>
    <row r="2231" spans="1:19" x14ac:dyDescent="0.2">
      <c r="A2231" t="s">
        <v>6890</v>
      </c>
      <c r="B2231" t="s">
        <v>898</v>
      </c>
      <c r="C2231" t="s">
        <v>1412</v>
      </c>
      <c r="D2231" t="s">
        <v>1666</v>
      </c>
      <c r="E2231" t="s">
        <v>6647</v>
      </c>
      <c r="F2231" t="s">
        <v>1612</v>
      </c>
      <c r="I2231" t="s">
        <v>1077</v>
      </c>
      <c r="M2231" t="s">
        <v>209</v>
      </c>
      <c r="N2231" t="s">
        <v>228</v>
      </c>
      <c r="O2231" t="s">
        <v>6530</v>
      </c>
      <c r="P2231" t="s">
        <v>6891</v>
      </c>
      <c r="Q2231" t="str">
        <f>IF($C2231="","",IFERROR(VLOOKUP($C2231,sources!$A$2:$N$200,2,FALSE()),"?"))</f>
        <v>Web compilation</v>
      </c>
      <c r="S2231" t="str">
        <f>IF($C2231="","",IFERROR(VLOOKUP($C2231,sources!$A$2:$N$200,9,FALSE()),"?"))</f>
        <v>Caribbean community</v>
      </c>
    </row>
    <row r="2232" spans="1:19" x14ac:dyDescent="0.2">
      <c r="A2232" t="s">
        <v>6892</v>
      </c>
      <c r="B2232" t="s">
        <v>902</v>
      </c>
      <c r="C2232" t="s">
        <v>1412</v>
      </c>
      <c r="D2232" t="s">
        <v>1666</v>
      </c>
      <c r="E2232" t="s">
        <v>903</v>
      </c>
      <c r="F2232" t="s">
        <v>1612</v>
      </c>
      <c r="I2232" t="s">
        <v>1077</v>
      </c>
      <c r="M2232" t="s">
        <v>209</v>
      </c>
      <c r="N2232" t="s">
        <v>228</v>
      </c>
      <c r="O2232" t="s">
        <v>6530</v>
      </c>
      <c r="P2232" t="s">
        <v>6893</v>
      </c>
      <c r="Q2232" t="str">
        <f>IF($C2232="","",IFERROR(VLOOKUP($C2232,sources!$A$2:$N$200,2,FALSE()),"?"))</f>
        <v>Web compilation</v>
      </c>
      <c r="S2232" t="str">
        <f>IF($C2232="","",IFERROR(VLOOKUP($C2232,sources!$A$2:$N$200,9,FALSE()),"?"))</f>
        <v>Caribbean community</v>
      </c>
    </row>
    <row r="2233" spans="1:19" x14ac:dyDescent="0.2">
      <c r="A2233" t="s">
        <v>6894</v>
      </c>
      <c r="B2233" t="s">
        <v>907</v>
      </c>
      <c r="C2233" t="s">
        <v>1412</v>
      </c>
      <c r="D2233" t="s">
        <v>1666</v>
      </c>
      <c r="E2233" t="s">
        <v>6568</v>
      </c>
      <c r="F2233" t="s">
        <v>1612</v>
      </c>
      <c r="I2233" t="s">
        <v>1077</v>
      </c>
      <c r="M2233" t="s">
        <v>209</v>
      </c>
      <c r="N2233" t="s">
        <v>228</v>
      </c>
      <c r="O2233" t="s">
        <v>6530</v>
      </c>
      <c r="P2233" t="s">
        <v>6895</v>
      </c>
      <c r="Q2233" t="str">
        <f>IF($C2233="","",IFERROR(VLOOKUP($C2233,sources!$A$2:$N$200,2,FALSE()),"?"))</f>
        <v>Web compilation</v>
      </c>
      <c r="S2233" t="str">
        <f>IF($C2233="","",IFERROR(VLOOKUP($C2233,sources!$A$2:$N$200,9,FALSE()),"?"))</f>
        <v>Caribbean community</v>
      </c>
    </row>
    <row r="2234" spans="1:19" x14ac:dyDescent="0.2">
      <c r="A2234" t="s">
        <v>6896</v>
      </c>
      <c r="B2234" t="s">
        <v>911</v>
      </c>
      <c r="C2234" t="s">
        <v>1412</v>
      </c>
      <c r="D2234" t="s">
        <v>1666</v>
      </c>
      <c r="E2234" t="s">
        <v>6706</v>
      </c>
      <c r="F2234" t="s">
        <v>1612</v>
      </c>
      <c r="I2234" t="s">
        <v>1077</v>
      </c>
      <c r="M2234" t="s">
        <v>209</v>
      </c>
      <c r="N2234" t="s">
        <v>228</v>
      </c>
      <c r="O2234" t="s">
        <v>6530</v>
      </c>
      <c r="P2234" t="s">
        <v>6897</v>
      </c>
      <c r="Q2234" t="str">
        <f>IF($C2234="","",IFERROR(VLOOKUP($C2234,sources!$A$2:$N$200,2,FALSE()),"?"))</f>
        <v>Web compilation</v>
      </c>
      <c r="S2234" t="str">
        <f>IF($C2234="","",IFERROR(VLOOKUP($C2234,sources!$A$2:$N$200,9,FALSE()),"?"))</f>
        <v>Caribbean community</v>
      </c>
    </row>
    <row r="2235" spans="1:19" x14ac:dyDescent="0.2">
      <c r="A2235" t="s">
        <v>6898</v>
      </c>
      <c r="B2235" t="s">
        <v>915</v>
      </c>
      <c r="C2235" t="s">
        <v>1412</v>
      </c>
      <c r="D2235" t="s">
        <v>1666</v>
      </c>
      <c r="E2235" t="s">
        <v>916</v>
      </c>
      <c r="F2235" t="s">
        <v>1612</v>
      </c>
      <c r="I2235" t="s">
        <v>1077</v>
      </c>
      <c r="M2235" t="s">
        <v>209</v>
      </c>
      <c r="N2235" t="s">
        <v>228</v>
      </c>
      <c r="O2235" t="s">
        <v>6530</v>
      </c>
      <c r="P2235" t="s">
        <v>6899</v>
      </c>
      <c r="Q2235" t="str">
        <f>IF($C2235="","",IFERROR(VLOOKUP($C2235,sources!$A$2:$N$200,2,FALSE()),"?"))</f>
        <v>Web compilation</v>
      </c>
      <c r="S2235" t="str">
        <f>IF($C2235="","",IFERROR(VLOOKUP($C2235,sources!$A$2:$N$200,9,FALSE()),"?"))</f>
        <v>Caribbean community</v>
      </c>
    </row>
    <row r="2236" spans="1:19" x14ac:dyDescent="0.2">
      <c r="A2236" t="s">
        <v>6900</v>
      </c>
      <c r="B2236" t="s">
        <v>918</v>
      </c>
      <c r="C2236" t="s">
        <v>1412</v>
      </c>
      <c r="D2236" t="s">
        <v>1666</v>
      </c>
      <c r="E2236" t="s">
        <v>919</v>
      </c>
      <c r="F2236" t="s">
        <v>1612</v>
      </c>
      <c r="I2236" t="s">
        <v>1077</v>
      </c>
      <c r="M2236" t="s">
        <v>209</v>
      </c>
      <c r="N2236" t="s">
        <v>228</v>
      </c>
      <c r="O2236" t="s">
        <v>6530</v>
      </c>
      <c r="P2236" t="s">
        <v>6901</v>
      </c>
      <c r="Q2236" t="str">
        <f>IF($C2236="","",IFERROR(VLOOKUP($C2236,sources!$A$2:$N$200,2,FALSE()),"?"))</f>
        <v>Web compilation</v>
      </c>
      <c r="S2236" t="str">
        <f>IF($C2236="","",IFERROR(VLOOKUP($C2236,sources!$A$2:$N$200,9,FALSE()),"?"))</f>
        <v>Caribbean community</v>
      </c>
    </row>
    <row r="2237" spans="1:19" x14ac:dyDescent="0.2">
      <c r="A2237" t="s">
        <v>6902</v>
      </c>
      <c r="B2237" t="s">
        <v>921</v>
      </c>
      <c r="C2237" t="s">
        <v>1412</v>
      </c>
      <c r="D2237" t="s">
        <v>1666</v>
      </c>
      <c r="E2237" t="s">
        <v>922</v>
      </c>
      <c r="F2237" t="s">
        <v>1612</v>
      </c>
      <c r="I2237" t="s">
        <v>1077</v>
      </c>
      <c r="M2237" t="s">
        <v>209</v>
      </c>
      <c r="N2237" t="s">
        <v>228</v>
      </c>
      <c r="O2237" t="s">
        <v>6530</v>
      </c>
      <c r="P2237" t="s">
        <v>6903</v>
      </c>
      <c r="Q2237" t="str">
        <f>IF($C2237="","",IFERROR(VLOOKUP($C2237,sources!$A$2:$N$200,2,FALSE()),"?"))</f>
        <v>Web compilation</v>
      </c>
      <c r="S2237" t="str">
        <f>IF($C2237="","",IFERROR(VLOOKUP($C2237,sources!$A$2:$N$200,9,FALSE()),"?"))</f>
        <v>Caribbean community</v>
      </c>
    </row>
    <row r="2238" spans="1:19" x14ac:dyDescent="0.2">
      <c r="A2238" t="s">
        <v>6904</v>
      </c>
      <c r="B2238" t="s">
        <v>925</v>
      </c>
      <c r="C2238" t="s">
        <v>1412</v>
      </c>
      <c r="D2238" t="s">
        <v>1666</v>
      </c>
      <c r="E2238" t="s">
        <v>927</v>
      </c>
      <c r="F2238" t="s">
        <v>1612</v>
      </c>
      <c r="I2238" t="s">
        <v>1077</v>
      </c>
      <c r="M2238" t="s">
        <v>209</v>
      </c>
      <c r="N2238" t="s">
        <v>228</v>
      </c>
      <c r="O2238" t="s">
        <v>6530</v>
      </c>
      <c r="P2238" t="s">
        <v>6905</v>
      </c>
      <c r="Q2238" t="str">
        <f>IF($C2238="","",IFERROR(VLOOKUP($C2238,sources!$A$2:$N$200,2,FALSE()),"?"))</f>
        <v>Web compilation</v>
      </c>
      <c r="S2238" t="str">
        <f>IF($C2238="","",IFERROR(VLOOKUP($C2238,sources!$A$2:$N$200,9,FALSE()),"?"))</f>
        <v>Caribbean community</v>
      </c>
    </row>
    <row r="2239" spans="1:19" x14ac:dyDescent="0.2">
      <c r="A2239" t="s">
        <v>6906</v>
      </c>
      <c r="B2239" t="s">
        <v>929</v>
      </c>
      <c r="C2239" t="s">
        <v>1412</v>
      </c>
      <c r="D2239" t="s">
        <v>1666</v>
      </c>
      <c r="E2239" t="s">
        <v>930</v>
      </c>
      <c r="F2239" t="s">
        <v>1612</v>
      </c>
      <c r="I2239" t="s">
        <v>1077</v>
      </c>
      <c r="M2239" t="s">
        <v>209</v>
      </c>
      <c r="N2239" t="s">
        <v>228</v>
      </c>
      <c r="O2239" t="s">
        <v>6530</v>
      </c>
      <c r="P2239" t="s">
        <v>6907</v>
      </c>
      <c r="Q2239" t="str">
        <f>IF($C2239="","",IFERROR(VLOOKUP($C2239,sources!$A$2:$N$200,2,FALSE()),"?"))</f>
        <v>Web compilation</v>
      </c>
      <c r="S2239" t="str">
        <f>IF($C2239="","",IFERROR(VLOOKUP($C2239,sources!$A$2:$N$200,9,FALSE()),"?"))</f>
        <v>Caribbean community</v>
      </c>
    </row>
    <row r="2240" spans="1:19" x14ac:dyDescent="0.2">
      <c r="A2240" t="s">
        <v>6908</v>
      </c>
      <c r="B2240" t="s">
        <v>933</v>
      </c>
      <c r="C2240" t="s">
        <v>1412</v>
      </c>
      <c r="D2240" t="s">
        <v>1666</v>
      </c>
      <c r="E2240" t="s">
        <v>934</v>
      </c>
      <c r="F2240" t="s">
        <v>1612</v>
      </c>
      <c r="I2240" t="s">
        <v>1077</v>
      </c>
      <c r="M2240" t="s">
        <v>209</v>
      </c>
      <c r="N2240" t="s">
        <v>228</v>
      </c>
      <c r="O2240" t="s">
        <v>6530</v>
      </c>
      <c r="P2240" t="s">
        <v>6909</v>
      </c>
      <c r="Q2240" t="str">
        <f>IF($C2240="","",IFERROR(VLOOKUP($C2240,sources!$A$2:$N$200,2,FALSE()),"?"))</f>
        <v>Web compilation</v>
      </c>
      <c r="S2240" t="str">
        <f>IF($C2240="","",IFERROR(VLOOKUP($C2240,sources!$A$2:$N$200,9,FALSE()),"?"))</f>
        <v>Caribbean community</v>
      </c>
    </row>
    <row r="2241" spans="1:19" x14ac:dyDescent="0.2">
      <c r="A2241" t="s">
        <v>6910</v>
      </c>
      <c r="B2241" t="s">
        <v>936</v>
      </c>
      <c r="C2241" t="s">
        <v>1412</v>
      </c>
      <c r="D2241" t="s">
        <v>1666</v>
      </c>
      <c r="E2241" t="s">
        <v>937</v>
      </c>
      <c r="F2241" t="s">
        <v>1612</v>
      </c>
      <c r="I2241" t="s">
        <v>1077</v>
      </c>
      <c r="M2241" t="s">
        <v>209</v>
      </c>
      <c r="N2241" t="s">
        <v>228</v>
      </c>
      <c r="O2241" t="s">
        <v>6530</v>
      </c>
      <c r="P2241" t="s">
        <v>6911</v>
      </c>
      <c r="Q2241" t="str">
        <f>IF($C2241="","",IFERROR(VLOOKUP($C2241,sources!$A$2:$N$200,2,FALSE()),"?"))</f>
        <v>Web compilation</v>
      </c>
      <c r="S2241" t="str">
        <f>IF($C2241="","",IFERROR(VLOOKUP($C2241,sources!$A$2:$N$200,9,FALSE()),"?"))</f>
        <v>Caribbean community</v>
      </c>
    </row>
    <row r="2242" spans="1:19" x14ac:dyDescent="0.2">
      <c r="A2242" t="s">
        <v>6912</v>
      </c>
      <c r="B2242" t="s">
        <v>939</v>
      </c>
      <c r="C2242" t="s">
        <v>1412</v>
      </c>
      <c r="D2242" t="s">
        <v>1666</v>
      </c>
      <c r="E2242" t="s">
        <v>940</v>
      </c>
      <c r="F2242" t="s">
        <v>1612</v>
      </c>
      <c r="I2242" t="s">
        <v>1077</v>
      </c>
      <c r="M2242" t="s">
        <v>209</v>
      </c>
      <c r="N2242" t="s">
        <v>228</v>
      </c>
      <c r="O2242" t="s">
        <v>6530</v>
      </c>
      <c r="P2242" t="s">
        <v>6913</v>
      </c>
      <c r="Q2242" t="str">
        <f>IF($C2242="","",IFERROR(VLOOKUP($C2242,sources!$A$2:$N$200,2,FALSE()),"?"))</f>
        <v>Web compilation</v>
      </c>
      <c r="S2242" t="str">
        <f>IF($C2242="","",IFERROR(VLOOKUP($C2242,sources!$A$2:$N$200,9,FALSE()),"?"))</f>
        <v>Caribbean community</v>
      </c>
    </row>
    <row r="2243" spans="1:19" x14ac:dyDescent="0.2">
      <c r="A2243" t="s">
        <v>6914</v>
      </c>
      <c r="B2243" t="s">
        <v>943</v>
      </c>
      <c r="C2243" t="s">
        <v>1412</v>
      </c>
      <c r="D2243" t="s">
        <v>1666</v>
      </c>
      <c r="E2243" t="s">
        <v>6725</v>
      </c>
      <c r="F2243" t="s">
        <v>1612</v>
      </c>
      <c r="I2243" t="s">
        <v>1077</v>
      </c>
      <c r="M2243" t="s">
        <v>209</v>
      </c>
      <c r="N2243" t="s">
        <v>228</v>
      </c>
      <c r="O2243" t="s">
        <v>6530</v>
      </c>
      <c r="P2243" t="s">
        <v>6915</v>
      </c>
      <c r="Q2243" t="str">
        <f>IF($C2243="","",IFERROR(VLOOKUP($C2243,sources!$A$2:$N$200,2,FALSE()),"?"))</f>
        <v>Web compilation</v>
      </c>
      <c r="S2243" t="str">
        <f>IF($C2243="","",IFERROR(VLOOKUP($C2243,sources!$A$2:$N$200,9,FALSE()),"?"))</f>
        <v>Caribbean community</v>
      </c>
    </row>
    <row r="2244" spans="1:19" x14ac:dyDescent="0.2">
      <c r="A2244" t="s">
        <v>6916</v>
      </c>
      <c r="B2244" t="s">
        <v>951</v>
      </c>
      <c r="C2244" t="s">
        <v>1412</v>
      </c>
      <c r="D2244" t="s">
        <v>1666</v>
      </c>
      <c r="E2244" t="s">
        <v>953</v>
      </c>
      <c r="F2244" t="s">
        <v>1612</v>
      </c>
      <c r="I2244" t="s">
        <v>1077</v>
      </c>
      <c r="M2244" t="s">
        <v>209</v>
      </c>
      <c r="N2244" t="s">
        <v>228</v>
      </c>
      <c r="O2244" t="s">
        <v>6530</v>
      </c>
      <c r="P2244" t="s">
        <v>6917</v>
      </c>
      <c r="Q2244" t="str">
        <f>IF($C2244="","",IFERROR(VLOOKUP($C2244,sources!$A$2:$N$200,2,FALSE()),"?"))</f>
        <v>Web compilation</v>
      </c>
      <c r="S2244" t="str">
        <f>IF($C2244="","",IFERROR(VLOOKUP($C2244,sources!$A$2:$N$200,9,FALSE()),"?"))</f>
        <v>Caribbean community</v>
      </c>
    </row>
    <row r="2245" spans="1:19" x14ac:dyDescent="0.2">
      <c r="A2245" t="s">
        <v>6918</v>
      </c>
      <c r="B2245" t="s">
        <v>957</v>
      </c>
      <c r="C2245" t="s">
        <v>1412</v>
      </c>
      <c r="D2245" t="s">
        <v>1666</v>
      </c>
      <c r="E2245" t="s">
        <v>958</v>
      </c>
      <c r="F2245" t="s">
        <v>1612</v>
      </c>
      <c r="I2245" t="s">
        <v>1077</v>
      </c>
      <c r="M2245" t="s">
        <v>209</v>
      </c>
      <c r="N2245" t="s">
        <v>228</v>
      </c>
      <c r="O2245" t="s">
        <v>6530</v>
      </c>
      <c r="P2245" t="s">
        <v>6919</v>
      </c>
      <c r="Q2245" t="str">
        <f>IF($C2245="","",IFERROR(VLOOKUP($C2245,sources!$A$2:$N$200,2,FALSE()),"?"))</f>
        <v>Web compilation</v>
      </c>
      <c r="S2245" t="str">
        <f>IF($C2245="","",IFERROR(VLOOKUP($C2245,sources!$A$2:$N$200,9,FALSE()),"?"))</f>
        <v>Caribbean community</v>
      </c>
    </row>
    <row r="2246" spans="1:19" x14ac:dyDescent="0.2">
      <c r="A2246" t="s">
        <v>6920</v>
      </c>
      <c r="B2246" t="s">
        <v>962</v>
      </c>
      <c r="C2246" t="s">
        <v>1412</v>
      </c>
      <c r="D2246" t="s">
        <v>1599</v>
      </c>
      <c r="E2246" t="s">
        <v>6160</v>
      </c>
      <c r="F2246" t="s">
        <v>1612</v>
      </c>
      <c r="I2246" t="s">
        <v>1077</v>
      </c>
      <c r="M2246" t="s">
        <v>209</v>
      </c>
      <c r="N2246" t="s">
        <v>222</v>
      </c>
      <c r="O2246" t="s">
        <v>6530</v>
      </c>
      <c r="P2246" t="s">
        <v>6921</v>
      </c>
      <c r="Q2246" t="str">
        <f>IF($C2246="","",IFERROR(VLOOKUP($C2246,sources!$A$2:$N$200,2,FALSE()),"?"))</f>
        <v>Web compilation</v>
      </c>
      <c r="S2246" t="str">
        <f>IF($C2246="","",IFERROR(VLOOKUP($C2246,sources!$A$2:$N$200,9,FALSE()),"?"))</f>
        <v>Caribbean community</v>
      </c>
    </row>
    <row r="2247" spans="1:19" x14ac:dyDescent="0.2">
      <c r="A2247" t="s">
        <v>6922</v>
      </c>
      <c r="B2247" t="s">
        <v>966</v>
      </c>
      <c r="C2247" t="s">
        <v>1412</v>
      </c>
      <c r="D2247" t="s">
        <v>1666</v>
      </c>
      <c r="E2247" t="s">
        <v>6734</v>
      </c>
      <c r="F2247" t="s">
        <v>1612</v>
      </c>
      <c r="I2247" t="s">
        <v>1077</v>
      </c>
      <c r="M2247" t="s">
        <v>209</v>
      </c>
      <c r="N2247" t="s">
        <v>228</v>
      </c>
      <c r="O2247" t="s">
        <v>6530</v>
      </c>
      <c r="P2247" t="s">
        <v>6923</v>
      </c>
      <c r="Q2247" t="str">
        <f>IF($C2247="","",IFERROR(VLOOKUP($C2247,sources!$A$2:$N$200,2,FALSE()),"?"))</f>
        <v>Web compilation</v>
      </c>
      <c r="S2247" t="str">
        <f>IF($C2247="","",IFERROR(VLOOKUP($C2247,sources!$A$2:$N$200,9,FALSE()),"?"))</f>
        <v>Caribbean community</v>
      </c>
    </row>
    <row r="2248" spans="1:19" x14ac:dyDescent="0.2">
      <c r="A2248" t="s">
        <v>6924</v>
      </c>
      <c r="B2248" t="s">
        <v>955</v>
      </c>
      <c r="C2248" t="s">
        <v>1412</v>
      </c>
      <c r="D2248" t="s">
        <v>1599</v>
      </c>
      <c r="E2248" t="s">
        <v>6737</v>
      </c>
      <c r="F2248" t="s">
        <v>1612</v>
      </c>
      <c r="I2248" t="s">
        <v>1077</v>
      </c>
      <c r="M2248" t="s">
        <v>209</v>
      </c>
      <c r="N2248" t="s">
        <v>222</v>
      </c>
      <c r="O2248" t="s">
        <v>6530</v>
      </c>
      <c r="P2248" t="s">
        <v>6925</v>
      </c>
      <c r="Q2248" t="str">
        <f>IF($C2248="","",IFERROR(VLOOKUP($C2248,sources!$A$2:$N$200,2,FALSE()),"?"))</f>
        <v>Web compilation</v>
      </c>
      <c r="S2248" t="str">
        <f>IF($C2248="","",IFERROR(VLOOKUP($C2248,sources!$A$2:$N$200,9,FALSE()),"?"))</f>
        <v>Caribbean community</v>
      </c>
    </row>
    <row r="2249" spans="1:19" x14ac:dyDescent="0.2">
      <c r="A2249" t="s">
        <v>6926</v>
      </c>
      <c r="B2249" t="s">
        <v>974</v>
      </c>
      <c r="C2249" t="s">
        <v>1412</v>
      </c>
      <c r="D2249" t="s">
        <v>1666</v>
      </c>
      <c r="E2249" t="s">
        <v>6609</v>
      </c>
      <c r="F2249" t="s">
        <v>1612</v>
      </c>
      <c r="I2249" t="s">
        <v>1077</v>
      </c>
      <c r="M2249" t="s">
        <v>209</v>
      </c>
      <c r="N2249" t="s">
        <v>228</v>
      </c>
      <c r="O2249" t="s">
        <v>6530</v>
      </c>
      <c r="P2249" t="s">
        <v>6927</v>
      </c>
      <c r="Q2249" t="str">
        <f>IF($C2249="","",IFERROR(VLOOKUP($C2249,sources!$A$2:$N$200,2,FALSE()),"?"))</f>
        <v>Web compilation</v>
      </c>
      <c r="S2249" t="str">
        <f>IF($C2249="","",IFERROR(VLOOKUP($C2249,sources!$A$2:$N$200,9,FALSE()),"?"))</f>
        <v>Caribbean community</v>
      </c>
    </row>
    <row r="2250" spans="1:19" x14ac:dyDescent="0.2">
      <c r="A2250" t="s">
        <v>6928</v>
      </c>
      <c r="B2250" t="s">
        <v>978</v>
      </c>
      <c r="C2250" t="s">
        <v>1412</v>
      </c>
      <c r="D2250" t="s">
        <v>1666</v>
      </c>
      <c r="E2250" t="s">
        <v>979</v>
      </c>
      <c r="F2250" t="s">
        <v>1612</v>
      </c>
      <c r="I2250" t="s">
        <v>1077</v>
      </c>
      <c r="M2250" t="s">
        <v>209</v>
      </c>
      <c r="N2250" t="s">
        <v>228</v>
      </c>
      <c r="O2250" t="s">
        <v>6530</v>
      </c>
      <c r="P2250" t="s">
        <v>6929</v>
      </c>
      <c r="Q2250" t="str">
        <f>IF($C2250="","",IFERROR(VLOOKUP($C2250,sources!$A$2:$N$200,2,FALSE()),"?"))</f>
        <v>Web compilation</v>
      </c>
      <c r="S2250" t="str">
        <f>IF($C2250="","",IFERROR(VLOOKUP($C2250,sources!$A$2:$N$200,9,FALSE()),"?"))</f>
        <v>Caribbean community</v>
      </c>
    </row>
    <row r="2251" spans="1:19" x14ac:dyDescent="0.2">
      <c r="A2251" t="s">
        <v>6930</v>
      </c>
      <c r="B2251" t="s">
        <v>981</v>
      </c>
      <c r="C2251" t="s">
        <v>1412</v>
      </c>
      <c r="D2251" t="s">
        <v>1666</v>
      </c>
      <c r="E2251" t="s">
        <v>982</v>
      </c>
      <c r="F2251" t="s">
        <v>1612</v>
      </c>
      <c r="I2251" t="s">
        <v>1077</v>
      </c>
      <c r="M2251" t="s">
        <v>209</v>
      </c>
      <c r="N2251" t="s">
        <v>228</v>
      </c>
      <c r="O2251" t="s">
        <v>6530</v>
      </c>
      <c r="P2251" t="s">
        <v>6931</v>
      </c>
      <c r="Q2251" t="str">
        <f>IF($C2251="","",IFERROR(VLOOKUP($C2251,sources!$A$2:$N$200,2,FALSE()),"?"))</f>
        <v>Web compilation</v>
      </c>
      <c r="S2251" t="str">
        <f>IF($C2251="","",IFERROR(VLOOKUP($C2251,sources!$A$2:$N$200,9,FALSE()),"?"))</f>
        <v>Caribbean community</v>
      </c>
    </row>
    <row r="2252" spans="1:19" x14ac:dyDescent="0.2">
      <c r="A2252" t="s">
        <v>6932</v>
      </c>
      <c r="B2252" t="s">
        <v>985</v>
      </c>
      <c r="C2252" t="s">
        <v>1412</v>
      </c>
      <c r="D2252" t="s">
        <v>1666</v>
      </c>
      <c r="E2252" t="s">
        <v>5308</v>
      </c>
      <c r="F2252" t="s">
        <v>1612</v>
      </c>
      <c r="I2252" t="s">
        <v>1077</v>
      </c>
      <c r="M2252" t="s">
        <v>209</v>
      </c>
      <c r="N2252" t="s">
        <v>209</v>
      </c>
      <c r="O2252" t="s">
        <v>6530</v>
      </c>
      <c r="P2252" t="s">
        <v>6933</v>
      </c>
      <c r="Q2252" t="str">
        <f>IF($C2252="","",IFERROR(VLOOKUP($C2252,sources!$A$2:$N$200,2,FALSE()),"?"))</f>
        <v>Web compilation</v>
      </c>
      <c r="S2252" t="str">
        <f>IF($C2252="","",IFERROR(VLOOKUP($C2252,sources!$A$2:$N$200,9,FALSE()),"?"))</f>
        <v>Caribbean community</v>
      </c>
    </row>
    <row r="2253" spans="1:19" x14ac:dyDescent="0.2">
      <c r="A2253" t="s">
        <v>6934</v>
      </c>
      <c r="B2253" t="s">
        <v>990</v>
      </c>
      <c r="C2253" t="s">
        <v>1412</v>
      </c>
      <c r="D2253" t="s">
        <v>1599</v>
      </c>
      <c r="E2253" t="s">
        <v>6619</v>
      </c>
      <c r="F2253" t="s">
        <v>1612</v>
      </c>
      <c r="I2253" t="s">
        <v>1077</v>
      </c>
      <c r="M2253" t="s">
        <v>209</v>
      </c>
      <c r="N2253" t="s">
        <v>222</v>
      </c>
      <c r="O2253" t="s">
        <v>6530</v>
      </c>
      <c r="P2253" t="s">
        <v>6935</v>
      </c>
      <c r="Q2253" t="str">
        <f>IF($C2253="","",IFERROR(VLOOKUP($C2253,sources!$A$2:$N$200,2,FALSE()),"?"))</f>
        <v>Web compilation</v>
      </c>
      <c r="S2253" t="str">
        <f>IF($C2253="","",IFERROR(VLOOKUP($C2253,sources!$A$2:$N$200,9,FALSE()),"?"))</f>
        <v>Caribbean community</v>
      </c>
    </row>
    <row r="2254" spans="1:19" x14ac:dyDescent="0.2">
      <c r="A2254" t="s">
        <v>6936</v>
      </c>
      <c r="B2254" t="s">
        <v>993</v>
      </c>
      <c r="C2254" t="s">
        <v>1412</v>
      </c>
      <c r="D2254" t="s">
        <v>1666</v>
      </c>
      <c r="E2254" t="s">
        <v>6622</v>
      </c>
      <c r="F2254" t="s">
        <v>1612</v>
      </c>
      <c r="I2254" t="s">
        <v>1077</v>
      </c>
      <c r="M2254" t="s">
        <v>209</v>
      </c>
      <c r="N2254" t="s">
        <v>228</v>
      </c>
      <c r="O2254" t="s">
        <v>6530</v>
      </c>
      <c r="P2254" t="s">
        <v>6937</v>
      </c>
      <c r="Q2254" t="str">
        <f>IF($C2254="","",IFERROR(VLOOKUP($C2254,sources!$A$2:$N$200,2,FALSE()),"?"))</f>
        <v>Web compilation</v>
      </c>
      <c r="S2254" t="str">
        <f>IF($C2254="","",IFERROR(VLOOKUP($C2254,sources!$A$2:$N$200,9,FALSE()),"?"))</f>
        <v>Caribbean community</v>
      </c>
    </row>
    <row r="2255" spans="1:19" x14ac:dyDescent="0.2">
      <c r="A2255" t="s">
        <v>6938</v>
      </c>
      <c r="B2255" t="s">
        <v>998</v>
      </c>
      <c r="C2255" t="s">
        <v>1412</v>
      </c>
      <c r="D2255" t="s">
        <v>1666</v>
      </c>
      <c r="E2255" t="s">
        <v>1000</v>
      </c>
      <c r="F2255" t="s">
        <v>1612</v>
      </c>
      <c r="I2255" t="s">
        <v>1077</v>
      </c>
      <c r="M2255" t="s">
        <v>209</v>
      </c>
      <c r="N2255" t="s">
        <v>228</v>
      </c>
      <c r="O2255" t="s">
        <v>6530</v>
      </c>
      <c r="P2255" t="s">
        <v>6939</v>
      </c>
      <c r="Q2255" t="str">
        <f>IF($C2255="","",IFERROR(VLOOKUP($C2255,sources!$A$2:$N$200,2,FALSE()),"?"))</f>
        <v>Web compilation</v>
      </c>
      <c r="S2255" t="str">
        <f>IF($C2255="","",IFERROR(VLOOKUP($C2255,sources!$A$2:$N$200,9,FALSE()),"?"))</f>
        <v>Caribbean community</v>
      </c>
    </row>
    <row r="2256" spans="1:19" x14ac:dyDescent="0.2">
      <c r="A2256" t="s">
        <v>6940</v>
      </c>
      <c r="B2256" t="s">
        <v>1002</v>
      </c>
      <c r="C2256" t="s">
        <v>1412</v>
      </c>
      <c r="D2256" t="s">
        <v>1599</v>
      </c>
      <c r="E2256" t="s">
        <v>1004</v>
      </c>
      <c r="F2256" t="s">
        <v>1612</v>
      </c>
      <c r="I2256" t="s">
        <v>1077</v>
      </c>
      <c r="M2256" t="s">
        <v>209</v>
      </c>
      <c r="N2256" t="s">
        <v>222</v>
      </c>
      <c r="O2256" t="s">
        <v>6530</v>
      </c>
      <c r="P2256" t="s">
        <v>6941</v>
      </c>
      <c r="Q2256" t="str">
        <f>IF($C2256="","",IFERROR(VLOOKUP($C2256,sources!$A$2:$N$200,2,FALSE()),"?"))</f>
        <v>Web compilation</v>
      </c>
      <c r="S2256" t="str">
        <f>IF($C2256="","",IFERROR(VLOOKUP($C2256,sources!$A$2:$N$200,9,FALSE()),"?"))</f>
        <v>Caribbean community</v>
      </c>
    </row>
    <row r="2257" spans="1:19" x14ac:dyDescent="0.2">
      <c r="A2257" t="s">
        <v>6942</v>
      </c>
      <c r="B2257" t="s">
        <v>805</v>
      </c>
      <c r="C2257" t="s">
        <v>1412</v>
      </c>
      <c r="D2257" t="s">
        <v>1599</v>
      </c>
      <c r="E2257" t="s">
        <v>806</v>
      </c>
      <c r="F2257" t="s">
        <v>1612</v>
      </c>
      <c r="I2257" t="s">
        <v>1077</v>
      </c>
      <c r="M2257" t="s">
        <v>209</v>
      </c>
      <c r="N2257" t="s">
        <v>209</v>
      </c>
      <c r="O2257" t="s">
        <v>6530</v>
      </c>
      <c r="P2257" t="s">
        <v>6943</v>
      </c>
      <c r="Q2257" t="str">
        <f>IF($C2257="","",IFERROR(VLOOKUP($C2257,sources!$A$2:$N$200,2,FALSE()),"?"))</f>
        <v>Web compilation</v>
      </c>
      <c r="S2257" t="str">
        <f>IF($C2257="","",IFERROR(VLOOKUP($C2257,sources!$A$2:$N$200,9,FALSE()),"?"))</f>
        <v>Caribbean community</v>
      </c>
    </row>
    <row r="2258" spans="1:19" x14ac:dyDescent="0.2">
      <c r="A2258" t="s">
        <v>6944</v>
      </c>
      <c r="B2258" t="s">
        <v>1013</v>
      </c>
      <c r="C2258" t="s">
        <v>1412</v>
      </c>
      <c r="D2258" t="s">
        <v>1666</v>
      </c>
      <c r="E2258" t="s">
        <v>1014</v>
      </c>
      <c r="F2258" t="s">
        <v>1612</v>
      </c>
      <c r="I2258" t="s">
        <v>1077</v>
      </c>
      <c r="M2258" t="s">
        <v>209</v>
      </c>
      <c r="N2258" t="s">
        <v>228</v>
      </c>
      <c r="O2258" t="s">
        <v>6530</v>
      </c>
      <c r="P2258" t="s">
        <v>6945</v>
      </c>
      <c r="Q2258" t="str">
        <f>IF($C2258="","",IFERROR(VLOOKUP($C2258,sources!$A$2:$N$200,2,FALSE()),"?"))</f>
        <v>Web compilation</v>
      </c>
      <c r="S2258" t="str">
        <f>IF($C2258="","",IFERROR(VLOOKUP($C2258,sources!$A$2:$N$200,9,FALSE()),"?"))</f>
        <v>Caribbean community</v>
      </c>
    </row>
    <row r="2259" spans="1:19" x14ac:dyDescent="0.2">
      <c r="A2259" t="s">
        <v>6946</v>
      </c>
      <c r="B2259" t="s">
        <v>1016</v>
      </c>
      <c r="C2259" t="s">
        <v>1412</v>
      </c>
      <c r="D2259" t="s">
        <v>1666</v>
      </c>
      <c r="E2259" t="s">
        <v>6634</v>
      </c>
      <c r="F2259" t="s">
        <v>1612</v>
      </c>
      <c r="I2259" t="s">
        <v>1077</v>
      </c>
      <c r="M2259" t="s">
        <v>209</v>
      </c>
      <c r="N2259" t="s">
        <v>228</v>
      </c>
      <c r="O2259" t="s">
        <v>6530</v>
      </c>
      <c r="P2259" t="s">
        <v>6947</v>
      </c>
      <c r="Q2259" t="str">
        <f>IF($C2259="","",IFERROR(VLOOKUP($C2259,sources!$A$2:$N$200,2,FALSE()),"?"))</f>
        <v>Web compilation</v>
      </c>
      <c r="S2259" t="str">
        <f>IF($C2259="","",IFERROR(VLOOKUP($C2259,sources!$A$2:$N$200,9,FALSE()),"?"))</f>
        <v>Caribbean community</v>
      </c>
    </row>
    <row r="2260" spans="1:19" x14ac:dyDescent="0.2">
      <c r="A2260" t="s">
        <v>6948</v>
      </c>
      <c r="B2260" t="s">
        <v>1021</v>
      </c>
      <c r="C2260" t="s">
        <v>1412</v>
      </c>
      <c r="D2260" t="s">
        <v>1599</v>
      </c>
      <c r="E2260" t="s">
        <v>1022</v>
      </c>
      <c r="F2260" t="s">
        <v>1612</v>
      </c>
      <c r="I2260" t="s">
        <v>1077</v>
      </c>
      <c r="M2260" t="s">
        <v>209</v>
      </c>
      <c r="N2260" t="s">
        <v>222</v>
      </c>
      <c r="O2260" t="s">
        <v>6530</v>
      </c>
      <c r="P2260" t="s">
        <v>6949</v>
      </c>
      <c r="Q2260" t="str">
        <f>IF($C2260="","",IFERROR(VLOOKUP($C2260,sources!$A$2:$N$200,2,FALSE()),"?"))</f>
        <v>Web compilation</v>
      </c>
      <c r="S2260" t="str">
        <f>IF($C2260="","",IFERROR(VLOOKUP($C2260,sources!$A$2:$N$200,9,FALSE()),"?"))</f>
        <v>Caribbean community</v>
      </c>
    </row>
    <row r="2261" spans="1:19" x14ac:dyDescent="0.2">
      <c r="A2261" t="s">
        <v>6950</v>
      </c>
      <c r="B2261" t="s">
        <v>1031</v>
      </c>
      <c r="C2261" t="s">
        <v>1412</v>
      </c>
      <c r="D2261" t="s">
        <v>1666</v>
      </c>
      <c r="E2261" t="s">
        <v>1032</v>
      </c>
      <c r="F2261" t="s">
        <v>1612</v>
      </c>
      <c r="I2261" t="s">
        <v>1077</v>
      </c>
      <c r="M2261" t="s">
        <v>209</v>
      </c>
      <c r="N2261" t="s">
        <v>228</v>
      </c>
      <c r="O2261" t="s">
        <v>6530</v>
      </c>
      <c r="P2261" t="s">
        <v>6951</v>
      </c>
      <c r="Q2261" t="str">
        <f>IF($C2261="","",IFERROR(VLOOKUP($C2261,sources!$A$2:$N$200,2,FALSE()),"?"))</f>
        <v>Web compilation</v>
      </c>
      <c r="S2261" t="str">
        <f>IF($C2261="","",IFERROR(VLOOKUP($C2261,sources!$A$2:$N$200,9,FALSE()),"?"))</f>
        <v>Caribbean community</v>
      </c>
    </row>
    <row r="2262" spans="1:19" x14ac:dyDescent="0.2">
      <c r="A2262" t="s">
        <v>6952</v>
      </c>
      <c r="B2262" t="s">
        <v>921</v>
      </c>
      <c r="C2262" t="s">
        <v>1412</v>
      </c>
      <c r="D2262" t="s">
        <v>1666</v>
      </c>
      <c r="E2262" t="s">
        <v>923</v>
      </c>
      <c r="F2262" t="s">
        <v>1612</v>
      </c>
      <c r="I2262" t="s">
        <v>1077</v>
      </c>
      <c r="M2262" t="s">
        <v>209</v>
      </c>
      <c r="N2262" t="s">
        <v>228</v>
      </c>
      <c r="O2262" t="s">
        <v>6530</v>
      </c>
      <c r="P2262" t="s">
        <v>6953</v>
      </c>
      <c r="Q2262" t="str">
        <f>IF($C2262="","",IFERROR(VLOOKUP($C2262,sources!$A$2:$N$200,2,FALSE()),"?"))</f>
        <v>Web compilation</v>
      </c>
      <c r="S2262" t="str">
        <f>IF($C2262="","",IFERROR(VLOOKUP($C2262,sources!$A$2:$N$200,9,FALSE()),"?"))</f>
        <v>Caribbean community</v>
      </c>
    </row>
    <row r="2263" spans="1:19" x14ac:dyDescent="0.2">
      <c r="A2263" t="s">
        <v>6954</v>
      </c>
      <c r="B2263" t="s">
        <v>1036</v>
      </c>
      <c r="C2263" t="s">
        <v>1412</v>
      </c>
      <c r="D2263" t="s">
        <v>1666</v>
      </c>
      <c r="E2263" t="s">
        <v>1037</v>
      </c>
      <c r="F2263" t="s">
        <v>1612</v>
      </c>
      <c r="I2263" t="s">
        <v>1077</v>
      </c>
      <c r="M2263" t="s">
        <v>209</v>
      </c>
      <c r="N2263" t="s">
        <v>228</v>
      </c>
      <c r="O2263" t="s">
        <v>6530</v>
      </c>
      <c r="P2263" t="s">
        <v>6955</v>
      </c>
      <c r="Q2263" t="str">
        <f>IF($C2263="","",IFERROR(VLOOKUP($C2263,sources!$A$2:$N$200,2,FALSE()),"?"))</f>
        <v>Web compilation</v>
      </c>
      <c r="S2263" t="str">
        <f>IF($C2263="","",IFERROR(VLOOKUP($C2263,sources!$A$2:$N$200,9,FALSE()),"?"))</f>
        <v>Caribbean community</v>
      </c>
    </row>
    <row r="2264" spans="1:19" x14ac:dyDescent="0.2">
      <c r="A2264" t="s">
        <v>6956</v>
      </c>
      <c r="B2264" t="s">
        <v>1040</v>
      </c>
      <c r="C2264" t="s">
        <v>1412</v>
      </c>
      <c r="D2264" t="s">
        <v>1666</v>
      </c>
      <c r="E2264" t="s">
        <v>1041</v>
      </c>
      <c r="F2264" t="s">
        <v>1612</v>
      </c>
      <c r="I2264" t="s">
        <v>1077</v>
      </c>
      <c r="M2264" t="s">
        <v>209</v>
      </c>
      <c r="N2264" t="s">
        <v>228</v>
      </c>
      <c r="O2264" t="s">
        <v>6530</v>
      </c>
      <c r="P2264" t="s">
        <v>6957</v>
      </c>
      <c r="Q2264" t="str">
        <f>IF($C2264="","",IFERROR(VLOOKUP($C2264,sources!$A$2:$N$200,2,FALSE()),"?"))</f>
        <v>Web compilation</v>
      </c>
      <c r="S2264" t="str">
        <f>IF($C2264="","",IFERROR(VLOOKUP($C2264,sources!$A$2:$N$200,9,FALSE()),"?"))</f>
        <v>Caribbean community</v>
      </c>
    </row>
    <row r="2265" spans="1:19" x14ac:dyDescent="0.2">
      <c r="A2265" t="s">
        <v>6958</v>
      </c>
      <c r="B2265" t="s">
        <v>925</v>
      </c>
      <c r="C2265" t="s">
        <v>1412</v>
      </c>
      <c r="D2265" t="s">
        <v>1666</v>
      </c>
      <c r="E2265" t="s">
        <v>927</v>
      </c>
      <c r="F2265" t="s">
        <v>1612</v>
      </c>
      <c r="I2265" t="s">
        <v>1077</v>
      </c>
      <c r="M2265" t="s">
        <v>209</v>
      </c>
      <c r="N2265" t="s">
        <v>209</v>
      </c>
      <c r="O2265" t="s">
        <v>6530</v>
      </c>
      <c r="P2265" t="s">
        <v>6959</v>
      </c>
      <c r="Q2265" t="str">
        <f>IF($C2265="","",IFERROR(VLOOKUP($C2265,sources!$A$2:$N$200,2,FALSE()),"?"))</f>
        <v>Web compilation</v>
      </c>
      <c r="S2265" t="str">
        <f>IF($C2265="","",IFERROR(VLOOKUP($C2265,sources!$A$2:$N$200,9,FALSE()),"?"))</f>
        <v>Caribbean community</v>
      </c>
    </row>
    <row r="2266" spans="1:19" x14ac:dyDescent="0.2">
      <c r="A2266" t="s">
        <v>6960</v>
      </c>
      <c r="B2266" t="s">
        <v>349</v>
      </c>
      <c r="C2266" t="s">
        <v>1528</v>
      </c>
      <c r="D2266" t="s">
        <v>1594</v>
      </c>
      <c r="E2266" t="s">
        <v>5611</v>
      </c>
      <c r="F2266" t="s">
        <v>1612</v>
      </c>
      <c r="G2266">
        <v>9.3558900000000005</v>
      </c>
      <c r="H2266">
        <v>-79.900599999999997</v>
      </c>
      <c r="I2266" t="s">
        <v>4813</v>
      </c>
      <c r="J2266">
        <v>400</v>
      </c>
      <c r="K2266">
        <v>1904</v>
      </c>
      <c r="L2266">
        <v>1904</v>
      </c>
      <c r="M2266" t="s">
        <v>228</v>
      </c>
      <c r="N2266" t="s">
        <v>222</v>
      </c>
      <c r="O2266" t="s">
        <v>6961</v>
      </c>
      <c r="P2266" t="s">
        <v>6962</v>
      </c>
      <c r="Q2266" t="str">
        <f>IF($C2266="","",IFERROR(VLOOKUP($C2266,sources!$A$2:$N$200,2,FALSE()),"?"))</f>
        <v>Map</v>
      </c>
      <c r="S2266" t="str">
        <f>IF($C2266="","",IFERROR(VLOOKUP($C2266,sources!$A$2:$N$200,9,FALSE()),"?"))</f>
        <v>US official</v>
      </c>
    </row>
    <row r="2267" spans="1:19" x14ac:dyDescent="0.2">
      <c r="A2267" t="s">
        <v>6963</v>
      </c>
      <c r="B2267" t="s">
        <v>434</v>
      </c>
      <c r="C2267" t="s">
        <v>1528</v>
      </c>
      <c r="D2267" t="s">
        <v>1594</v>
      </c>
      <c r="E2267" t="s">
        <v>3501</v>
      </c>
      <c r="F2267" t="s">
        <v>1612</v>
      </c>
      <c r="G2267">
        <v>9.33582</v>
      </c>
      <c r="H2267">
        <v>-79.892790000000005</v>
      </c>
      <c r="I2267" t="s">
        <v>4813</v>
      </c>
      <c r="J2267">
        <v>400</v>
      </c>
      <c r="K2267">
        <v>1904</v>
      </c>
      <c r="L2267">
        <v>1904</v>
      </c>
      <c r="M2267" t="s">
        <v>228</v>
      </c>
      <c r="N2267" t="s">
        <v>222</v>
      </c>
      <c r="O2267" t="s">
        <v>6961</v>
      </c>
      <c r="P2267" t="s">
        <v>6964</v>
      </c>
      <c r="Q2267" t="str">
        <f>IF($C2267="","",IFERROR(VLOOKUP($C2267,sources!$A$2:$N$200,2,FALSE()),"?"))</f>
        <v>Map</v>
      </c>
      <c r="S2267" t="str">
        <f>IF($C2267="","",IFERROR(VLOOKUP($C2267,sources!$A$2:$N$200,9,FALSE()),"?"))</f>
        <v>US official</v>
      </c>
    </row>
    <row r="2268" spans="1:19" x14ac:dyDescent="0.2">
      <c r="A2268" t="s">
        <v>6965</v>
      </c>
      <c r="B2268" t="s">
        <v>402</v>
      </c>
      <c r="C2268" t="s">
        <v>1528</v>
      </c>
      <c r="D2268" t="s">
        <v>1594</v>
      </c>
      <c r="E2268" t="s">
        <v>403</v>
      </c>
      <c r="F2268" t="s">
        <v>1612</v>
      </c>
      <c r="G2268">
        <v>9.2980739999999997</v>
      </c>
      <c r="H2268">
        <v>-79.905811</v>
      </c>
      <c r="I2268" t="s">
        <v>4813</v>
      </c>
      <c r="J2268">
        <v>500</v>
      </c>
      <c r="K2268">
        <v>1904</v>
      </c>
      <c r="L2268">
        <v>1904</v>
      </c>
      <c r="M2268" t="s">
        <v>228</v>
      </c>
      <c r="N2268" t="s">
        <v>228</v>
      </c>
      <c r="O2268" t="s">
        <v>6961</v>
      </c>
      <c r="P2268" t="s">
        <v>6966</v>
      </c>
      <c r="Q2268" t="str">
        <f>IF($C2268="","",IFERROR(VLOOKUP($C2268,sources!$A$2:$N$200,2,FALSE()),"?"))</f>
        <v>Map</v>
      </c>
      <c r="S2268" t="str">
        <f>IF($C2268="","",IFERROR(VLOOKUP($C2268,sources!$A$2:$N$200,9,FALSE()),"?"))</f>
        <v>US official</v>
      </c>
    </row>
    <row r="2269" spans="1:19" x14ac:dyDescent="0.2">
      <c r="A2269" t="s">
        <v>6967</v>
      </c>
      <c r="B2269" t="s">
        <v>422</v>
      </c>
      <c r="C2269" t="s">
        <v>1528</v>
      </c>
      <c r="D2269" t="s">
        <v>1585</v>
      </c>
      <c r="E2269" t="s">
        <v>423</v>
      </c>
      <c r="F2269" t="s">
        <v>1587</v>
      </c>
      <c r="I2269" t="s">
        <v>1077</v>
      </c>
      <c r="K2269">
        <v>1904</v>
      </c>
      <c r="L2269">
        <v>1904</v>
      </c>
      <c r="M2269" t="s">
        <v>228</v>
      </c>
      <c r="N2269" t="s">
        <v>222</v>
      </c>
      <c r="O2269" t="s">
        <v>6961</v>
      </c>
      <c r="P2269" t="s">
        <v>6968</v>
      </c>
      <c r="Q2269" t="str">
        <f>IF($C2269="","",IFERROR(VLOOKUP($C2269,sources!$A$2:$N$200,2,FALSE()),"?"))</f>
        <v>Map</v>
      </c>
      <c r="S2269" t="str">
        <f>IF($C2269="","",IFERROR(VLOOKUP($C2269,sources!$A$2:$N$200,9,FALSE()),"?"))</f>
        <v>US official</v>
      </c>
    </row>
    <row r="2270" spans="1:19" x14ac:dyDescent="0.2">
      <c r="A2270" t="s">
        <v>6969</v>
      </c>
      <c r="B2270" t="s">
        <v>408</v>
      </c>
      <c r="C2270" t="s">
        <v>1528</v>
      </c>
      <c r="D2270" t="s">
        <v>1594</v>
      </c>
      <c r="E2270" t="s">
        <v>409</v>
      </c>
      <c r="F2270" t="s">
        <v>1612</v>
      </c>
      <c r="G2270">
        <v>9.2231290000000001</v>
      </c>
      <c r="H2270">
        <v>-79.893120999999994</v>
      </c>
      <c r="I2270" t="s">
        <v>4813</v>
      </c>
      <c r="J2270">
        <v>500</v>
      </c>
      <c r="K2270">
        <v>1904</v>
      </c>
      <c r="L2270">
        <v>1904</v>
      </c>
      <c r="M2270" t="s">
        <v>228</v>
      </c>
      <c r="N2270" t="s">
        <v>228</v>
      </c>
      <c r="O2270" t="s">
        <v>6961</v>
      </c>
      <c r="P2270" t="s">
        <v>6970</v>
      </c>
      <c r="Q2270" t="str">
        <f>IF($C2270="","",IFERROR(VLOOKUP($C2270,sources!$A$2:$N$200,2,FALSE()),"?"))</f>
        <v>Map</v>
      </c>
      <c r="S2270" t="str">
        <f>IF($C2270="","",IFERROR(VLOOKUP($C2270,sources!$A$2:$N$200,9,FALSE()),"?"))</f>
        <v>US official</v>
      </c>
    </row>
    <row r="2271" spans="1:19" x14ac:dyDescent="0.2">
      <c r="A2271" t="s">
        <v>6971</v>
      </c>
      <c r="B2271" t="s">
        <v>224</v>
      </c>
      <c r="C2271" t="s">
        <v>1528</v>
      </c>
      <c r="D2271" t="s">
        <v>1594</v>
      </c>
      <c r="E2271" t="s">
        <v>225</v>
      </c>
      <c r="F2271" t="s">
        <v>1587</v>
      </c>
      <c r="G2271">
        <v>9.21251</v>
      </c>
      <c r="H2271">
        <v>-79.858641000000006</v>
      </c>
      <c r="I2271" t="s">
        <v>4813</v>
      </c>
      <c r="J2271">
        <v>500</v>
      </c>
      <c r="K2271">
        <v>1904</v>
      </c>
      <c r="L2271">
        <v>1904</v>
      </c>
      <c r="M2271" t="s">
        <v>228</v>
      </c>
      <c r="N2271" t="s">
        <v>228</v>
      </c>
      <c r="O2271" t="s">
        <v>6961</v>
      </c>
      <c r="P2271" t="s">
        <v>6970</v>
      </c>
      <c r="Q2271" t="str">
        <f>IF($C2271="","",IFERROR(VLOOKUP($C2271,sources!$A$2:$N$200,2,FALSE()),"?"))</f>
        <v>Map</v>
      </c>
      <c r="S2271" t="str">
        <f>IF($C2271="","",IFERROR(VLOOKUP($C2271,sources!$A$2:$N$200,9,FALSE()),"?"))</f>
        <v>US official</v>
      </c>
    </row>
    <row r="2272" spans="1:19" x14ac:dyDescent="0.2">
      <c r="A2272" t="s">
        <v>6972</v>
      </c>
      <c r="B2272" t="s">
        <v>622</v>
      </c>
      <c r="C2272" t="s">
        <v>1528</v>
      </c>
      <c r="D2272" t="s">
        <v>1594</v>
      </c>
      <c r="E2272" t="s">
        <v>623</v>
      </c>
      <c r="F2272" t="s">
        <v>1587</v>
      </c>
      <c r="G2272">
        <v>9.2024620000000006</v>
      </c>
      <c r="H2272">
        <v>-79.88597</v>
      </c>
      <c r="I2272" t="s">
        <v>4813</v>
      </c>
      <c r="J2272">
        <v>500</v>
      </c>
      <c r="K2272">
        <v>1904</v>
      </c>
      <c r="L2272">
        <v>1904</v>
      </c>
      <c r="M2272" t="s">
        <v>228</v>
      </c>
      <c r="N2272" t="s">
        <v>222</v>
      </c>
      <c r="O2272" t="s">
        <v>6961</v>
      </c>
      <c r="P2272" t="s">
        <v>6973</v>
      </c>
      <c r="Q2272" t="str">
        <f>IF($C2272="","",IFERROR(VLOOKUP($C2272,sources!$A$2:$N$200,2,FALSE()),"?"))</f>
        <v>Map</v>
      </c>
      <c r="S2272" t="str">
        <f>IF($C2272="","",IFERROR(VLOOKUP($C2272,sources!$A$2:$N$200,9,FALSE()),"?"))</f>
        <v>US official</v>
      </c>
    </row>
    <row r="2273" spans="1:19" x14ac:dyDescent="0.2">
      <c r="A2273" t="s">
        <v>6974</v>
      </c>
      <c r="B2273" t="s">
        <v>284</v>
      </c>
      <c r="C2273" t="s">
        <v>1528</v>
      </c>
      <c r="D2273" t="s">
        <v>1594</v>
      </c>
      <c r="E2273" t="s">
        <v>285</v>
      </c>
      <c r="F2273" t="s">
        <v>1587</v>
      </c>
      <c r="G2273">
        <v>9.1867819999999991</v>
      </c>
      <c r="H2273">
        <v>-79.845850999999996</v>
      </c>
      <c r="I2273" t="s">
        <v>4813</v>
      </c>
      <c r="J2273">
        <v>400</v>
      </c>
      <c r="K2273">
        <v>1904</v>
      </c>
      <c r="L2273">
        <v>1904</v>
      </c>
      <c r="M2273" t="s">
        <v>228</v>
      </c>
      <c r="N2273" t="s">
        <v>222</v>
      </c>
      <c r="O2273" t="s">
        <v>6961</v>
      </c>
      <c r="P2273" t="s">
        <v>6975</v>
      </c>
      <c r="Q2273" t="str">
        <f>IF($C2273="","",IFERROR(VLOOKUP($C2273,sources!$A$2:$N$200,2,FALSE()),"?"))</f>
        <v>Map</v>
      </c>
      <c r="S2273" t="str">
        <f>IF($C2273="","",IFERROR(VLOOKUP($C2273,sources!$A$2:$N$200,9,FALSE()),"?"))</f>
        <v>US official</v>
      </c>
    </row>
    <row r="2274" spans="1:19" x14ac:dyDescent="0.2">
      <c r="A2274" t="s">
        <v>6976</v>
      </c>
      <c r="B2274" t="s">
        <v>517</v>
      </c>
      <c r="C2274" t="s">
        <v>1528</v>
      </c>
      <c r="D2274" t="s">
        <v>1594</v>
      </c>
      <c r="E2274" t="s">
        <v>518</v>
      </c>
      <c r="F2274" t="s">
        <v>1587</v>
      </c>
      <c r="G2274">
        <v>9.1811579999999999</v>
      </c>
      <c r="H2274">
        <v>-79.858591000000004</v>
      </c>
      <c r="I2274" t="s">
        <v>4813</v>
      </c>
      <c r="J2274">
        <v>500</v>
      </c>
      <c r="K2274">
        <v>1904</v>
      </c>
      <c r="L2274">
        <v>1904</v>
      </c>
      <c r="M2274" t="s">
        <v>228</v>
      </c>
      <c r="N2274" t="s">
        <v>222</v>
      </c>
      <c r="O2274" t="s">
        <v>6961</v>
      </c>
      <c r="P2274" t="s">
        <v>6977</v>
      </c>
      <c r="Q2274" t="str">
        <f>IF($C2274="","",IFERROR(VLOOKUP($C2274,sources!$A$2:$N$200,2,FALSE()),"?"))</f>
        <v>Map</v>
      </c>
      <c r="S2274" t="str">
        <f>IF($C2274="","",IFERROR(VLOOKUP($C2274,sources!$A$2:$N$200,9,FALSE()),"?"))</f>
        <v>US official</v>
      </c>
    </row>
    <row r="2275" spans="1:19" x14ac:dyDescent="0.2">
      <c r="A2275" t="s">
        <v>6978</v>
      </c>
      <c r="B2275" t="s">
        <v>405</v>
      </c>
      <c r="C2275" t="s">
        <v>1528</v>
      </c>
      <c r="D2275" t="s">
        <v>1594</v>
      </c>
      <c r="E2275" t="s">
        <v>406</v>
      </c>
      <c r="F2275" t="s">
        <v>1587</v>
      </c>
      <c r="G2275">
        <v>9.1832030000000007</v>
      </c>
      <c r="H2275">
        <v>-79.830888000000002</v>
      </c>
      <c r="I2275" t="s">
        <v>4813</v>
      </c>
      <c r="J2275">
        <v>500</v>
      </c>
      <c r="K2275">
        <v>1904</v>
      </c>
      <c r="L2275">
        <v>1904</v>
      </c>
      <c r="M2275" t="s">
        <v>228</v>
      </c>
      <c r="N2275" t="s">
        <v>222</v>
      </c>
      <c r="O2275" t="s">
        <v>6961</v>
      </c>
      <c r="P2275" t="s">
        <v>6970</v>
      </c>
      <c r="Q2275" t="str">
        <f>IF($C2275="","",IFERROR(VLOOKUP($C2275,sources!$A$2:$N$200,2,FALSE()),"?"))</f>
        <v>Map</v>
      </c>
      <c r="S2275" t="str">
        <f>IF($C2275="","",IFERROR(VLOOKUP($C2275,sources!$A$2:$N$200,9,FALSE()),"?"))</f>
        <v>US official</v>
      </c>
    </row>
    <row r="2276" spans="1:19" x14ac:dyDescent="0.2">
      <c r="A2276" t="s">
        <v>6979</v>
      </c>
      <c r="B2276" t="s">
        <v>373</v>
      </c>
      <c r="C2276" t="s">
        <v>1528</v>
      </c>
      <c r="D2276" t="s">
        <v>1594</v>
      </c>
      <c r="E2276" t="s">
        <v>374</v>
      </c>
      <c r="F2276" t="s">
        <v>1587</v>
      </c>
      <c r="G2276">
        <v>9.1662130000000008</v>
      </c>
      <c r="H2276">
        <v>-79.803381000000002</v>
      </c>
      <c r="I2276" t="s">
        <v>4813</v>
      </c>
      <c r="J2276">
        <v>500</v>
      </c>
      <c r="K2276">
        <v>1904</v>
      </c>
      <c r="L2276">
        <v>1904</v>
      </c>
      <c r="M2276" t="s">
        <v>228</v>
      </c>
      <c r="N2276" t="s">
        <v>228</v>
      </c>
      <c r="O2276" t="s">
        <v>6961</v>
      </c>
      <c r="P2276" t="s">
        <v>6980</v>
      </c>
      <c r="Q2276" t="str">
        <f>IF($C2276="","",IFERROR(VLOOKUP($C2276,sources!$A$2:$N$200,2,FALSE()),"?"))</f>
        <v>Map</v>
      </c>
      <c r="S2276" t="str">
        <f>IF($C2276="","",IFERROR(VLOOKUP($C2276,sources!$A$2:$N$200,9,FALSE()),"?"))</f>
        <v>US official</v>
      </c>
    </row>
    <row r="2277" spans="1:19" x14ac:dyDescent="0.2">
      <c r="A2277" t="s">
        <v>6981</v>
      </c>
      <c r="B2277" t="s">
        <v>382</v>
      </c>
      <c r="C2277" t="s">
        <v>1528</v>
      </c>
      <c r="D2277" t="s">
        <v>1594</v>
      </c>
      <c r="E2277" t="s">
        <v>1735</v>
      </c>
      <c r="F2277" t="s">
        <v>1587</v>
      </c>
      <c r="G2277">
        <v>9.1335320000000007</v>
      </c>
      <c r="H2277">
        <v>-79.797246000000001</v>
      </c>
      <c r="I2277" t="s">
        <v>4813</v>
      </c>
      <c r="J2277">
        <v>400</v>
      </c>
      <c r="K2277">
        <v>1904</v>
      </c>
      <c r="L2277">
        <v>1904</v>
      </c>
      <c r="M2277" t="s">
        <v>228</v>
      </c>
      <c r="N2277" t="s">
        <v>222</v>
      </c>
      <c r="O2277" t="s">
        <v>6961</v>
      </c>
      <c r="P2277" t="s">
        <v>6970</v>
      </c>
      <c r="Q2277" t="str">
        <f>IF($C2277="","",IFERROR(VLOOKUP($C2277,sources!$A$2:$N$200,2,FALSE()),"?"))</f>
        <v>Map</v>
      </c>
      <c r="S2277" t="str">
        <f>IF($C2277="","",IFERROR(VLOOKUP($C2277,sources!$A$2:$N$200,9,FALSE()),"?"))</f>
        <v>US official</v>
      </c>
    </row>
    <row r="2278" spans="1:19" x14ac:dyDescent="0.2">
      <c r="A2278" t="s">
        <v>6982</v>
      </c>
      <c r="B2278" t="s">
        <v>379</v>
      </c>
      <c r="C2278" t="s">
        <v>1528</v>
      </c>
      <c r="D2278" t="s">
        <v>1594</v>
      </c>
      <c r="E2278" t="s">
        <v>380</v>
      </c>
      <c r="F2278" t="s">
        <v>1587</v>
      </c>
      <c r="G2278">
        <v>9.1246709999999993</v>
      </c>
      <c r="H2278">
        <v>-79.774752000000007</v>
      </c>
      <c r="I2278" t="s">
        <v>4813</v>
      </c>
      <c r="J2278">
        <v>400</v>
      </c>
      <c r="K2278">
        <v>1904</v>
      </c>
      <c r="L2278">
        <v>1904</v>
      </c>
      <c r="M2278" t="s">
        <v>228</v>
      </c>
      <c r="N2278" t="s">
        <v>222</v>
      </c>
      <c r="O2278" t="s">
        <v>6961</v>
      </c>
      <c r="P2278" t="s">
        <v>6970</v>
      </c>
      <c r="Q2278" t="str">
        <f>IF($C2278="","",IFERROR(VLOOKUP($C2278,sources!$A$2:$N$200,2,FALSE()),"?"))</f>
        <v>Map</v>
      </c>
      <c r="S2278" t="str">
        <f>IF($C2278="","",IFERROR(VLOOKUP($C2278,sources!$A$2:$N$200,9,FALSE()),"?"))</f>
        <v>US official</v>
      </c>
    </row>
    <row r="2279" spans="1:19" x14ac:dyDescent="0.2">
      <c r="A2279" t="s">
        <v>6983</v>
      </c>
      <c r="B2279" t="s">
        <v>213</v>
      </c>
      <c r="C2279" t="s">
        <v>1528</v>
      </c>
      <c r="D2279" t="s">
        <v>1594</v>
      </c>
      <c r="E2279" t="s">
        <v>214</v>
      </c>
      <c r="F2279" t="s">
        <v>1587</v>
      </c>
      <c r="G2279">
        <v>9.1239369999999997</v>
      </c>
      <c r="H2279">
        <v>-79.789032000000006</v>
      </c>
      <c r="I2279" t="s">
        <v>4813</v>
      </c>
      <c r="J2279">
        <v>400</v>
      </c>
      <c r="K2279">
        <v>1904</v>
      </c>
      <c r="L2279">
        <v>1904</v>
      </c>
      <c r="M2279" t="s">
        <v>228</v>
      </c>
      <c r="N2279" t="s">
        <v>222</v>
      </c>
      <c r="O2279" t="s">
        <v>6961</v>
      </c>
      <c r="P2279" t="s">
        <v>6984</v>
      </c>
      <c r="Q2279" t="str">
        <f>IF($C2279="","",IFERROR(VLOOKUP($C2279,sources!$A$2:$N$200,2,FALSE()),"?"))</f>
        <v>Map</v>
      </c>
      <c r="S2279" t="str">
        <f>IF($C2279="","",IFERROR(VLOOKUP($C2279,sources!$A$2:$N$200,9,FALSE()),"?"))</f>
        <v>US official</v>
      </c>
    </row>
    <row r="2280" spans="1:19" x14ac:dyDescent="0.2">
      <c r="A2280" t="s">
        <v>6985</v>
      </c>
      <c r="B2280" t="s">
        <v>452</v>
      </c>
      <c r="C2280" t="s">
        <v>1528</v>
      </c>
      <c r="D2280" t="s">
        <v>1594</v>
      </c>
      <c r="E2280" t="s">
        <v>453</v>
      </c>
      <c r="F2280" t="s">
        <v>1587</v>
      </c>
      <c r="G2280">
        <v>9.1257129999999993</v>
      </c>
      <c r="H2280">
        <v>-79.734209000000007</v>
      </c>
      <c r="I2280" t="s">
        <v>4813</v>
      </c>
      <c r="J2280">
        <v>400</v>
      </c>
      <c r="K2280">
        <v>1904</v>
      </c>
      <c r="L2280">
        <v>1904</v>
      </c>
      <c r="M2280" t="s">
        <v>228</v>
      </c>
      <c r="N2280" t="s">
        <v>222</v>
      </c>
      <c r="O2280" t="s">
        <v>6961</v>
      </c>
      <c r="P2280" t="s">
        <v>6970</v>
      </c>
      <c r="Q2280" t="str">
        <f>IF($C2280="","",IFERROR(VLOOKUP($C2280,sources!$A$2:$N$200,2,FALSE()),"?"))</f>
        <v>Map</v>
      </c>
      <c r="S2280" t="str">
        <f>IF($C2280="","",IFERROR(VLOOKUP($C2280,sources!$A$2:$N$200,9,FALSE()),"?"))</f>
        <v>US official</v>
      </c>
    </row>
    <row r="2281" spans="1:19" x14ac:dyDescent="0.2">
      <c r="A2281" t="s">
        <v>6986</v>
      </c>
      <c r="B2281" t="s">
        <v>414</v>
      </c>
      <c r="C2281" t="s">
        <v>1528</v>
      </c>
      <c r="D2281" t="s">
        <v>1594</v>
      </c>
      <c r="E2281" t="s">
        <v>415</v>
      </c>
      <c r="F2281" t="s">
        <v>1587</v>
      </c>
      <c r="G2281">
        <v>9.1190470000000001</v>
      </c>
      <c r="H2281">
        <v>-79.758705000000006</v>
      </c>
      <c r="I2281" t="s">
        <v>4813</v>
      </c>
      <c r="J2281">
        <v>400</v>
      </c>
      <c r="K2281">
        <v>1904</v>
      </c>
      <c r="L2281">
        <v>1904</v>
      </c>
      <c r="M2281" t="s">
        <v>228</v>
      </c>
      <c r="N2281" t="s">
        <v>222</v>
      </c>
      <c r="O2281" t="s">
        <v>6961</v>
      </c>
      <c r="P2281" t="s">
        <v>6970</v>
      </c>
      <c r="Q2281" t="str">
        <f>IF($C2281="","",IFERROR(VLOOKUP($C2281,sources!$A$2:$N$200,2,FALSE()),"?"))</f>
        <v>Map</v>
      </c>
      <c r="S2281" t="str">
        <f>IF($C2281="","",IFERROR(VLOOKUP($C2281,sources!$A$2:$N$200,9,FALSE()),"?"))</f>
        <v>US official</v>
      </c>
    </row>
    <row r="2282" spans="1:19" x14ac:dyDescent="0.2">
      <c r="A2282" t="s">
        <v>6987</v>
      </c>
      <c r="B2282" t="s">
        <v>234</v>
      </c>
      <c r="C2282" t="s">
        <v>1528</v>
      </c>
      <c r="D2282" t="s">
        <v>1594</v>
      </c>
      <c r="E2282" t="s">
        <v>2694</v>
      </c>
      <c r="F2282" t="s">
        <v>1587</v>
      </c>
      <c r="G2282">
        <v>9.1099110000000003</v>
      </c>
      <c r="H2282">
        <v>-79.769728000000001</v>
      </c>
      <c r="I2282" t="s">
        <v>4813</v>
      </c>
      <c r="J2282">
        <v>400</v>
      </c>
      <c r="K2282">
        <v>1904</v>
      </c>
      <c r="L2282">
        <v>1904</v>
      </c>
      <c r="M2282" t="s">
        <v>228</v>
      </c>
      <c r="N2282" t="s">
        <v>222</v>
      </c>
      <c r="O2282" t="s">
        <v>6961</v>
      </c>
      <c r="P2282" t="s">
        <v>6970</v>
      </c>
      <c r="Q2282" t="str">
        <f>IF($C2282="","",IFERROR(VLOOKUP($C2282,sources!$A$2:$N$200,2,FALSE()),"?"))</f>
        <v>Map</v>
      </c>
      <c r="S2282" t="str">
        <f>IF($C2282="","",IFERROR(VLOOKUP($C2282,sources!$A$2:$N$200,9,FALSE()),"?"))</f>
        <v>US official</v>
      </c>
    </row>
    <row r="2283" spans="1:19" x14ac:dyDescent="0.2">
      <c r="A2283" t="s">
        <v>6988</v>
      </c>
      <c r="B2283" t="s">
        <v>611</v>
      </c>
      <c r="C2283" t="s">
        <v>1528</v>
      </c>
      <c r="D2283" t="s">
        <v>1594</v>
      </c>
      <c r="E2283" t="s">
        <v>612</v>
      </c>
      <c r="F2283" t="s">
        <v>1587</v>
      </c>
      <c r="G2283">
        <v>9.1208259999999992</v>
      </c>
      <c r="H2283">
        <v>-79.730327000000003</v>
      </c>
      <c r="I2283" t="s">
        <v>4813</v>
      </c>
      <c r="J2283">
        <v>400</v>
      </c>
      <c r="K2283">
        <v>1904</v>
      </c>
      <c r="L2283">
        <v>1904</v>
      </c>
      <c r="M2283" t="s">
        <v>228</v>
      </c>
      <c r="N2283" t="s">
        <v>222</v>
      </c>
      <c r="O2283" t="s">
        <v>6961</v>
      </c>
      <c r="P2283" t="s">
        <v>6989</v>
      </c>
      <c r="Q2283" t="str">
        <f>IF($C2283="","",IFERROR(VLOOKUP($C2283,sources!$A$2:$N$200,2,FALSE()),"?"))</f>
        <v>Map</v>
      </c>
      <c r="S2283" t="str">
        <f>IF($C2283="","",IFERROR(VLOOKUP($C2283,sources!$A$2:$N$200,9,FALSE()),"?"))</f>
        <v>US official</v>
      </c>
    </row>
    <row r="2284" spans="1:19" x14ac:dyDescent="0.2">
      <c r="A2284" t="s">
        <v>6990</v>
      </c>
      <c r="B2284" t="s">
        <v>198</v>
      </c>
      <c r="C2284" t="s">
        <v>1528</v>
      </c>
      <c r="D2284" t="s">
        <v>1594</v>
      </c>
      <c r="E2284" t="s">
        <v>199</v>
      </c>
      <c r="F2284" t="s">
        <v>1587</v>
      </c>
      <c r="G2284">
        <v>9.1163699999999999</v>
      </c>
      <c r="H2284">
        <v>-79.706802999999994</v>
      </c>
      <c r="I2284" t="s">
        <v>4813</v>
      </c>
      <c r="J2284">
        <v>500</v>
      </c>
      <c r="K2284">
        <v>1904</v>
      </c>
      <c r="L2284">
        <v>1904</v>
      </c>
      <c r="M2284" t="s">
        <v>228</v>
      </c>
      <c r="N2284" t="s">
        <v>222</v>
      </c>
      <c r="O2284" t="s">
        <v>6961</v>
      </c>
      <c r="P2284" t="s">
        <v>6991</v>
      </c>
      <c r="Q2284" t="str">
        <f>IF($C2284="","",IFERROR(VLOOKUP($C2284,sources!$A$2:$N$200,2,FALSE()),"?"))</f>
        <v>Map</v>
      </c>
      <c r="S2284" t="str">
        <f>IF($C2284="","",IFERROR(VLOOKUP($C2284,sources!$A$2:$N$200,9,FALSE()),"?"))</f>
        <v>US official</v>
      </c>
    </row>
    <row r="2285" spans="1:19" x14ac:dyDescent="0.2">
      <c r="A2285" t="s">
        <v>6992</v>
      </c>
      <c r="B2285" t="s">
        <v>218</v>
      </c>
      <c r="C2285" t="s">
        <v>1528</v>
      </c>
      <c r="D2285" t="s">
        <v>1594</v>
      </c>
      <c r="E2285" t="s">
        <v>1590</v>
      </c>
      <c r="F2285" t="s">
        <v>1587</v>
      </c>
      <c r="G2285">
        <v>9.1314309999999992</v>
      </c>
      <c r="H2285">
        <v>-79.690023999999994</v>
      </c>
      <c r="I2285" t="s">
        <v>4813</v>
      </c>
      <c r="J2285">
        <v>500</v>
      </c>
      <c r="K2285">
        <v>1904</v>
      </c>
      <c r="L2285">
        <v>1904</v>
      </c>
      <c r="M2285" t="s">
        <v>228</v>
      </c>
      <c r="N2285" t="s">
        <v>222</v>
      </c>
      <c r="O2285" t="s">
        <v>6961</v>
      </c>
      <c r="P2285" t="s">
        <v>6970</v>
      </c>
      <c r="Q2285" t="str">
        <f>IF($C2285="","",IFERROR(VLOOKUP($C2285,sources!$A$2:$N$200,2,FALSE()),"?"))</f>
        <v>Map</v>
      </c>
      <c r="S2285" t="str">
        <f>IF($C2285="","",IFERROR(VLOOKUP($C2285,sources!$A$2:$N$200,9,FALSE()),"?"))</f>
        <v>US official</v>
      </c>
    </row>
    <row r="2286" spans="1:19" x14ac:dyDescent="0.2">
      <c r="A2286" t="s">
        <v>6993</v>
      </c>
      <c r="B2286" t="s">
        <v>232</v>
      </c>
      <c r="C2286" t="s">
        <v>1528</v>
      </c>
      <c r="D2286" t="s">
        <v>1594</v>
      </c>
      <c r="E2286" t="s">
        <v>233</v>
      </c>
      <c r="F2286" t="s">
        <v>1587</v>
      </c>
      <c r="G2286">
        <v>9.1198999999999995</v>
      </c>
      <c r="H2286">
        <v>-79.696493000000004</v>
      </c>
      <c r="I2286" t="s">
        <v>4813</v>
      </c>
      <c r="J2286">
        <v>450</v>
      </c>
      <c r="K2286">
        <v>1904</v>
      </c>
      <c r="L2286">
        <v>1904</v>
      </c>
      <c r="M2286" t="s">
        <v>228</v>
      </c>
      <c r="N2286" t="s">
        <v>222</v>
      </c>
      <c r="O2286" t="s">
        <v>6961</v>
      </c>
      <c r="P2286" t="s">
        <v>6994</v>
      </c>
      <c r="Q2286" t="str">
        <f>IF($C2286="","",IFERROR(VLOOKUP($C2286,sources!$A$2:$N$200,2,FALSE()),"?"))</f>
        <v>Map</v>
      </c>
      <c r="S2286" t="str">
        <f>IF($C2286="","",IFERROR(VLOOKUP($C2286,sources!$A$2:$N$200,9,FALSE()),"?"))</f>
        <v>US official</v>
      </c>
    </row>
    <row r="2287" spans="1:19" x14ac:dyDescent="0.2">
      <c r="A2287" t="s">
        <v>6995</v>
      </c>
      <c r="B2287" t="s">
        <v>388</v>
      </c>
      <c r="C2287" t="s">
        <v>1528</v>
      </c>
      <c r="D2287" t="s">
        <v>1594</v>
      </c>
      <c r="E2287" t="s">
        <v>389</v>
      </c>
      <c r="F2287" t="s">
        <v>1587</v>
      </c>
      <c r="G2287">
        <v>9.1179120000000005</v>
      </c>
      <c r="H2287">
        <v>-79.687839999999994</v>
      </c>
      <c r="I2287" t="s">
        <v>4813</v>
      </c>
      <c r="J2287">
        <v>450</v>
      </c>
      <c r="K2287">
        <v>1904</v>
      </c>
      <c r="L2287">
        <v>1904</v>
      </c>
      <c r="M2287" t="s">
        <v>228</v>
      </c>
      <c r="N2287" t="s">
        <v>222</v>
      </c>
      <c r="O2287" t="s">
        <v>6961</v>
      </c>
      <c r="P2287" t="s">
        <v>6970</v>
      </c>
      <c r="Q2287" t="str">
        <f>IF($C2287="","",IFERROR(VLOOKUP($C2287,sources!$A$2:$N$200,2,FALSE()),"?"))</f>
        <v>Map</v>
      </c>
      <c r="S2287" t="str">
        <f>IF($C2287="","",IFERROR(VLOOKUP($C2287,sources!$A$2:$N$200,9,FALSE()),"?"))</f>
        <v>US official</v>
      </c>
    </row>
    <row r="2288" spans="1:19" x14ac:dyDescent="0.2">
      <c r="A2288" t="s">
        <v>6996</v>
      </c>
      <c r="B2288" t="s">
        <v>272</v>
      </c>
      <c r="C2288" t="s">
        <v>1528</v>
      </c>
      <c r="D2288" t="s">
        <v>1594</v>
      </c>
      <c r="E2288" t="s">
        <v>273</v>
      </c>
      <c r="F2288" t="s">
        <v>3285</v>
      </c>
      <c r="G2288">
        <v>9.1069189999999995</v>
      </c>
      <c r="H2288">
        <v>-79.691967000000005</v>
      </c>
      <c r="I2288" t="s">
        <v>4813</v>
      </c>
      <c r="J2288">
        <v>450</v>
      </c>
      <c r="K2288">
        <v>1904</v>
      </c>
      <c r="L2288">
        <v>1904</v>
      </c>
      <c r="M2288" t="s">
        <v>228</v>
      </c>
      <c r="N2288" t="s">
        <v>222</v>
      </c>
      <c r="O2288" t="s">
        <v>6961</v>
      </c>
      <c r="P2288" t="s">
        <v>6997</v>
      </c>
      <c r="Q2288" t="str">
        <f>IF($C2288="","",IFERROR(VLOOKUP($C2288,sources!$A$2:$N$200,2,FALSE()),"?"))</f>
        <v>Map</v>
      </c>
      <c r="S2288" t="str">
        <f>IF($C2288="","",IFERROR(VLOOKUP($C2288,sources!$A$2:$N$200,9,FALSE()),"?"))</f>
        <v>US official</v>
      </c>
    </row>
    <row r="2289" spans="1:19" x14ac:dyDescent="0.2">
      <c r="A2289" t="s">
        <v>6998</v>
      </c>
      <c r="B2289" t="s">
        <v>584</v>
      </c>
      <c r="C2289" t="s">
        <v>1528</v>
      </c>
      <c r="D2289" t="s">
        <v>1594</v>
      </c>
      <c r="E2289" t="s">
        <v>585</v>
      </c>
      <c r="F2289" t="s">
        <v>3285</v>
      </c>
      <c r="G2289">
        <v>9.0948349999999998</v>
      </c>
      <c r="H2289">
        <v>-79.681990999999996</v>
      </c>
      <c r="I2289" t="s">
        <v>4813</v>
      </c>
      <c r="J2289">
        <v>450</v>
      </c>
      <c r="K2289">
        <v>1904</v>
      </c>
      <c r="L2289">
        <v>1904</v>
      </c>
      <c r="M2289" t="s">
        <v>228</v>
      </c>
      <c r="N2289" t="s">
        <v>222</v>
      </c>
      <c r="O2289" t="s">
        <v>6961</v>
      </c>
      <c r="P2289" t="s">
        <v>6999</v>
      </c>
      <c r="Q2289" t="str">
        <f>IF($C2289="","",IFERROR(VLOOKUP($C2289,sources!$A$2:$N$200,2,FALSE()),"?"))</f>
        <v>Map</v>
      </c>
      <c r="S2289" t="str">
        <f>IF($C2289="","",IFERROR(VLOOKUP($C2289,sources!$A$2:$N$200,9,FALSE()),"?"))</f>
        <v>US official</v>
      </c>
    </row>
    <row r="2290" spans="1:19" x14ac:dyDescent="0.2">
      <c r="A2290" t="s">
        <v>7000</v>
      </c>
      <c r="B2290" t="s">
        <v>280</v>
      </c>
      <c r="C2290" t="s">
        <v>1528</v>
      </c>
      <c r="D2290" t="s">
        <v>1594</v>
      </c>
      <c r="E2290" t="s">
        <v>281</v>
      </c>
      <c r="F2290" t="s">
        <v>1587</v>
      </c>
      <c r="G2290">
        <v>9.0884769999999993</v>
      </c>
      <c r="H2290">
        <v>-79.680268999999996</v>
      </c>
      <c r="I2290" t="s">
        <v>4813</v>
      </c>
      <c r="J2290">
        <v>450</v>
      </c>
      <c r="K2290">
        <v>1904</v>
      </c>
      <c r="L2290">
        <v>1904</v>
      </c>
      <c r="M2290" t="s">
        <v>228</v>
      </c>
      <c r="N2290" t="s">
        <v>222</v>
      </c>
      <c r="O2290" t="s">
        <v>6961</v>
      </c>
      <c r="P2290" t="s">
        <v>6970</v>
      </c>
      <c r="Q2290" t="str">
        <f>IF($C2290="","",IFERROR(VLOOKUP($C2290,sources!$A$2:$N$200,2,FALSE()),"?"))</f>
        <v>Map</v>
      </c>
      <c r="S2290" t="str">
        <f>IF($C2290="","",IFERROR(VLOOKUP($C2290,sources!$A$2:$N$200,9,FALSE()),"?"))</f>
        <v>US official</v>
      </c>
    </row>
    <row r="2291" spans="1:19" x14ac:dyDescent="0.2">
      <c r="A2291" t="s">
        <v>7001</v>
      </c>
      <c r="B2291" t="s">
        <v>252</v>
      </c>
      <c r="C2291" t="s">
        <v>1528</v>
      </c>
      <c r="D2291" t="s">
        <v>1594</v>
      </c>
      <c r="E2291" t="s">
        <v>324</v>
      </c>
      <c r="F2291" t="s">
        <v>1587</v>
      </c>
      <c r="G2291">
        <v>9.0617929999999998</v>
      </c>
      <c r="H2291">
        <v>-79.674910999999994</v>
      </c>
      <c r="I2291" t="s">
        <v>4813</v>
      </c>
      <c r="J2291">
        <v>450</v>
      </c>
      <c r="K2291">
        <v>1904</v>
      </c>
      <c r="L2291">
        <v>1904</v>
      </c>
      <c r="M2291" t="s">
        <v>228</v>
      </c>
      <c r="N2291" t="s">
        <v>222</v>
      </c>
      <c r="O2291" t="s">
        <v>6961</v>
      </c>
      <c r="P2291" t="s">
        <v>7002</v>
      </c>
      <c r="Q2291" t="str">
        <f>IF($C2291="","",IFERROR(VLOOKUP($C2291,sources!$A$2:$N$200,2,FALSE()),"?"))</f>
        <v>Map</v>
      </c>
      <c r="S2291" t="str">
        <f>IF($C2291="","",IFERROR(VLOOKUP($C2291,sources!$A$2:$N$200,9,FALSE()),"?"))</f>
        <v>US official</v>
      </c>
    </row>
    <row r="2292" spans="1:19" x14ac:dyDescent="0.2">
      <c r="A2292" t="s">
        <v>7003</v>
      </c>
      <c r="B2292" t="s">
        <v>589</v>
      </c>
      <c r="C2292" t="s">
        <v>1528</v>
      </c>
      <c r="D2292" t="s">
        <v>1594</v>
      </c>
      <c r="E2292" t="s">
        <v>590</v>
      </c>
      <c r="F2292" t="s">
        <v>1587</v>
      </c>
      <c r="G2292">
        <v>9.0595970000000001</v>
      </c>
      <c r="H2292">
        <v>-79.656706999999997</v>
      </c>
      <c r="I2292" t="s">
        <v>4813</v>
      </c>
      <c r="J2292">
        <v>500</v>
      </c>
      <c r="K2292">
        <v>1904</v>
      </c>
      <c r="L2292">
        <v>1904</v>
      </c>
      <c r="M2292" t="s">
        <v>228</v>
      </c>
      <c r="N2292" t="s">
        <v>222</v>
      </c>
      <c r="O2292" t="s">
        <v>6961</v>
      </c>
      <c r="P2292" t="s">
        <v>7004</v>
      </c>
      <c r="Q2292" t="str">
        <f>IF($C2292="","",IFERROR(VLOOKUP($C2292,sources!$A$2:$N$200,2,FALSE()),"?"))</f>
        <v>Map</v>
      </c>
      <c r="S2292" t="str">
        <f>IF($C2292="","",IFERROR(VLOOKUP($C2292,sources!$A$2:$N$200,9,FALSE()),"?"))</f>
        <v>US official</v>
      </c>
    </row>
    <row r="2293" spans="1:19" x14ac:dyDescent="0.2">
      <c r="A2293" t="s">
        <v>7005</v>
      </c>
      <c r="B2293" t="s">
        <v>266</v>
      </c>
      <c r="C2293" t="s">
        <v>1528</v>
      </c>
      <c r="D2293" t="s">
        <v>1594</v>
      </c>
      <c r="E2293" t="s">
        <v>267</v>
      </c>
      <c r="F2293" t="s">
        <v>1587</v>
      </c>
      <c r="G2293">
        <v>9.0390300000000003</v>
      </c>
      <c r="H2293">
        <v>-79.644760000000005</v>
      </c>
      <c r="I2293" t="s">
        <v>4813</v>
      </c>
      <c r="J2293">
        <v>500</v>
      </c>
      <c r="K2293">
        <v>1904</v>
      </c>
      <c r="L2293">
        <v>1904</v>
      </c>
      <c r="M2293" t="s">
        <v>228</v>
      </c>
      <c r="N2293" t="s">
        <v>222</v>
      </c>
      <c r="O2293" t="s">
        <v>6961</v>
      </c>
      <c r="P2293" t="s">
        <v>7006</v>
      </c>
      <c r="Q2293" t="str">
        <f>IF($C2293="","",IFERROR(VLOOKUP($C2293,sources!$A$2:$N$200,2,FALSE()),"?"))</f>
        <v>Map</v>
      </c>
      <c r="S2293" t="str">
        <f>IF($C2293="","",IFERROR(VLOOKUP($C2293,sources!$A$2:$N$200,9,FALSE()),"?"))</f>
        <v>US official</v>
      </c>
    </row>
    <row r="2294" spans="1:19" x14ac:dyDescent="0.2">
      <c r="A2294" t="s">
        <v>7007</v>
      </c>
      <c r="B2294" t="s">
        <v>261</v>
      </c>
      <c r="C2294" t="s">
        <v>1528</v>
      </c>
      <c r="D2294" t="s">
        <v>1594</v>
      </c>
      <c r="E2294" t="s">
        <v>262</v>
      </c>
      <c r="F2294" t="s">
        <v>1587</v>
      </c>
      <c r="G2294">
        <v>9.1140100000000004</v>
      </c>
      <c r="H2294">
        <v>-79.724149999999995</v>
      </c>
      <c r="I2294" t="s">
        <v>4813</v>
      </c>
      <c r="J2294">
        <v>400</v>
      </c>
      <c r="K2294">
        <v>1904</v>
      </c>
      <c r="L2294">
        <v>1904</v>
      </c>
      <c r="M2294" t="s">
        <v>228</v>
      </c>
      <c r="N2294" t="s">
        <v>222</v>
      </c>
      <c r="O2294" t="s">
        <v>6961</v>
      </c>
      <c r="P2294" t="s">
        <v>7008</v>
      </c>
      <c r="Q2294" t="str">
        <f>IF($C2294="","",IFERROR(VLOOKUP($C2294,sources!$A$2:$N$200,2,FALSE()),"?"))</f>
        <v>Map</v>
      </c>
      <c r="S2294" t="str">
        <f>IF($C2294="","",IFERROR(VLOOKUP($C2294,sources!$A$2:$N$200,9,FALSE()),"?"))</f>
        <v>US official</v>
      </c>
    </row>
    <row r="2295" spans="1:19" x14ac:dyDescent="0.2">
      <c r="A2295" t="s">
        <v>7009</v>
      </c>
      <c r="B2295" t="s">
        <v>514</v>
      </c>
      <c r="C2295" t="s">
        <v>1528</v>
      </c>
      <c r="D2295" t="s">
        <v>1666</v>
      </c>
      <c r="E2295" t="s">
        <v>515</v>
      </c>
      <c r="F2295" t="s">
        <v>1587</v>
      </c>
      <c r="I2295" t="s">
        <v>1077</v>
      </c>
      <c r="K2295">
        <v>1904</v>
      </c>
      <c r="L2295">
        <v>1904</v>
      </c>
      <c r="M2295" t="s">
        <v>228</v>
      </c>
      <c r="N2295" t="s">
        <v>228</v>
      </c>
      <c r="O2295" t="s">
        <v>6961</v>
      </c>
      <c r="P2295" t="s">
        <v>7010</v>
      </c>
      <c r="Q2295" t="str">
        <f>IF($C2295="","",IFERROR(VLOOKUP($C2295,sources!$A$2:$N$200,2,FALSE()),"?"))</f>
        <v>Map</v>
      </c>
      <c r="S2295" t="str">
        <f>IF($C2295="","",IFERROR(VLOOKUP($C2295,sources!$A$2:$N$200,9,FALSE()),"?"))</f>
        <v>US official</v>
      </c>
    </row>
    <row r="2296" spans="1:19" x14ac:dyDescent="0.2">
      <c r="A2296" t="s">
        <v>7011</v>
      </c>
      <c r="B2296" t="s">
        <v>411</v>
      </c>
      <c r="C2296" t="s">
        <v>1528</v>
      </c>
      <c r="D2296" t="s">
        <v>1666</v>
      </c>
      <c r="E2296" t="s">
        <v>412</v>
      </c>
      <c r="F2296" t="s">
        <v>1612</v>
      </c>
      <c r="I2296" t="s">
        <v>1077</v>
      </c>
      <c r="K2296">
        <v>1904</v>
      </c>
      <c r="L2296">
        <v>1904</v>
      </c>
      <c r="M2296" t="s">
        <v>228</v>
      </c>
      <c r="N2296" t="s">
        <v>209</v>
      </c>
      <c r="O2296" t="s">
        <v>6961</v>
      </c>
      <c r="P2296" t="s">
        <v>7012</v>
      </c>
      <c r="Q2296" t="str">
        <f>IF($C2296="","",IFERROR(VLOOKUP($C2296,sources!$A$2:$N$200,2,FALSE()),"?"))</f>
        <v>Map</v>
      </c>
      <c r="S2296" t="str">
        <f>IF($C2296="","",IFERROR(VLOOKUP($C2296,sources!$A$2:$N$200,9,FALSE()),"?"))</f>
        <v>US official</v>
      </c>
    </row>
    <row r="2297" spans="1:19" x14ac:dyDescent="0.2">
      <c r="A2297" t="s">
        <v>7013</v>
      </c>
      <c r="B2297" t="s">
        <v>405</v>
      </c>
      <c r="C2297" t="s">
        <v>1528</v>
      </c>
      <c r="D2297" t="s">
        <v>1666</v>
      </c>
      <c r="E2297" t="s">
        <v>579</v>
      </c>
      <c r="F2297" t="s">
        <v>1587</v>
      </c>
      <c r="I2297" t="s">
        <v>1077</v>
      </c>
      <c r="K2297">
        <v>1904</v>
      </c>
      <c r="L2297">
        <v>1904</v>
      </c>
      <c r="M2297" t="s">
        <v>228</v>
      </c>
      <c r="N2297" t="s">
        <v>228</v>
      </c>
      <c r="O2297" t="s">
        <v>6961</v>
      </c>
      <c r="P2297" t="s">
        <v>7014</v>
      </c>
      <c r="Q2297" t="str">
        <f>IF($C2297="","",IFERROR(VLOOKUP($C2297,sources!$A$2:$N$200,2,FALSE()),"?"))</f>
        <v>Map</v>
      </c>
      <c r="S2297" t="str">
        <f>IF($C2297="","",IFERROR(VLOOKUP($C2297,sources!$A$2:$N$200,9,FALSE()),"?"))</f>
        <v>US official</v>
      </c>
    </row>
    <row r="2298" spans="1:19" x14ac:dyDescent="0.2">
      <c r="A2298" t="s">
        <v>7015</v>
      </c>
      <c r="B2298" t="s">
        <v>376</v>
      </c>
      <c r="C2298" t="s">
        <v>1389</v>
      </c>
      <c r="D2298" t="s">
        <v>1594</v>
      </c>
      <c r="E2298" t="s">
        <v>7016</v>
      </c>
      <c r="F2298" t="s">
        <v>1612</v>
      </c>
      <c r="G2298">
        <v>9.0291569999999997</v>
      </c>
      <c r="H2298">
        <v>-79.623276000000004</v>
      </c>
      <c r="I2298" t="s">
        <v>4813</v>
      </c>
      <c r="J2298">
        <v>300</v>
      </c>
      <c r="K2298">
        <v>1940</v>
      </c>
      <c r="L2298">
        <v>1940</v>
      </c>
      <c r="M2298" t="s">
        <v>222</v>
      </c>
      <c r="N2298" t="s">
        <v>222</v>
      </c>
      <c r="O2298" t="s">
        <v>7017</v>
      </c>
      <c r="P2298" t="s">
        <v>7018</v>
      </c>
      <c r="Q2298" t="str">
        <f>IF($C2298="","",IFERROR(VLOOKUP($C2298,sources!$A$2:$N$200,2,FALSE()),"?"))</f>
        <v>Map</v>
      </c>
      <c r="S2298" t="str">
        <f>IF($C2298="","",IFERROR(VLOOKUP($C2298,sources!$A$2:$N$200,9,FALSE()),"?"))</f>
        <v>US official</v>
      </c>
    </row>
    <row r="2299" spans="1:19" x14ac:dyDescent="0.2">
      <c r="A2299" t="s">
        <v>7019</v>
      </c>
      <c r="B2299" t="s">
        <v>376</v>
      </c>
      <c r="C2299" t="s">
        <v>1389</v>
      </c>
      <c r="D2299" t="s">
        <v>1599</v>
      </c>
      <c r="E2299" t="s">
        <v>7020</v>
      </c>
      <c r="F2299" t="s">
        <v>1612</v>
      </c>
      <c r="G2299">
        <v>9.0274300000000007</v>
      </c>
      <c r="H2299">
        <v>-79.620929000000004</v>
      </c>
      <c r="I2299" t="s">
        <v>4813</v>
      </c>
      <c r="J2299">
        <v>300</v>
      </c>
      <c r="K2299">
        <v>1940</v>
      </c>
      <c r="L2299">
        <v>1940</v>
      </c>
      <c r="M2299" t="s">
        <v>222</v>
      </c>
      <c r="N2299" t="s">
        <v>222</v>
      </c>
      <c r="O2299" t="s">
        <v>7017</v>
      </c>
      <c r="P2299" t="s">
        <v>7021</v>
      </c>
      <c r="Q2299" t="str">
        <f>IF($C2299="","",IFERROR(VLOOKUP($C2299,sources!$A$2:$N$200,2,FALSE()),"?"))</f>
        <v>Map</v>
      </c>
      <c r="S2299" t="str">
        <f>IF($C2299="","",IFERROR(VLOOKUP($C2299,sources!$A$2:$N$200,9,FALSE()),"?"))</f>
        <v>US official</v>
      </c>
    </row>
    <row r="2300" spans="1:19" x14ac:dyDescent="0.2">
      <c r="A2300" t="s">
        <v>7022</v>
      </c>
      <c r="B2300" t="s">
        <v>1027</v>
      </c>
      <c r="C2300" t="s">
        <v>1167</v>
      </c>
      <c r="D2300" t="s">
        <v>1603</v>
      </c>
      <c r="E2300" t="s">
        <v>7023</v>
      </c>
      <c r="F2300" t="s">
        <v>1612</v>
      </c>
      <c r="I2300" t="s">
        <v>1077</v>
      </c>
      <c r="L2300">
        <v>1914</v>
      </c>
      <c r="M2300" t="s">
        <v>228</v>
      </c>
      <c r="N2300" t="s">
        <v>222</v>
      </c>
      <c r="O2300" t="s">
        <v>7024</v>
      </c>
      <c r="P2300" t="s">
        <v>7025</v>
      </c>
      <c r="Q2300" t="str">
        <f>IF($C2300="","",IFERROR(VLOOKUP($C2300,sources!$A$2:$N$200,2,FALSE()),"?"))</f>
        <v>Report</v>
      </c>
      <c r="S2300" t="str">
        <f>IF($C2300="","",IFERROR(VLOOKUP($C2300,sources!$A$2:$N$200,9,FALSE()),"?"))</f>
        <v>US official</v>
      </c>
    </row>
    <row r="2301" spans="1:19" x14ac:dyDescent="0.2">
      <c r="A2301" t="s">
        <v>7026</v>
      </c>
      <c r="B2301" t="s">
        <v>1045</v>
      </c>
      <c r="C2301" t="s">
        <v>1167</v>
      </c>
      <c r="D2301" t="s">
        <v>1599</v>
      </c>
      <c r="E2301" t="s">
        <v>873</v>
      </c>
      <c r="F2301" t="s">
        <v>1612</v>
      </c>
      <c r="I2301" t="s">
        <v>1077</v>
      </c>
      <c r="K2301">
        <v>1915</v>
      </c>
      <c r="L2301">
        <v>1916</v>
      </c>
      <c r="M2301" t="s">
        <v>228</v>
      </c>
      <c r="N2301" t="s">
        <v>222</v>
      </c>
      <c r="O2301" t="s">
        <v>7027</v>
      </c>
      <c r="P2301" t="s">
        <v>7028</v>
      </c>
      <c r="Q2301" t="str">
        <f>IF($C2301="","",IFERROR(VLOOKUP($C2301,sources!$A$2:$N$200,2,FALSE()),"?"))</f>
        <v>Report</v>
      </c>
      <c r="S2301" t="str">
        <f>IF($C2301="","",IFERROR(VLOOKUP($C2301,sources!$A$2:$N$200,9,FALSE()),"?"))</f>
        <v>US official</v>
      </c>
    </row>
    <row r="2302" spans="1:19" x14ac:dyDescent="0.2">
      <c r="A2302" t="s">
        <v>7029</v>
      </c>
      <c r="B2302" t="s">
        <v>838</v>
      </c>
      <c r="C2302" t="s">
        <v>1420</v>
      </c>
      <c r="D2302" t="s">
        <v>1594</v>
      </c>
      <c r="E2302" t="s">
        <v>7030</v>
      </c>
      <c r="F2302" t="s">
        <v>1612</v>
      </c>
      <c r="G2302">
        <v>8.9826890000000006</v>
      </c>
      <c r="H2302">
        <v>-79.551388000000003</v>
      </c>
      <c r="I2302" t="s">
        <v>1595</v>
      </c>
      <c r="J2302">
        <v>300</v>
      </c>
      <c r="K2302">
        <v>1947</v>
      </c>
      <c r="L2302">
        <v>1947</v>
      </c>
      <c r="M2302" t="s">
        <v>222</v>
      </c>
      <c r="N2302" t="s">
        <v>222</v>
      </c>
      <c r="O2302" t="s">
        <v>125</v>
      </c>
      <c r="P2302" t="s">
        <v>7031</v>
      </c>
      <c r="Q2302" t="str">
        <f>IF($C2302="","",IFERROR(VLOOKUP($C2302,sources!$A$2:$N$200,2,FALSE()),"?"))</f>
        <v>Map</v>
      </c>
      <c r="S2302" t="str">
        <f>IF($C2302="","",IFERROR(VLOOKUP($C2302,sources!$A$2:$N$200,9,FALSE()),"?"))</f>
        <v>US military</v>
      </c>
    </row>
    <row r="2303" spans="1:19" x14ac:dyDescent="0.2">
      <c r="A2303" t="s">
        <v>7032</v>
      </c>
      <c r="B2303" t="s">
        <v>863</v>
      </c>
      <c r="C2303" t="s">
        <v>1389</v>
      </c>
      <c r="D2303" t="s">
        <v>1594</v>
      </c>
      <c r="E2303" t="s">
        <v>7033</v>
      </c>
      <c r="F2303" t="s">
        <v>1612</v>
      </c>
      <c r="G2303">
        <v>9.0279659999999993</v>
      </c>
      <c r="H2303">
        <v>-79.608500000000006</v>
      </c>
      <c r="I2303" t="s">
        <v>4813</v>
      </c>
      <c r="J2303">
        <v>250</v>
      </c>
      <c r="K2303">
        <v>1940</v>
      </c>
      <c r="L2303">
        <v>1940</v>
      </c>
      <c r="M2303" t="s">
        <v>222</v>
      </c>
      <c r="N2303" t="s">
        <v>222</v>
      </c>
      <c r="O2303" t="s">
        <v>7034</v>
      </c>
      <c r="P2303" t="s">
        <v>7035</v>
      </c>
      <c r="Q2303" t="str">
        <f>IF($C2303="","",IFERROR(VLOOKUP($C2303,sources!$A$2:$N$200,2,FALSE()),"?"))</f>
        <v>Map</v>
      </c>
      <c r="S2303" t="str">
        <f>IF($C2303="","",IFERROR(VLOOKUP($C2303,sources!$A$2:$N$200,9,FALSE()),"?"))</f>
        <v>US official</v>
      </c>
    </row>
    <row r="2304" spans="1:19" x14ac:dyDescent="0.2">
      <c r="A2304" t="s">
        <v>7036</v>
      </c>
      <c r="B2304" t="s">
        <v>863</v>
      </c>
      <c r="C2304" t="s">
        <v>1389</v>
      </c>
      <c r="D2304" t="s">
        <v>1599</v>
      </c>
      <c r="E2304" t="s">
        <v>7037</v>
      </c>
      <c r="F2304" t="s">
        <v>1612</v>
      </c>
      <c r="G2304">
        <v>9.0263919999999995</v>
      </c>
      <c r="H2304">
        <v>-79.614086999999998</v>
      </c>
      <c r="I2304" t="s">
        <v>4813</v>
      </c>
      <c r="J2304">
        <v>250</v>
      </c>
      <c r="K2304">
        <v>1940</v>
      </c>
      <c r="L2304">
        <v>1940</v>
      </c>
      <c r="M2304" t="s">
        <v>222</v>
      </c>
      <c r="N2304" t="s">
        <v>222</v>
      </c>
      <c r="O2304" t="s">
        <v>7034</v>
      </c>
      <c r="P2304" t="s">
        <v>7038</v>
      </c>
      <c r="Q2304" t="str">
        <f>IF($C2304="","",IFERROR(VLOOKUP($C2304,sources!$A$2:$N$200,2,FALSE()),"?"))</f>
        <v>Map</v>
      </c>
      <c r="S2304" t="str">
        <f>IF($C2304="","",IFERROR(VLOOKUP($C2304,sources!$A$2:$N$200,9,FALSE()),"?"))</f>
        <v>US official</v>
      </c>
    </row>
    <row r="2305" spans="1:19" x14ac:dyDescent="0.2">
      <c r="A2305" t="s">
        <v>7039</v>
      </c>
      <c r="B2305" t="s">
        <v>480</v>
      </c>
      <c r="C2305" t="s">
        <v>1389</v>
      </c>
      <c r="D2305" t="s">
        <v>1594</v>
      </c>
      <c r="E2305" t="s">
        <v>7040</v>
      </c>
      <c r="F2305" t="s">
        <v>1612</v>
      </c>
      <c r="G2305">
        <v>9.0181070000000005</v>
      </c>
      <c r="H2305">
        <v>-79.594194000000002</v>
      </c>
      <c r="I2305" t="s">
        <v>4813</v>
      </c>
      <c r="J2305">
        <v>400</v>
      </c>
      <c r="K2305">
        <v>1940</v>
      </c>
      <c r="L2305">
        <v>1940</v>
      </c>
      <c r="M2305" t="s">
        <v>222</v>
      </c>
      <c r="N2305" t="s">
        <v>222</v>
      </c>
      <c r="O2305" t="s">
        <v>7041</v>
      </c>
      <c r="P2305" t="s">
        <v>7042</v>
      </c>
      <c r="Q2305" t="str">
        <f>IF($C2305="","",IFERROR(VLOOKUP($C2305,sources!$A$2:$N$200,2,FALSE()),"?"))</f>
        <v>Map</v>
      </c>
      <c r="S2305" t="str">
        <f>IF($C2305="","",IFERROR(VLOOKUP($C2305,sources!$A$2:$N$200,9,FALSE()),"?"))</f>
        <v>US official</v>
      </c>
    </row>
    <row r="2306" spans="1:19" x14ac:dyDescent="0.2">
      <c r="A2306" t="s">
        <v>7043</v>
      </c>
      <c r="B2306" t="s">
        <v>354</v>
      </c>
      <c r="C2306" t="s">
        <v>1389</v>
      </c>
      <c r="D2306" t="s">
        <v>1594</v>
      </c>
      <c r="E2306" t="s">
        <v>7044</v>
      </c>
      <c r="F2306" t="s">
        <v>1612</v>
      </c>
      <c r="G2306">
        <v>8.9634440000000009</v>
      </c>
      <c r="H2306">
        <v>-79.548963000000001</v>
      </c>
      <c r="I2306" t="s">
        <v>4813</v>
      </c>
      <c r="J2306">
        <v>150</v>
      </c>
      <c r="K2306">
        <v>1940</v>
      </c>
      <c r="L2306">
        <v>1940</v>
      </c>
      <c r="M2306" t="s">
        <v>222</v>
      </c>
      <c r="N2306" t="s">
        <v>222</v>
      </c>
      <c r="O2306" t="s">
        <v>7045</v>
      </c>
      <c r="P2306" t="s">
        <v>7046</v>
      </c>
      <c r="Q2306" t="str">
        <f>IF($C2306="","",IFERROR(VLOOKUP($C2306,sources!$A$2:$N$200,2,FALSE()),"?"))</f>
        <v>Map</v>
      </c>
      <c r="S2306" t="str">
        <f>IF($C2306="","",IFERROR(VLOOKUP($C2306,sources!$A$2:$N$200,9,FALSE()),"?"))</f>
        <v>US official</v>
      </c>
    </row>
    <row r="2307" spans="1:19" x14ac:dyDescent="0.2">
      <c r="A2307" t="s">
        <v>7047</v>
      </c>
      <c r="B2307" t="s">
        <v>458</v>
      </c>
      <c r="C2307" t="s">
        <v>1389</v>
      </c>
      <c r="D2307" t="s">
        <v>1594</v>
      </c>
      <c r="E2307" t="s">
        <v>7048</v>
      </c>
      <c r="F2307" t="s">
        <v>1612</v>
      </c>
      <c r="G2307">
        <v>8.9621929999999992</v>
      </c>
      <c r="H2307">
        <v>-79.554767999999996</v>
      </c>
      <c r="I2307" t="s">
        <v>4813</v>
      </c>
      <c r="J2307">
        <v>150</v>
      </c>
      <c r="K2307">
        <v>1940</v>
      </c>
      <c r="L2307">
        <v>1940</v>
      </c>
      <c r="M2307" t="s">
        <v>222</v>
      </c>
      <c r="N2307" t="s">
        <v>222</v>
      </c>
      <c r="O2307" t="s">
        <v>7045</v>
      </c>
      <c r="P2307" t="s">
        <v>7049</v>
      </c>
      <c r="Q2307" t="str">
        <f>IF($C2307="","",IFERROR(VLOOKUP($C2307,sources!$A$2:$N$200,2,FALSE()),"?"))</f>
        <v>Map</v>
      </c>
      <c r="S2307" t="str">
        <f>IF($C2307="","",IFERROR(VLOOKUP($C2307,sources!$A$2:$N$200,9,FALSE()),"?"))</f>
        <v>US official</v>
      </c>
    </row>
    <row r="2308" spans="1:19" x14ac:dyDescent="0.2">
      <c r="A2308" t="s">
        <v>7050</v>
      </c>
      <c r="B2308" t="s">
        <v>820</v>
      </c>
      <c r="C2308" t="s">
        <v>1389</v>
      </c>
      <c r="D2308" t="s">
        <v>1594</v>
      </c>
      <c r="E2308" t="s">
        <v>7051</v>
      </c>
      <c r="F2308" t="s">
        <v>1612</v>
      </c>
      <c r="G2308">
        <v>8.9613359999999993</v>
      </c>
      <c r="H2308">
        <v>-79.549452000000002</v>
      </c>
      <c r="I2308" t="s">
        <v>4813</v>
      </c>
      <c r="J2308">
        <v>120</v>
      </c>
      <c r="K2308">
        <v>1940</v>
      </c>
      <c r="L2308">
        <v>1940</v>
      </c>
      <c r="M2308" t="s">
        <v>222</v>
      </c>
      <c r="N2308" t="s">
        <v>222</v>
      </c>
      <c r="O2308" t="s">
        <v>7045</v>
      </c>
      <c r="P2308" t="s">
        <v>7052</v>
      </c>
      <c r="Q2308" t="str">
        <f>IF($C2308="","",IFERROR(VLOOKUP($C2308,sources!$A$2:$N$200,2,FALSE()),"?"))</f>
        <v>Map</v>
      </c>
      <c r="S2308" t="str">
        <f>IF($C2308="","",IFERROR(VLOOKUP($C2308,sources!$A$2:$N$200,9,FALSE()),"?"))</f>
        <v>US official</v>
      </c>
    </row>
    <row r="2309" spans="1:19" x14ac:dyDescent="0.2">
      <c r="A2309" t="s">
        <v>7053</v>
      </c>
      <c r="B2309" t="s">
        <v>966</v>
      </c>
      <c r="C2309" t="s">
        <v>1389</v>
      </c>
      <c r="D2309" t="s">
        <v>1594</v>
      </c>
      <c r="E2309" t="s">
        <v>7054</v>
      </c>
      <c r="F2309" t="s">
        <v>1612</v>
      </c>
      <c r="G2309">
        <v>8.9539390000000001</v>
      </c>
      <c r="H2309">
        <v>-79.546976999999998</v>
      </c>
      <c r="I2309" t="s">
        <v>4813</v>
      </c>
      <c r="J2309">
        <v>120</v>
      </c>
      <c r="K2309">
        <v>1938</v>
      </c>
      <c r="L2309">
        <v>1938</v>
      </c>
      <c r="M2309" t="s">
        <v>222</v>
      </c>
      <c r="N2309" t="s">
        <v>222</v>
      </c>
      <c r="O2309" t="s">
        <v>7055</v>
      </c>
      <c r="P2309" t="s">
        <v>7056</v>
      </c>
      <c r="Q2309" t="str">
        <f>IF($C2309="","",IFERROR(VLOOKUP($C2309,sources!$A$2:$N$200,2,FALSE()),"?"))</f>
        <v>Map</v>
      </c>
      <c r="S2309" t="str">
        <f>IF($C2309="","",IFERROR(VLOOKUP($C2309,sources!$A$2:$N$200,9,FALSE()),"?"))</f>
        <v>US official</v>
      </c>
    </row>
    <row r="2310" spans="1:19" x14ac:dyDescent="0.2">
      <c r="A2310" t="s">
        <v>7057</v>
      </c>
      <c r="B2310" t="s">
        <v>827</v>
      </c>
      <c r="C2310" t="s">
        <v>1389</v>
      </c>
      <c r="D2310" t="s">
        <v>1666</v>
      </c>
      <c r="E2310" t="s">
        <v>7058</v>
      </c>
      <c r="F2310" t="s">
        <v>1612</v>
      </c>
      <c r="I2310" t="s">
        <v>1077</v>
      </c>
      <c r="K2310">
        <v>1938</v>
      </c>
      <c r="L2310">
        <v>1938</v>
      </c>
      <c r="M2310" t="s">
        <v>222</v>
      </c>
      <c r="N2310" t="s">
        <v>228</v>
      </c>
      <c r="O2310" t="s">
        <v>7055</v>
      </c>
      <c r="P2310" t="s">
        <v>7059</v>
      </c>
      <c r="Q2310" t="str">
        <f>IF($C2310="","",IFERROR(VLOOKUP($C2310,sources!$A$2:$N$200,2,FALSE()),"?"))</f>
        <v>Map</v>
      </c>
      <c r="S2310" t="str">
        <f>IF($C2310="","",IFERROR(VLOOKUP($C2310,sources!$A$2:$N$200,9,FALSE()),"?"))</f>
        <v>US official</v>
      </c>
    </row>
    <row r="2311" spans="1:19" x14ac:dyDescent="0.2">
      <c r="A2311" t="s">
        <v>7060</v>
      </c>
      <c r="B2311" t="s">
        <v>805</v>
      </c>
      <c r="C2311" t="s">
        <v>1389</v>
      </c>
      <c r="D2311" t="s">
        <v>1594</v>
      </c>
      <c r="E2311" t="s">
        <v>7061</v>
      </c>
      <c r="F2311" t="s">
        <v>1612</v>
      </c>
      <c r="G2311">
        <v>9.3452660000000005</v>
      </c>
      <c r="H2311">
        <v>-79.898000999999994</v>
      </c>
      <c r="I2311" t="s">
        <v>4813</v>
      </c>
      <c r="J2311">
        <v>120</v>
      </c>
      <c r="K2311">
        <v>1940</v>
      </c>
      <c r="L2311">
        <v>1940</v>
      </c>
      <c r="M2311" t="s">
        <v>222</v>
      </c>
      <c r="N2311" t="s">
        <v>222</v>
      </c>
      <c r="O2311" t="s">
        <v>7062</v>
      </c>
      <c r="P2311" t="s">
        <v>7063</v>
      </c>
      <c r="Q2311" t="str">
        <f>IF($C2311="","",IFERROR(VLOOKUP($C2311,sources!$A$2:$N$200,2,FALSE()),"?"))</f>
        <v>Map</v>
      </c>
      <c r="S2311" t="str">
        <f>IF($C2311="","",IFERROR(VLOOKUP($C2311,sources!$A$2:$N$200,9,FALSE()),"?"))</f>
        <v>US official</v>
      </c>
    </row>
    <row r="2312" spans="1:19" x14ac:dyDescent="0.2">
      <c r="A2312" t="s">
        <v>7064</v>
      </c>
      <c r="B2312" t="s">
        <v>805</v>
      </c>
      <c r="C2312" t="s">
        <v>1389</v>
      </c>
      <c r="D2312" t="s">
        <v>1599</v>
      </c>
      <c r="E2312" t="s">
        <v>7065</v>
      </c>
      <c r="F2312" t="s">
        <v>1612</v>
      </c>
      <c r="G2312">
        <v>9.347315</v>
      </c>
      <c r="H2312">
        <v>-79.896569999999997</v>
      </c>
      <c r="I2312" t="s">
        <v>4813</v>
      </c>
      <c r="J2312">
        <v>130</v>
      </c>
      <c r="K2312">
        <v>1940</v>
      </c>
      <c r="L2312">
        <v>1940</v>
      </c>
      <c r="M2312" t="s">
        <v>222</v>
      </c>
      <c r="N2312" t="s">
        <v>222</v>
      </c>
      <c r="O2312" t="s">
        <v>7062</v>
      </c>
      <c r="P2312" t="s">
        <v>7066</v>
      </c>
      <c r="Q2312" t="str">
        <f>IF($C2312="","",IFERROR(VLOOKUP($C2312,sources!$A$2:$N$200,2,FALSE()),"?"))</f>
        <v>Map</v>
      </c>
      <c r="S2312" t="str">
        <f>IF($C2312="","",IFERROR(VLOOKUP($C2312,sources!$A$2:$N$200,9,FALSE()),"?"))</f>
        <v>US official</v>
      </c>
    </row>
    <row r="2313" spans="1:19" x14ac:dyDescent="0.2">
      <c r="A2313" t="s">
        <v>7067</v>
      </c>
      <c r="B2313" t="s">
        <v>805</v>
      </c>
      <c r="C2313" t="s">
        <v>1389</v>
      </c>
      <c r="D2313" t="s">
        <v>1599</v>
      </c>
      <c r="E2313" t="s">
        <v>7068</v>
      </c>
      <c r="F2313" t="s">
        <v>1612</v>
      </c>
      <c r="G2313">
        <v>9.3458950000000005</v>
      </c>
      <c r="H2313">
        <v>-79.895778000000007</v>
      </c>
      <c r="I2313" t="s">
        <v>4813</v>
      </c>
      <c r="J2313">
        <v>130</v>
      </c>
      <c r="K2313">
        <v>1940</v>
      </c>
      <c r="L2313">
        <v>1940</v>
      </c>
      <c r="M2313" t="s">
        <v>222</v>
      </c>
      <c r="N2313" t="s">
        <v>222</v>
      </c>
      <c r="O2313" t="s">
        <v>7062</v>
      </c>
      <c r="P2313" t="s">
        <v>7069</v>
      </c>
      <c r="Q2313" t="str">
        <f>IF($C2313="","",IFERROR(VLOOKUP($C2313,sources!$A$2:$N$200,2,FALSE()),"?"))</f>
        <v>Map</v>
      </c>
      <c r="S2313" t="str">
        <f>IF($C2313="","",IFERROR(VLOOKUP($C2313,sources!$A$2:$N$200,9,FALSE()),"?"))</f>
        <v>US official</v>
      </c>
    </row>
    <row r="2314" spans="1:19" x14ac:dyDescent="0.2">
      <c r="A2314" t="s">
        <v>7070</v>
      </c>
      <c r="B2314" t="s">
        <v>805</v>
      </c>
      <c r="C2314" t="s">
        <v>1389</v>
      </c>
      <c r="D2314" t="s">
        <v>1599</v>
      </c>
      <c r="E2314" t="s">
        <v>7071</v>
      </c>
      <c r="F2314" t="s">
        <v>1612</v>
      </c>
      <c r="G2314">
        <v>9.3450579999999999</v>
      </c>
      <c r="H2314">
        <v>-79.894368</v>
      </c>
      <c r="I2314" t="s">
        <v>4813</v>
      </c>
      <c r="J2314">
        <v>150</v>
      </c>
      <c r="K2314">
        <v>1940</v>
      </c>
      <c r="L2314">
        <v>1940</v>
      </c>
      <c r="M2314" t="s">
        <v>222</v>
      </c>
      <c r="N2314" t="s">
        <v>222</v>
      </c>
      <c r="O2314" t="s">
        <v>7062</v>
      </c>
      <c r="P2314" t="s">
        <v>7072</v>
      </c>
      <c r="Q2314" t="str">
        <f>IF($C2314="","",IFERROR(VLOOKUP($C2314,sources!$A$2:$N$200,2,FALSE()),"?"))</f>
        <v>Map</v>
      </c>
      <c r="S2314" t="str">
        <f>IF($C2314="","",IFERROR(VLOOKUP($C2314,sources!$A$2:$N$200,9,FALSE()),"?"))</f>
        <v>US official</v>
      </c>
    </row>
    <row r="2315" spans="1:19" x14ac:dyDescent="0.2">
      <c r="A2315" t="s">
        <v>7073</v>
      </c>
      <c r="B2315" t="s">
        <v>434</v>
      </c>
      <c r="C2315" t="s">
        <v>1389</v>
      </c>
      <c r="D2315" t="s">
        <v>1599</v>
      </c>
      <c r="E2315" t="s">
        <v>7074</v>
      </c>
      <c r="F2315" t="s">
        <v>1612</v>
      </c>
      <c r="I2315" t="s">
        <v>1077</v>
      </c>
      <c r="K2315">
        <v>1940</v>
      </c>
      <c r="L2315">
        <v>1940</v>
      </c>
      <c r="M2315" t="s">
        <v>222</v>
      </c>
      <c r="N2315" t="s">
        <v>222</v>
      </c>
      <c r="O2315" t="s">
        <v>7062</v>
      </c>
      <c r="P2315" t="s">
        <v>7075</v>
      </c>
      <c r="Q2315" t="str">
        <f>IF($C2315="","",IFERROR(VLOOKUP($C2315,sources!$A$2:$N$200,2,FALSE()),"?"))</f>
        <v>Map</v>
      </c>
      <c r="S2315" t="str">
        <f>IF($C2315="","",IFERROR(VLOOKUP($C2315,sources!$A$2:$N$200,9,FALSE()),"?"))</f>
        <v>US official</v>
      </c>
    </row>
    <row r="2316" spans="1:19" x14ac:dyDescent="0.2">
      <c r="A2316" t="s">
        <v>7076</v>
      </c>
      <c r="B2316" t="s">
        <v>1013</v>
      </c>
      <c r="C2316" t="s">
        <v>1389</v>
      </c>
      <c r="D2316" t="s">
        <v>1594</v>
      </c>
      <c r="E2316" t="s">
        <v>7077</v>
      </c>
      <c r="F2316" t="s">
        <v>1612</v>
      </c>
      <c r="G2316">
        <v>9.348122</v>
      </c>
      <c r="H2316">
        <v>-79.902413999999993</v>
      </c>
      <c r="I2316" t="s">
        <v>4813</v>
      </c>
      <c r="J2316">
        <v>300</v>
      </c>
      <c r="K2316">
        <v>1940</v>
      </c>
      <c r="L2316">
        <v>1940</v>
      </c>
      <c r="M2316" t="s">
        <v>222</v>
      </c>
      <c r="N2316" t="s">
        <v>222</v>
      </c>
      <c r="O2316" t="s">
        <v>7062</v>
      </c>
      <c r="P2316" t="s">
        <v>7078</v>
      </c>
      <c r="Q2316" t="str">
        <f>IF($C2316="","",IFERROR(VLOOKUP($C2316,sources!$A$2:$N$200,2,FALSE()),"?"))</f>
        <v>Map</v>
      </c>
      <c r="S2316" t="str">
        <f>IF($C2316="","",IFERROR(VLOOKUP($C2316,sources!$A$2:$N$200,9,FALSE()),"?"))</f>
        <v>US official</v>
      </c>
    </row>
    <row r="2317" spans="1:19" x14ac:dyDescent="0.2">
      <c r="A2317" t="s">
        <v>7079</v>
      </c>
      <c r="B2317" t="s">
        <v>795</v>
      </c>
      <c r="C2317" t="s">
        <v>1260</v>
      </c>
      <c r="D2317" t="s">
        <v>1599</v>
      </c>
      <c r="E2317" t="s">
        <v>796</v>
      </c>
      <c r="F2317" t="s">
        <v>1612</v>
      </c>
      <c r="I2317" t="s">
        <v>1077</v>
      </c>
      <c r="M2317" t="s">
        <v>209</v>
      </c>
      <c r="N2317" t="s">
        <v>222</v>
      </c>
      <c r="O2317" t="s">
        <v>7080</v>
      </c>
      <c r="P2317" t="s">
        <v>7081</v>
      </c>
      <c r="Q2317" t="str">
        <f>IF($C2317="","",IFERROR(VLOOKUP($C2317,sources!$A$2:$N$200,2,FALSE()),"?"))</f>
        <v>Photograph</v>
      </c>
      <c r="S2317" t="str">
        <f>IF($C2317="","",IFERROR(VLOOKUP($C2317,sources!$A$2:$N$200,9,FALSE()),"?"))</f>
        <v>US official</v>
      </c>
    </row>
    <row r="2318" spans="1:19" x14ac:dyDescent="0.2">
      <c r="A2318" t="s">
        <v>7082</v>
      </c>
      <c r="B2318" t="s">
        <v>802</v>
      </c>
      <c r="C2318" t="s">
        <v>1260</v>
      </c>
      <c r="D2318" t="s">
        <v>1599</v>
      </c>
      <c r="E2318" t="s">
        <v>803</v>
      </c>
      <c r="F2318" t="s">
        <v>1612</v>
      </c>
      <c r="I2318" t="s">
        <v>1077</v>
      </c>
      <c r="M2318" t="s">
        <v>209</v>
      </c>
      <c r="N2318" t="s">
        <v>209</v>
      </c>
      <c r="O2318" t="s">
        <v>7080</v>
      </c>
      <c r="P2318" t="s">
        <v>7083</v>
      </c>
      <c r="Q2318" t="str">
        <f>IF($C2318="","",IFERROR(VLOOKUP($C2318,sources!$A$2:$N$200,2,FALSE()),"?"))</f>
        <v>Photograph</v>
      </c>
      <c r="S2318" t="str">
        <f>IF($C2318="","",IFERROR(VLOOKUP($C2318,sources!$A$2:$N$200,9,FALSE()),"?"))</f>
        <v>US official</v>
      </c>
    </row>
    <row r="2319" spans="1:19" x14ac:dyDescent="0.2">
      <c r="A2319" t="s">
        <v>7084</v>
      </c>
      <c r="B2319" t="s">
        <v>805</v>
      </c>
      <c r="C2319" t="s">
        <v>1260</v>
      </c>
      <c r="D2319" t="s">
        <v>1599</v>
      </c>
      <c r="E2319" t="s">
        <v>806</v>
      </c>
      <c r="F2319" t="s">
        <v>1612</v>
      </c>
      <c r="I2319" t="s">
        <v>1077</v>
      </c>
      <c r="M2319" t="s">
        <v>209</v>
      </c>
      <c r="N2319" t="s">
        <v>222</v>
      </c>
      <c r="O2319" t="s">
        <v>7080</v>
      </c>
      <c r="P2319" t="s">
        <v>7085</v>
      </c>
      <c r="Q2319" t="str">
        <f>IF($C2319="","",IFERROR(VLOOKUP($C2319,sources!$A$2:$N$200,2,FALSE()),"?"))</f>
        <v>Photograph</v>
      </c>
      <c r="S2319" t="str">
        <f>IF($C2319="","",IFERROR(VLOOKUP($C2319,sources!$A$2:$N$200,9,FALSE()),"?"))</f>
        <v>US official</v>
      </c>
    </row>
    <row r="2320" spans="1:19" x14ac:dyDescent="0.2">
      <c r="A2320" t="s">
        <v>7086</v>
      </c>
      <c r="B2320" t="s">
        <v>810</v>
      </c>
      <c r="C2320" t="s">
        <v>1260</v>
      </c>
      <c r="D2320" t="s">
        <v>1599</v>
      </c>
      <c r="E2320" t="s">
        <v>7087</v>
      </c>
      <c r="F2320" t="s">
        <v>1612</v>
      </c>
      <c r="I2320" t="s">
        <v>1077</v>
      </c>
      <c r="K2320">
        <v>1907</v>
      </c>
      <c r="L2320">
        <v>1909</v>
      </c>
      <c r="M2320" t="s">
        <v>209</v>
      </c>
      <c r="N2320" t="s">
        <v>209</v>
      </c>
      <c r="O2320" t="s">
        <v>7080</v>
      </c>
      <c r="P2320" t="s">
        <v>7088</v>
      </c>
      <c r="Q2320" t="str">
        <f>IF($C2320="","",IFERROR(VLOOKUP($C2320,sources!$A$2:$N$200,2,FALSE()),"?"))</f>
        <v>Photograph</v>
      </c>
      <c r="S2320" t="str">
        <f>IF($C2320="","",IFERROR(VLOOKUP($C2320,sources!$A$2:$N$200,9,FALSE()),"?"))</f>
        <v>US official</v>
      </c>
    </row>
    <row r="2321" spans="1:19" x14ac:dyDescent="0.2">
      <c r="A2321" t="s">
        <v>7089</v>
      </c>
      <c r="B2321" t="s">
        <v>820</v>
      </c>
      <c r="C2321" t="s">
        <v>1260</v>
      </c>
      <c r="D2321" t="s">
        <v>1599</v>
      </c>
      <c r="E2321" t="s">
        <v>821</v>
      </c>
      <c r="F2321" t="s">
        <v>1612</v>
      </c>
      <c r="I2321" t="s">
        <v>1077</v>
      </c>
      <c r="K2321">
        <v>1906</v>
      </c>
      <c r="L2321">
        <v>1919</v>
      </c>
      <c r="M2321" t="s">
        <v>228</v>
      </c>
      <c r="N2321" t="s">
        <v>222</v>
      </c>
      <c r="O2321" t="s">
        <v>7080</v>
      </c>
      <c r="P2321" t="s">
        <v>7090</v>
      </c>
      <c r="Q2321" t="str">
        <f>IF($C2321="","",IFERROR(VLOOKUP($C2321,sources!$A$2:$N$200,2,FALSE()),"?"))</f>
        <v>Photograph</v>
      </c>
      <c r="S2321" t="str">
        <f>IF($C2321="","",IFERROR(VLOOKUP($C2321,sources!$A$2:$N$200,9,FALSE()),"?"))</f>
        <v>US official</v>
      </c>
    </row>
    <row r="2322" spans="1:19" x14ac:dyDescent="0.2">
      <c r="A2322" t="s">
        <v>7091</v>
      </c>
      <c r="B2322" t="s">
        <v>824</v>
      </c>
      <c r="C2322" t="s">
        <v>1260</v>
      </c>
      <c r="D2322" t="s">
        <v>1599</v>
      </c>
      <c r="E2322" t="s">
        <v>825</v>
      </c>
      <c r="F2322" t="s">
        <v>1612</v>
      </c>
      <c r="I2322" t="s">
        <v>1077</v>
      </c>
      <c r="M2322" t="s">
        <v>209</v>
      </c>
      <c r="N2322" t="s">
        <v>228</v>
      </c>
      <c r="O2322" t="s">
        <v>7080</v>
      </c>
      <c r="P2322" t="s">
        <v>7092</v>
      </c>
      <c r="Q2322" t="str">
        <f>IF($C2322="","",IFERROR(VLOOKUP($C2322,sources!$A$2:$N$200,2,FALSE()),"?"))</f>
        <v>Photograph</v>
      </c>
      <c r="S2322" t="str">
        <f>IF($C2322="","",IFERROR(VLOOKUP($C2322,sources!$A$2:$N$200,9,FALSE()),"?"))</f>
        <v>US official</v>
      </c>
    </row>
    <row r="2323" spans="1:19" x14ac:dyDescent="0.2">
      <c r="A2323" t="s">
        <v>7093</v>
      </c>
      <c r="B2323" t="s">
        <v>827</v>
      </c>
      <c r="C2323" t="s">
        <v>1260</v>
      </c>
      <c r="D2323" t="s">
        <v>1599</v>
      </c>
      <c r="E2323" t="s">
        <v>4888</v>
      </c>
      <c r="F2323" t="s">
        <v>1612</v>
      </c>
      <c r="I2323" t="s">
        <v>1077</v>
      </c>
      <c r="M2323" t="s">
        <v>209</v>
      </c>
      <c r="N2323" t="s">
        <v>209</v>
      </c>
      <c r="O2323" t="s">
        <v>7080</v>
      </c>
      <c r="P2323" t="s">
        <v>7094</v>
      </c>
      <c r="Q2323" t="str">
        <f>IF($C2323="","",IFERROR(VLOOKUP($C2323,sources!$A$2:$N$200,2,FALSE()),"?"))</f>
        <v>Photograph</v>
      </c>
      <c r="S2323" t="str">
        <f>IF($C2323="","",IFERROR(VLOOKUP($C2323,sources!$A$2:$N$200,9,FALSE()),"?"))</f>
        <v>US official</v>
      </c>
    </row>
    <row r="2324" spans="1:19" x14ac:dyDescent="0.2">
      <c r="A2324" t="s">
        <v>7095</v>
      </c>
      <c r="B2324" t="s">
        <v>830</v>
      </c>
      <c r="C2324" t="s">
        <v>1260</v>
      </c>
      <c r="D2324" t="s">
        <v>1599</v>
      </c>
      <c r="E2324" t="s">
        <v>831</v>
      </c>
      <c r="F2324" t="s">
        <v>1612</v>
      </c>
      <c r="I2324" t="s">
        <v>1077</v>
      </c>
      <c r="K2324">
        <v>1912</v>
      </c>
      <c r="L2324">
        <v>1912</v>
      </c>
      <c r="M2324" t="s">
        <v>228</v>
      </c>
      <c r="N2324" t="s">
        <v>228</v>
      </c>
      <c r="O2324" t="s">
        <v>7080</v>
      </c>
      <c r="P2324" t="s">
        <v>7096</v>
      </c>
      <c r="Q2324" t="str">
        <f>IF($C2324="","",IFERROR(VLOOKUP($C2324,sources!$A$2:$N$200,2,FALSE()),"?"))</f>
        <v>Photograph</v>
      </c>
      <c r="S2324" t="str">
        <f>IF($C2324="","",IFERROR(VLOOKUP($C2324,sources!$A$2:$N$200,9,FALSE()),"?"))</f>
        <v>US official</v>
      </c>
    </row>
    <row r="2325" spans="1:19" x14ac:dyDescent="0.2">
      <c r="A2325" t="s">
        <v>7097</v>
      </c>
      <c r="B2325" t="s">
        <v>838</v>
      </c>
      <c r="C2325" t="s">
        <v>1260</v>
      </c>
      <c r="D2325" t="s">
        <v>1599</v>
      </c>
      <c r="E2325" t="s">
        <v>839</v>
      </c>
      <c r="F2325" t="s">
        <v>1612</v>
      </c>
      <c r="I2325" t="s">
        <v>1077</v>
      </c>
      <c r="M2325" t="s">
        <v>209</v>
      </c>
      <c r="N2325" t="s">
        <v>222</v>
      </c>
      <c r="O2325" t="s">
        <v>7080</v>
      </c>
      <c r="P2325" t="s">
        <v>7098</v>
      </c>
      <c r="Q2325" t="str">
        <f>IF($C2325="","",IFERROR(VLOOKUP($C2325,sources!$A$2:$N$200,2,FALSE()),"?"))</f>
        <v>Photograph</v>
      </c>
      <c r="S2325" t="str">
        <f>IF($C2325="","",IFERROR(VLOOKUP($C2325,sources!$A$2:$N$200,9,FALSE()),"?"))</f>
        <v>US official</v>
      </c>
    </row>
    <row r="2326" spans="1:19" x14ac:dyDescent="0.2">
      <c r="A2326" t="s">
        <v>7099</v>
      </c>
      <c r="B2326" t="s">
        <v>843</v>
      </c>
      <c r="C2326" t="s">
        <v>1260</v>
      </c>
      <c r="D2326" t="s">
        <v>1599</v>
      </c>
      <c r="E2326" t="s">
        <v>844</v>
      </c>
      <c r="F2326" t="s">
        <v>1612</v>
      </c>
      <c r="I2326" t="s">
        <v>1077</v>
      </c>
      <c r="K2326">
        <v>1942</v>
      </c>
      <c r="L2326">
        <v>1966</v>
      </c>
      <c r="M2326" t="s">
        <v>228</v>
      </c>
      <c r="N2326" t="s">
        <v>228</v>
      </c>
      <c r="O2326" t="s">
        <v>7080</v>
      </c>
      <c r="P2326" t="s">
        <v>7100</v>
      </c>
      <c r="Q2326" t="str">
        <f>IF($C2326="","",IFERROR(VLOOKUP($C2326,sources!$A$2:$N$200,2,FALSE()),"?"))</f>
        <v>Photograph</v>
      </c>
      <c r="S2326" t="str">
        <f>IF($C2326="","",IFERROR(VLOOKUP($C2326,sources!$A$2:$N$200,9,FALSE()),"?"))</f>
        <v>US official</v>
      </c>
    </row>
    <row r="2327" spans="1:19" x14ac:dyDescent="0.2">
      <c r="A2327" t="s">
        <v>7101</v>
      </c>
      <c r="B2327" t="s">
        <v>847</v>
      </c>
      <c r="C2327" t="s">
        <v>1260</v>
      </c>
      <c r="D2327" t="s">
        <v>1599</v>
      </c>
      <c r="E2327" t="s">
        <v>848</v>
      </c>
      <c r="F2327" t="s">
        <v>1612</v>
      </c>
      <c r="I2327" t="s">
        <v>1077</v>
      </c>
      <c r="K2327">
        <v>1919</v>
      </c>
      <c r="L2327">
        <v>1919</v>
      </c>
      <c r="M2327" t="s">
        <v>228</v>
      </c>
      <c r="N2327" t="s">
        <v>222</v>
      </c>
      <c r="O2327" t="s">
        <v>7080</v>
      </c>
      <c r="P2327" t="s">
        <v>7102</v>
      </c>
      <c r="Q2327" t="str">
        <f>IF($C2327="","",IFERROR(VLOOKUP($C2327,sources!$A$2:$N$200,2,FALSE()),"?"))</f>
        <v>Photograph</v>
      </c>
      <c r="S2327" t="str">
        <f>IF($C2327="","",IFERROR(VLOOKUP($C2327,sources!$A$2:$N$200,9,FALSE()),"?"))</f>
        <v>US official</v>
      </c>
    </row>
    <row r="2328" spans="1:19" x14ac:dyDescent="0.2">
      <c r="A2328" t="s">
        <v>7103</v>
      </c>
      <c r="B2328" t="s">
        <v>851</v>
      </c>
      <c r="C2328" t="s">
        <v>1260</v>
      </c>
      <c r="D2328" t="s">
        <v>1599</v>
      </c>
      <c r="E2328" t="s">
        <v>852</v>
      </c>
      <c r="F2328" t="s">
        <v>1612</v>
      </c>
      <c r="I2328" t="s">
        <v>1077</v>
      </c>
      <c r="K2328">
        <v>1942</v>
      </c>
      <c r="L2328">
        <v>1955</v>
      </c>
      <c r="M2328" t="s">
        <v>228</v>
      </c>
      <c r="N2328" t="s">
        <v>228</v>
      </c>
      <c r="O2328" t="s">
        <v>7080</v>
      </c>
      <c r="P2328" t="s">
        <v>7104</v>
      </c>
      <c r="Q2328" t="str">
        <f>IF($C2328="","",IFERROR(VLOOKUP($C2328,sources!$A$2:$N$200,2,FALSE()),"?"))</f>
        <v>Photograph</v>
      </c>
      <c r="S2328" t="str">
        <f>IF($C2328="","",IFERROR(VLOOKUP($C2328,sources!$A$2:$N$200,9,FALSE()),"?"))</f>
        <v>US official</v>
      </c>
    </row>
    <row r="2329" spans="1:19" x14ac:dyDescent="0.2">
      <c r="A2329" t="s">
        <v>7105</v>
      </c>
      <c r="B2329" t="s">
        <v>866</v>
      </c>
      <c r="C2329" t="s">
        <v>1260</v>
      </c>
      <c r="D2329" t="s">
        <v>1599</v>
      </c>
      <c r="E2329" t="s">
        <v>867</v>
      </c>
      <c r="F2329" t="s">
        <v>1612</v>
      </c>
      <c r="I2329" t="s">
        <v>1077</v>
      </c>
      <c r="M2329" t="s">
        <v>209</v>
      </c>
      <c r="N2329" t="s">
        <v>209</v>
      </c>
      <c r="O2329" t="s">
        <v>7080</v>
      </c>
      <c r="P2329" t="s">
        <v>7106</v>
      </c>
      <c r="Q2329" t="str">
        <f>IF($C2329="","",IFERROR(VLOOKUP($C2329,sources!$A$2:$N$200,2,FALSE()),"?"))</f>
        <v>Photograph</v>
      </c>
      <c r="S2329" t="str">
        <f>IF($C2329="","",IFERROR(VLOOKUP($C2329,sources!$A$2:$N$200,9,FALSE()),"?"))</f>
        <v>US official</v>
      </c>
    </row>
    <row r="2330" spans="1:19" x14ac:dyDescent="0.2">
      <c r="A2330" t="s">
        <v>7107</v>
      </c>
      <c r="B2330" t="s">
        <v>875</v>
      </c>
      <c r="C2330" t="s">
        <v>1260</v>
      </c>
      <c r="D2330" t="s">
        <v>1666</v>
      </c>
      <c r="E2330" t="s">
        <v>4829</v>
      </c>
      <c r="F2330" t="s">
        <v>1612</v>
      </c>
      <c r="I2330" t="s">
        <v>1077</v>
      </c>
      <c r="M2330" t="s">
        <v>209</v>
      </c>
      <c r="N2330" t="s">
        <v>228</v>
      </c>
      <c r="O2330" t="s">
        <v>7080</v>
      </c>
      <c r="P2330" t="s">
        <v>7108</v>
      </c>
      <c r="Q2330" t="str">
        <f>IF($C2330="","",IFERROR(VLOOKUP($C2330,sources!$A$2:$N$200,2,FALSE()),"?"))</f>
        <v>Photograph</v>
      </c>
      <c r="S2330" t="str">
        <f>IF($C2330="","",IFERROR(VLOOKUP($C2330,sources!$A$2:$N$200,9,FALSE()),"?"))</f>
        <v>US official</v>
      </c>
    </row>
    <row r="2331" spans="1:19" x14ac:dyDescent="0.2">
      <c r="A2331" t="s">
        <v>7109</v>
      </c>
      <c r="B2331" t="s">
        <v>879</v>
      </c>
      <c r="C2331" t="s">
        <v>1260</v>
      </c>
      <c r="D2331" t="s">
        <v>1599</v>
      </c>
      <c r="E2331" t="s">
        <v>4832</v>
      </c>
      <c r="F2331" t="s">
        <v>1612</v>
      </c>
      <c r="I2331" t="s">
        <v>1077</v>
      </c>
      <c r="M2331" t="s">
        <v>209</v>
      </c>
      <c r="N2331" t="s">
        <v>222</v>
      </c>
      <c r="O2331" t="s">
        <v>7080</v>
      </c>
      <c r="P2331" t="s">
        <v>7110</v>
      </c>
      <c r="Q2331" t="str">
        <f>IF($C2331="","",IFERROR(VLOOKUP($C2331,sources!$A$2:$N$200,2,FALSE()),"?"))</f>
        <v>Photograph</v>
      </c>
      <c r="S2331" t="str">
        <f>IF($C2331="","",IFERROR(VLOOKUP($C2331,sources!$A$2:$N$200,9,FALSE()),"?"))</f>
        <v>US official</v>
      </c>
    </row>
    <row r="2332" spans="1:19" x14ac:dyDescent="0.2">
      <c r="A2332" t="s">
        <v>7111</v>
      </c>
      <c r="B2332" t="s">
        <v>884</v>
      </c>
      <c r="C2332" t="s">
        <v>1260</v>
      </c>
      <c r="D2332" t="s">
        <v>1666</v>
      </c>
      <c r="E2332" t="s">
        <v>4835</v>
      </c>
      <c r="F2332" t="s">
        <v>1612</v>
      </c>
      <c r="I2332" t="s">
        <v>1077</v>
      </c>
      <c r="M2332" t="s">
        <v>209</v>
      </c>
      <c r="N2332" t="s">
        <v>228</v>
      </c>
      <c r="O2332" t="s">
        <v>7080</v>
      </c>
      <c r="P2332" t="s">
        <v>7112</v>
      </c>
      <c r="Q2332" t="str">
        <f>IF($C2332="","",IFERROR(VLOOKUP($C2332,sources!$A$2:$N$200,2,FALSE()),"?"))</f>
        <v>Photograph</v>
      </c>
      <c r="S2332" t="str">
        <f>IF($C2332="","",IFERROR(VLOOKUP($C2332,sources!$A$2:$N$200,9,FALSE()),"?"))</f>
        <v>US official</v>
      </c>
    </row>
    <row r="2333" spans="1:19" x14ac:dyDescent="0.2">
      <c r="A2333" t="s">
        <v>7113</v>
      </c>
      <c r="B2333" t="s">
        <v>888</v>
      </c>
      <c r="C2333" t="s">
        <v>1260</v>
      </c>
      <c r="D2333" t="s">
        <v>1599</v>
      </c>
      <c r="E2333" t="s">
        <v>7114</v>
      </c>
      <c r="F2333" t="s">
        <v>1612</v>
      </c>
      <c r="I2333" t="s">
        <v>1077</v>
      </c>
      <c r="M2333" t="s">
        <v>209</v>
      </c>
      <c r="N2333" t="s">
        <v>209</v>
      </c>
      <c r="O2333" t="s">
        <v>7080</v>
      </c>
      <c r="P2333" t="s">
        <v>7115</v>
      </c>
      <c r="Q2333" t="str">
        <f>IF($C2333="","",IFERROR(VLOOKUP($C2333,sources!$A$2:$N$200,2,FALSE()),"?"))</f>
        <v>Photograph</v>
      </c>
      <c r="S2333" t="str">
        <f>IF($C2333="","",IFERROR(VLOOKUP($C2333,sources!$A$2:$N$200,9,FALSE()),"?"))</f>
        <v>US official</v>
      </c>
    </row>
    <row r="2334" spans="1:19" x14ac:dyDescent="0.2">
      <c r="A2334" t="s">
        <v>7116</v>
      </c>
      <c r="B2334" t="s">
        <v>892</v>
      </c>
      <c r="C2334" t="s">
        <v>1260</v>
      </c>
      <c r="D2334" t="s">
        <v>1599</v>
      </c>
      <c r="E2334" t="s">
        <v>7117</v>
      </c>
      <c r="F2334" t="s">
        <v>1612</v>
      </c>
      <c r="I2334" t="s">
        <v>1077</v>
      </c>
      <c r="M2334" t="s">
        <v>209</v>
      </c>
      <c r="N2334" t="s">
        <v>209</v>
      </c>
      <c r="O2334" t="s">
        <v>7080</v>
      </c>
      <c r="P2334" t="s">
        <v>7118</v>
      </c>
      <c r="Q2334" t="str">
        <f>IF($C2334="","",IFERROR(VLOOKUP($C2334,sources!$A$2:$N$200,2,FALSE()),"?"))</f>
        <v>Photograph</v>
      </c>
      <c r="S2334" t="str">
        <f>IF($C2334="","",IFERROR(VLOOKUP($C2334,sources!$A$2:$N$200,9,FALSE()),"?"))</f>
        <v>US official</v>
      </c>
    </row>
    <row r="2335" spans="1:19" x14ac:dyDescent="0.2">
      <c r="A2335" t="s">
        <v>7119</v>
      </c>
      <c r="B2335" t="s">
        <v>895</v>
      </c>
      <c r="C2335" t="s">
        <v>1260</v>
      </c>
      <c r="D2335" t="s">
        <v>1599</v>
      </c>
      <c r="E2335" t="s">
        <v>7120</v>
      </c>
      <c r="F2335" t="s">
        <v>1612</v>
      </c>
      <c r="I2335" t="s">
        <v>1077</v>
      </c>
      <c r="K2335">
        <v>1905</v>
      </c>
      <c r="L2335">
        <v>1905</v>
      </c>
      <c r="M2335" t="s">
        <v>228</v>
      </c>
      <c r="N2335" t="s">
        <v>222</v>
      </c>
      <c r="O2335" t="s">
        <v>7080</v>
      </c>
      <c r="P2335" t="s">
        <v>7121</v>
      </c>
      <c r="Q2335" t="str">
        <f>IF($C2335="","",IFERROR(VLOOKUP($C2335,sources!$A$2:$N$200,2,FALSE()),"?"))</f>
        <v>Photograph</v>
      </c>
      <c r="S2335" t="str">
        <f>IF($C2335="","",IFERROR(VLOOKUP($C2335,sources!$A$2:$N$200,9,FALSE()),"?"))</f>
        <v>US official</v>
      </c>
    </row>
    <row r="2336" spans="1:19" x14ac:dyDescent="0.2">
      <c r="A2336" t="s">
        <v>7122</v>
      </c>
      <c r="B2336" t="s">
        <v>898</v>
      </c>
      <c r="C2336" t="s">
        <v>1260</v>
      </c>
      <c r="D2336" t="s">
        <v>1666</v>
      </c>
      <c r="E2336" t="s">
        <v>6647</v>
      </c>
      <c r="F2336" t="s">
        <v>1612</v>
      </c>
      <c r="I2336" t="s">
        <v>1077</v>
      </c>
      <c r="M2336" t="s">
        <v>209</v>
      </c>
      <c r="N2336" t="s">
        <v>228</v>
      </c>
      <c r="O2336" t="s">
        <v>7080</v>
      </c>
      <c r="P2336" t="s">
        <v>7112</v>
      </c>
      <c r="Q2336" t="str">
        <f>IF($C2336="","",IFERROR(VLOOKUP($C2336,sources!$A$2:$N$200,2,FALSE()),"?"))</f>
        <v>Photograph</v>
      </c>
      <c r="S2336" t="str">
        <f>IF($C2336="","",IFERROR(VLOOKUP($C2336,sources!$A$2:$N$200,9,FALSE()),"?"))</f>
        <v>US official</v>
      </c>
    </row>
    <row r="2337" spans="1:19" x14ac:dyDescent="0.2">
      <c r="A2337" t="s">
        <v>7123</v>
      </c>
      <c r="B2337" t="s">
        <v>907</v>
      </c>
      <c r="C2337" t="s">
        <v>1260</v>
      </c>
      <c r="D2337" t="s">
        <v>1585</v>
      </c>
      <c r="E2337" t="s">
        <v>6568</v>
      </c>
      <c r="F2337" t="s">
        <v>1612</v>
      </c>
      <c r="I2337" t="s">
        <v>1077</v>
      </c>
      <c r="M2337" t="s">
        <v>209</v>
      </c>
      <c r="N2337" t="s">
        <v>222</v>
      </c>
      <c r="O2337" t="s">
        <v>7080</v>
      </c>
      <c r="P2337" t="s">
        <v>7124</v>
      </c>
      <c r="Q2337" t="str">
        <f>IF($C2337="","",IFERROR(VLOOKUP($C2337,sources!$A$2:$N$200,2,FALSE()),"?"))</f>
        <v>Photograph</v>
      </c>
      <c r="S2337" t="str">
        <f>IF($C2337="","",IFERROR(VLOOKUP($C2337,sources!$A$2:$N$200,9,FALSE()),"?"))</f>
        <v>US official</v>
      </c>
    </row>
    <row r="2338" spans="1:19" x14ac:dyDescent="0.2">
      <c r="A2338" t="s">
        <v>7125</v>
      </c>
      <c r="B2338" t="s">
        <v>911</v>
      </c>
      <c r="C2338" t="s">
        <v>1260</v>
      </c>
      <c r="D2338" t="s">
        <v>1666</v>
      </c>
      <c r="E2338" t="s">
        <v>6706</v>
      </c>
      <c r="F2338" t="s">
        <v>1612</v>
      </c>
      <c r="I2338" t="s">
        <v>1077</v>
      </c>
      <c r="M2338" t="s">
        <v>209</v>
      </c>
      <c r="N2338" t="s">
        <v>228</v>
      </c>
      <c r="O2338" t="s">
        <v>7080</v>
      </c>
      <c r="P2338" t="s">
        <v>7112</v>
      </c>
      <c r="Q2338" t="str">
        <f>IF($C2338="","",IFERROR(VLOOKUP($C2338,sources!$A$2:$N$200,2,FALSE()),"?"))</f>
        <v>Photograph</v>
      </c>
      <c r="S2338" t="str">
        <f>IF($C2338="","",IFERROR(VLOOKUP($C2338,sources!$A$2:$N$200,9,FALSE()),"?"))</f>
        <v>US official</v>
      </c>
    </row>
    <row r="2339" spans="1:19" x14ac:dyDescent="0.2">
      <c r="A2339" t="s">
        <v>7126</v>
      </c>
      <c r="B2339" t="s">
        <v>915</v>
      </c>
      <c r="C2339" t="s">
        <v>1260</v>
      </c>
      <c r="D2339" t="s">
        <v>1666</v>
      </c>
      <c r="E2339" t="s">
        <v>916</v>
      </c>
      <c r="F2339" t="s">
        <v>1612</v>
      </c>
      <c r="I2339" t="s">
        <v>1077</v>
      </c>
      <c r="M2339" t="s">
        <v>209</v>
      </c>
      <c r="N2339" t="s">
        <v>228</v>
      </c>
      <c r="O2339" t="s">
        <v>7080</v>
      </c>
      <c r="P2339" t="s">
        <v>7112</v>
      </c>
      <c r="Q2339" t="str">
        <f>IF($C2339="","",IFERROR(VLOOKUP($C2339,sources!$A$2:$N$200,2,FALSE()),"?"))</f>
        <v>Photograph</v>
      </c>
      <c r="S2339" t="str">
        <f>IF($C2339="","",IFERROR(VLOOKUP($C2339,sources!$A$2:$N$200,9,FALSE()),"?"))</f>
        <v>US official</v>
      </c>
    </row>
    <row r="2340" spans="1:19" x14ac:dyDescent="0.2">
      <c r="A2340" t="s">
        <v>7127</v>
      </c>
      <c r="B2340" t="s">
        <v>918</v>
      </c>
      <c r="C2340" t="s">
        <v>1260</v>
      </c>
      <c r="D2340" t="s">
        <v>1585</v>
      </c>
      <c r="E2340" t="s">
        <v>7128</v>
      </c>
      <c r="F2340" t="s">
        <v>1612</v>
      </c>
      <c r="I2340" t="s">
        <v>1077</v>
      </c>
      <c r="M2340" t="s">
        <v>209</v>
      </c>
      <c r="N2340" t="s">
        <v>209</v>
      </c>
      <c r="O2340" t="s">
        <v>7080</v>
      </c>
      <c r="P2340" t="s">
        <v>7129</v>
      </c>
      <c r="Q2340" t="str">
        <f>IF($C2340="","",IFERROR(VLOOKUP($C2340,sources!$A$2:$N$200,2,FALSE()),"?"))</f>
        <v>Photograph</v>
      </c>
      <c r="S2340" t="str">
        <f>IF($C2340="","",IFERROR(VLOOKUP($C2340,sources!$A$2:$N$200,9,FALSE()),"?"))</f>
        <v>US official</v>
      </c>
    </row>
    <row r="2341" spans="1:19" x14ac:dyDescent="0.2">
      <c r="A2341" t="s">
        <v>7130</v>
      </c>
      <c r="B2341" t="s">
        <v>921</v>
      </c>
      <c r="C2341" t="s">
        <v>1260</v>
      </c>
      <c r="D2341" t="s">
        <v>1585</v>
      </c>
      <c r="E2341" t="s">
        <v>7131</v>
      </c>
      <c r="F2341" t="s">
        <v>1612</v>
      </c>
      <c r="I2341" t="s">
        <v>1077</v>
      </c>
      <c r="M2341" t="s">
        <v>209</v>
      </c>
      <c r="N2341" t="s">
        <v>209</v>
      </c>
      <c r="O2341" t="s">
        <v>7080</v>
      </c>
      <c r="P2341" t="s">
        <v>7132</v>
      </c>
      <c r="Q2341" t="str">
        <f>IF($C2341="","",IFERROR(VLOOKUP($C2341,sources!$A$2:$N$200,2,FALSE()),"?"))</f>
        <v>Photograph</v>
      </c>
      <c r="S2341" t="str">
        <f>IF($C2341="","",IFERROR(VLOOKUP($C2341,sources!$A$2:$N$200,9,FALSE()),"?"))</f>
        <v>US official</v>
      </c>
    </row>
    <row r="2342" spans="1:19" x14ac:dyDescent="0.2">
      <c r="A2342" t="s">
        <v>7133</v>
      </c>
      <c r="B2342" t="s">
        <v>925</v>
      </c>
      <c r="C2342" t="s">
        <v>1260</v>
      </c>
      <c r="D2342" t="s">
        <v>1666</v>
      </c>
      <c r="E2342" t="s">
        <v>927</v>
      </c>
      <c r="F2342" t="s">
        <v>1612</v>
      </c>
      <c r="I2342" t="s">
        <v>1077</v>
      </c>
      <c r="M2342" t="s">
        <v>209</v>
      </c>
      <c r="N2342" t="s">
        <v>228</v>
      </c>
      <c r="O2342" t="s">
        <v>7080</v>
      </c>
      <c r="P2342" t="s">
        <v>7112</v>
      </c>
      <c r="Q2342" t="str">
        <f>IF($C2342="","",IFERROR(VLOOKUP($C2342,sources!$A$2:$N$200,2,FALSE()),"?"))</f>
        <v>Photograph</v>
      </c>
      <c r="S2342" t="str">
        <f>IF($C2342="","",IFERROR(VLOOKUP($C2342,sources!$A$2:$N$200,9,FALSE()),"?"))</f>
        <v>US official</v>
      </c>
    </row>
    <row r="2343" spans="1:19" x14ac:dyDescent="0.2">
      <c r="A2343" t="s">
        <v>7134</v>
      </c>
      <c r="B2343" t="s">
        <v>933</v>
      </c>
      <c r="C2343" t="s">
        <v>1260</v>
      </c>
      <c r="D2343" t="s">
        <v>1666</v>
      </c>
      <c r="E2343" t="s">
        <v>934</v>
      </c>
      <c r="F2343" t="s">
        <v>1612</v>
      </c>
      <c r="I2343" t="s">
        <v>1077</v>
      </c>
      <c r="M2343" t="s">
        <v>209</v>
      </c>
      <c r="N2343" t="s">
        <v>228</v>
      </c>
      <c r="O2343" t="s">
        <v>7080</v>
      </c>
      <c r="P2343" t="s">
        <v>7112</v>
      </c>
      <c r="Q2343" t="str">
        <f>IF($C2343="","",IFERROR(VLOOKUP($C2343,sources!$A$2:$N$200,2,FALSE()),"?"))</f>
        <v>Photograph</v>
      </c>
      <c r="S2343" t="str">
        <f>IF($C2343="","",IFERROR(VLOOKUP($C2343,sources!$A$2:$N$200,9,FALSE()),"?"))</f>
        <v>US official</v>
      </c>
    </row>
    <row r="2344" spans="1:19" x14ac:dyDescent="0.2">
      <c r="A2344" t="s">
        <v>7135</v>
      </c>
      <c r="B2344" t="s">
        <v>943</v>
      </c>
      <c r="C2344" t="s">
        <v>1260</v>
      </c>
      <c r="D2344" t="s">
        <v>1666</v>
      </c>
      <c r="E2344" t="s">
        <v>6594</v>
      </c>
      <c r="F2344" t="s">
        <v>1612</v>
      </c>
      <c r="I2344" t="s">
        <v>1077</v>
      </c>
      <c r="M2344" t="s">
        <v>209</v>
      </c>
      <c r="N2344" t="s">
        <v>228</v>
      </c>
      <c r="O2344" t="s">
        <v>7080</v>
      </c>
      <c r="P2344" t="s">
        <v>7136</v>
      </c>
      <c r="Q2344" t="str">
        <f>IF($C2344="","",IFERROR(VLOOKUP($C2344,sources!$A$2:$N$200,2,FALSE()),"?"))</f>
        <v>Photograph</v>
      </c>
      <c r="S2344" t="str">
        <f>IF($C2344="","",IFERROR(VLOOKUP($C2344,sources!$A$2:$N$200,9,FALSE()),"?"))</f>
        <v>US official</v>
      </c>
    </row>
    <row r="2345" spans="1:19" x14ac:dyDescent="0.2">
      <c r="A2345" t="s">
        <v>7137</v>
      </c>
      <c r="B2345" t="s">
        <v>951</v>
      </c>
      <c r="C2345" t="s">
        <v>1260</v>
      </c>
      <c r="D2345" t="s">
        <v>1599</v>
      </c>
      <c r="E2345" t="s">
        <v>953</v>
      </c>
      <c r="F2345" t="s">
        <v>1612</v>
      </c>
      <c r="I2345" t="s">
        <v>1077</v>
      </c>
      <c r="K2345">
        <v>1908</v>
      </c>
      <c r="L2345">
        <v>1910</v>
      </c>
      <c r="M2345" t="s">
        <v>228</v>
      </c>
      <c r="N2345" t="s">
        <v>222</v>
      </c>
      <c r="O2345" t="s">
        <v>7080</v>
      </c>
      <c r="P2345" t="s">
        <v>7138</v>
      </c>
      <c r="Q2345" t="str">
        <f>IF($C2345="","",IFERROR(VLOOKUP($C2345,sources!$A$2:$N$200,2,FALSE()),"?"))</f>
        <v>Photograph</v>
      </c>
      <c r="S2345" t="str">
        <f>IF($C2345="","",IFERROR(VLOOKUP($C2345,sources!$A$2:$N$200,9,FALSE()),"?"))</f>
        <v>US official</v>
      </c>
    </row>
    <row r="2346" spans="1:19" x14ac:dyDescent="0.2">
      <c r="A2346" t="s">
        <v>7139</v>
      </c>
      <c r="B2346" t="s">
        <v>957</v>
      </c>
      <c r="C2346" t="s">
        <v>1260</v>
      </c>
      <c r="D2346" t="s">
        <v>1599</v>
      </c>
      <c r="E2346" t="s">
        <v>958</v>
      </c>
      <c r="F2346" t="s">
        <v>1612</v>
      </c>
      <c r="I2346" t="s">
        <v>1077</v>
      </c>
      <c r="M2346" t="s">
        <v>209</v>
      </c>
      <c r="N2346" t="s">
        <v>228</v>
      </c>
      <c r="O2346" t="s">
        <v>7080</v>
      </c>
      <c r="P2346" t="s">
        <v>7140</v>
      </c>
      <c r="Q2346" t="str">
        <f>IF($C2346="","",IFERROR(VLOOKUP($C2346,sources!$A$2:$N$200,2,FALSE()),"?"))</f>
        <v>Photograph</v>
      </c>
      <c r="S2346" t="str">
        <f>IF($C2346="","",IFERROR(VLOOKUP($C2346,sources!$A$2:$N$200,9,FALSE()),"?"))</f>
        <v>US official</v>
      </c>
    </row>
    <row r="2347" spans="1:19" x14ac:dyDescent="0.2">
      <c r="A2347" t="s">
        <v>7141</v>
      </c>
      <c r="B2347" t="s">
        <v>962</v>
      </c>
      <c r="C2347" t="s">
        <v>1260</v>
      </c>
      <c r="D2347" t="s">
        <v>1585</v>
      </c>
      <c r="E2347" t="s">
        <v>6160</v>
      </c>
      <c r="F2347" t="s">
        <v>1612</v>
      </c>
      <c r="I2347" t="s">
        <v>1077</v>
      </c>
      <c r="M2347" t="s">
        <v>209</v>
      </c>
      <c r="N2347" t="s">
        <v>228</v>
      </c>
      <c r="O2347" t="s">
        <v>7080</v>
      </c>
      <c r="P2347" t="s">
        <v>7142</v>
      </c>
      <c r="Q2347" t="str">
        <f>IF($C2347="","",IFERROR(VLOOKUP($C2347,sources!$A$2:$N$200,2,FALSE()),"?"))</f>
        <v>Photograph</v>
      </c>
      <c r="S2347" t="str">
        <f>IF($C2347="","",IFERROR(VLOOKUP($C2347,sources!$A$2:$N$200,9,FALSE()),"?"))</f>
        <v>US official</v>
      </c>
    </row>
    <row r="2348" spans="1:19" x14ac:dyDescent="0.2">
      <c r="A2348" t="s">
        <v>7143</v>
      </c>
      <c r="B2348" t="s">
        <v>966</v>
      </c>
      <c r="C2348" t="s">
        <v>1260</v>
      </c>
      <c r="D2348" t="s">
        <v>1666</v>
      </c>
      <c r="E2348" t="s">
        <v>7144</v>
      </c>
      <c r="F2348" t="s">
        <v>1612</v>
      </c>
      <c r="I2348" t="s">
        <v>1077</v>
      </c>
      <c r="M2348" t="s">
        <v>209</v>
      </c>
      <c r="N2348" t="s">
        <v>228</v>
      </c>
      <c r="O2348" t="s">
        <v>7080</v>
      </c>
      <c r="P2348" t="s">
        <v>7145</v>
      </c>
      <c r="Q2348" t="str">
        <f>IF($C2348="","",IFERROR(VLOOKUP($C2348,sources!$A$2:$N$200,2,FALSE()),"?"))</f>
        <v>Photograph</v>
      </c>
      <c r="S2348" t="str">
        <f>IF($C2348="","",IFERROR(VLOOKUP($C2348,sources!$A$2:$N$200,9,FALSE()),"?"))</f>
        <v>US official</v>
      </c>
    </row>
    <row r="2349" spans="1:19" x14ac:dyDescent="0.2">
      <c r="A2349" t="s">
        <v>7146</v>
      </c>
      <c r="B2349" t="s">
        <v>955</v>
      </c>
      <c r="C2349" t="s">
        <v>1260</v>
      </c>
      <c r="D2349" t="s">
        <v>1599</v>
      </c>
      <c r="E2349" t="s">
        <v>7147</v>
      </c>
      <c r="F2349" t="s">
        <v>1612</v>
      </c>
      <c r="I2349" t="s">
        <v>1077</v>
      </c>
      <c r="K2349">
        <v>1924</v>
      </c>
      <c r="L2349">
        <v>1925</v>
      </c>
      <c r="M2349" t="s">
        <v>228</v>
      </c>
      <c r="N2349" t="s">
        <v>222</v>
      </c>
      <c r="O2349" t="s">
        <v>7080</v>
      </c>
      <c r="P2349" t="s">
        <v>7148</v>
      </c>
      <c r="Q2349" t="str">
        <f>IF($C2349="","",IFERROR(VLOOKUP($C2349,sources!$A$2:$N$200,2,FALSE()),"?"))</f>
        <v>Photograph</v>
      </c>
      <c r="S2349" t="str">
        <f>IF($C2349="","",IFERROR(VLOOKUP($C2349,sources!$A$2:$N$200,9,FALSE()),"?"))</f>
        <v>US official</v>
      </c>
    </row>
    <row r="2350" spans="1:19" x14ac:dyDescent="0.2">
      <c r="A2350" t="s">
        <v>7149</v>
      </c>
      <c r="B2350" t="s">
        <v>974</v>
      </c>
      <c r="C2350" t="s">
        <v>1260</v>
      </c>
      <c r="D2350" t="s">
        <v>1666</v>
      </c>
      <c r="E2350" t="s">
        <v>6609</v>
      </c>
      <c r="F2350" t="s">
        <v>1612</v>
      </c>
      <c r="I2350" t="s">
        <v>1077</v>
      </c>
      <c r="M2350" t="s">
        <v>209</v>
      </c>
      <c r="N2350" t="s">
        <v>228</v>
      </c>
      <c r="O2350" t="s">
        <v>7080</v>
      </c>
      <c r="P2350" t="s">
        <v>7112</v>
      </c>
      <c r="Q2350" t="str">
        <f>IF($C2350="","",IFERROR(VLOOKUP($C2350,sources!$A$2:$N$200,2,FALSE()),"?"))</f>
        <v>Photograph</v>
      </c>
      <c r="S2350" t="str">
        <f>IF($C2350="","",IFERROR(VLOOKUP($C2350,sources!$A$2:$N$200,9,FALSE()),"?"))</f>
        <v>US official</v>
      </c>
    </row>
    <row r="2351" spans="1:19" x14ac:dyDescent="0.2">
      <c r="A2351" t="s">
        <v>7150</v>
      </c>
      <c r="B2351" t="s">
        <v>978</v>
      </c>
      <c r="C2351" t="s">
        <v>1260</v>
      </c>
      <c r="D2351" t="s">
        <v>1599</v>
      </c>
      <c r="E2351" t="s">
        <v>979</v>
      </c>
      <c r="F2351" t="s">
        <v>1612</v>
      </c>
      <c r="I2351" t="s">
        <v>1077</v>
      </c>
      <c r="M2351" t="s">
        <v>209</v>
      </c>
      <c r="N2351" t="s">
        <v>209</v>
      </c>
      <c r="O2351" t="s">
        <v>7080</v>
      </c>
      <c r="P2351" t="s">
        <v>7151</v>
      </c>
      <c r="Q2351" t="str">
        <f>IF($C2351="","",IFERROR(VLOOKUP($C2351,sources!$A$2:$N$200,2,FALSE()),"?"))</f>
        <v>Photograph</v>
      </c>
      <c r="S2351" t="str">
        <f>IF($C2351="","",IFERROR(VLOOKUP($C2351,sources!$A$2:$N$200,9,FALSE()),"?"))</f>
        <v>US official</v>
      </c>
    </row>
    <row r="2352" spans="1:19" x14ac:dyDescent="0.2">
      <c r="A2352" t="s">
        <v>7152</v>
      </c>
      <c r="B2352" t="s">
        <v>981</v>
      </c>
      <c r="C2352" t="s">
        <v>1260</v>
      </c>
      <c r="D2352" t="s">
        <v>1666</v>
      </c>
      <c r="E2352" t="s">
        <v>982</v>
      </c>
      <c r="F2352" t="s">
        <v>1612</v>
      </c>
      <c r="I2352" t="s">
        <v>1077</v>
      </c>
      <c r="M2352" t="s">
        <v>209</v>
      </c>
      <c r="N2352" t="s">
        <v>228</v>
      </c>
      <c r="O2352" t="s">
        <v>7080</v>
      </c>
      <c r="P2352" t="s">
        <v>7112</v>
      </c>
      <c r="Q2352" t="str">
        <f>IF($C2352="","",IFERROR(VLOOKUP($C2352,sources!$A$2:$N$200,2,FALSE()),"?"))</f>
        <v>Photograph</v>
      </c>
      <c r="S2352" t="str">
        <f>IF($C2352="","",IFERROR(VLOOKUP($C2352,sources!$A$2:$N$200,9,FALSE()),"?"))</f>
        <v>US official</v>
      </c>
    </row>
    <row r="2353" spans="1:19" x14ac:dyDescent="0.2">
      <c r="A2353" t="s">
        <v>7153</v>
      </c>
      <c r="B2353" t="s">
        <v>990</v>
      </c>
      <c r="C2353" t="s">
        <v>1260</v>
      </c>
      <c r="D2353" t="s">
        <v>1599</v>
      </c>
      <c r="E2353" t="s">
        <v>991</v>
      </c>
      <c r="F2353" t="s">
        <v>1612</v>
      </c>
      <c r="I2353" t="s">
        <v>1077</v>
      </c>
      <c r="K2353">
        <v>1912</v>
      </c>
      <c r="L2353">
        <v>1912</v>
      </c>
      <c r="M2353" t="s">
        <v>228</v>
      </c>
      <c r="N2353" t="s">
        <v>222</v>
      </c>
      <c r="O2353" t="s">
        <v>7080</v>
      </c>
      <c r="P2353" t="s">
        <v>7154</v>
      </c>
      <c r="Q2353" t="str">
        <f>IF($C2353="","",IFERROR(VLOOKUP($C2353,sources!$A$2:$N$200,2,FALSE()),"?"))</f>
        <v>Photograph</v>
      </c>
      <c r="S2353" t="str">
        <f>IF($C2353="","",IFERROR(VLOOKUP($C2353,sources!$A$2:$N$200,9,FALSE()),"?"))</f>
        <v>US official</v>
      </c>
    </row>
    <row r="2354" spans="1:19" x14ac:dyDescent="0.2">
      <c r="A2354" t="s">
        <v>7155</v>
      </c>
      <c r="B2354" t="s">
        <v>993</v>
      </c>
      <c r="C2354" t="s">
        <v>1260</v>
      </c>
      <c r="D2354" t="s">
        <v>1666</v>
      </c>
      <c r="E2354" t="s">
        <v>6622</v>
      </c>
      <c r="F2354" t="s">
        <v>1612</v>
      </c>
      <c r="I2354" t="s">
        <v>1077</v>
      </c>
      <c r="M2354" t="s">
        <v>209</v>
      </c>
      <c r="N2354" t="s">
        <v>228</v>
      </c>
      <c r="O2354" t="s">
        <v>7080</v>
      </c>
      <c r="P2354" t="s">
        <v>7156</v>
      </c>
      <c r="Q2354" t="str">
        <f>IF($C2354="","",IFERROR(VLOOKUP($C2354,sources!$A$2:$N$200,2,FALSE()),"?"))</f>
        <v>Photograph</v>
      </c>
      <c r="S2354" t="str">
        <f>IF($C2354="","",IFERROR(VLOOKUP($C2354,sources!$A$2:$N$200,9,FALSE()),"?"))</f>
        <v>US official</v>
      </c>
    </row>
    <row r="2355" spans="1:19" x14ac:dyDescent="0.2">
      <c r="A2355" t="s">
        <v>7157</v>
      </c>
      <c r="B2355" t="s">
        <v>1013</v>
      </c>
      <c r="C2355" t="s">
        <v>1260</v>
      </c>
      <c r="D2355" t="s">
        <v>1599</v>
      </c>
      <c r="E2355" t="s">
        <v>1014</v>
      </c>
      <c r="F2355" t="s">
        <v>1612</v>
      </c>
      <c r="I2355" t="s">
        <v>1077</v>
      </c>
      <c r="M2355" t="s">
        <v>209</v>
      </c>
      <c r="N2355" t="s">
        <v>222</v>
      </c>
      <c r="O2355" t="s">
        <v>7080</v>
      </c>
      <c r="P2355" t="s">
        <v>7158</v>
      </c>
      <c r="Q2355" t="str">
        <f>IF($C2355="","",IFERROR(VLOOKUP($C2355,sources!$A$2:$N$200,2,FALSE()),"?"))</f>
        <v>Photograph</v>
      </c>
      <c r="S2355" t="str">
        <f>IF($C2355="","",IFERROR(VLOOKUP($C2355,sources!$A$2:$N$200,9,FALSE()),"?"))</f>
        <v>US official</v>
      </c>
    </row>
    <row r="2356" spans="1:19" x14ac:dyDescent="0.2">
      <c r="A2356" t="s">
        <v>7159</v>
      </c>
      <c r="B2356" t="s">
        <v>1016</v>
      </c>
      <c r="C2356" t="s">
        <v>1260</v>
      </c>
      <c r="D2356" t="s">
        <v>1599</v>
      </c>
      <c r="E2356" t="s">
        <v>1017</v>
      </c>
      <c r="F2356" t="s">
        <v>1612</v>
      </c>
      <c r="I2356" t="s">
        <v>1077</v>
      </c>
      <c r="K2356">
        <v>1910</v>
      </c>
      <c r="L2356">
        <v>1914</v>
      </c>
      <c r="M2356" t="s">
        <v>228</v>
      </c>
      <c r="N2356" t="s">
        <v>222</v>
      </c>
      <c r="O2356" t="s">
        <v>7080</v>
      </c>
      <c r="P2356" t="s">
        <v>7160</v>
      </c>
      <c r="Q2356" t="str">
        <f>IF($C2356="","",IFERROR(VLOOKUP($C2356,sources!$A$2:$N$200,2,FALSE()),"?"))</f>
        <v>Photograph</v>
      </c>
      <c r="S2356" t="str">
        <f>IF($C2356="","",IFERROR(VLOOKUP($C2356,sources!$A$2:$N$200,9,FALSE()),"?"))</f>
        <v>US official</v>
      </c>
    </row>
    <row r="2357" spans="1:19" x14ac:dyDescent="0.2">
      <c r="A2357" t="s">
        <v>7161</v>
      </c>
      <c r="B2357" t="s">
        <v>1021</v>
      </c>
      <c r="C2357" t="s">
        <v>1260</v>
      </c>
      <c r="D2357" t="s">
        <v>1599</v>
      </c>
      <c r="E2357" t="s">
        <v>1022</v>
      </c>
      <c r="F2357" t="s">
        <v>1612</v>
      </c>
      <c r="I2357" t="s">
        <v>1077</v>
      </c>
      <c r="K2357">
        <v>1928</v>
      </c>
      <c r="L2357">
        <v>1937</v>
      </c>
      <c r="M2357" t="s">
        <v>228</v>
      </c>
      <c r="N2357" t="s">
        <v>228</v>
      </c>
      <c r="O2357" t="s">
        <v>7080</v>
      </c>
      <c r="P2357" t="s">
        <v>7162</v>
      </c>
      <c r="Q2357" t="str">
        <f>IF($C2357="","",IFERROR(VLOOKUP($C2357,sources!$A$2:$N$200,2,FALSE()),"?"))</f>
        <v>Photograph</v>
      </c>
      <c r="S2357" t="str">
        <f>IF($C2357="","",IFERROR(VLOOKUP($C2357,sources!$A$2:$N$200,9,FALSE()),"?"))</f>
        <v>US official</v>
      </c>
    </row>
    <row r="2358" spans="1:19" x14ac:dyDescent="0.2">
      <c r="A2358" t="s">
        <v>7163</v>
      </c>
      <c r="B2358" t="s">
        <v>1031</v>
      </c>
      <c r="C2358" t="s">
        <v>1260</v>
      </c>
      <c r="D2358" t="s">
        <v>1666</v>
      </c>
      <c r="E2358" t="s">
        <v>1032</v>
      </c>
      <c r="F2358" t="s">
        <v>1612</v>
      </c>
      <c r="I2358" t="s">
        <v>1077</v>
      </c>
      <c r="M2358" t="s">
        <v>209</v>
      </c>
      <c r="N2358" t="s">
        <v>228</v>
      </c>
      <c r="O2358" t="s">
        <v>7080</v>
      </c>
      <c r="P2358" t="s">
        <v>7112</v>
      </c>
      <c r="Q2358" t="str">
        <f>IF($C2358="","",IFERROR(VLOOKUP($C2358,sources!$A$2:$N$200,2,FALSE()),"?"))</f>
        <v>Photograph</v>
      </c>
      <c r="S2358" t="str">
        <f>IF($C2358="","",IFERROR(VLOOKUP($C2358,sources!$A$2:$N$200,9,FALSE()),"?"))</f>
        <v>US official</v>
      </c>
    </row>
    <row r="2359" spans="1:19" x14ac:dyDescent="0.2">
      <c r="A2359" t="s">
        <v>7164</v>
      </c>
      <c r="B2359" t="s">
        <v>1040</v>
      </c>
      <c r="C2359" t="s">
        <v>1260</v>
      </c>
      <c r="D2359" t="s">
        <v>1666</v>
      </c>
      <c r="E2359" t="s">
        <v>1041</v>
      </c>
      <c r="F2359" t="s">
        <v>1612</v>
      </c>
      <c r="I2359" t="s">
        <v>1077</v>
      </c>
      <c r="M2359" t="s">
        <v>209</v>
      </c>
      <c r="N2359" t="s">
        <v>228</v>
      </c>
      <c r="O2359" t="s">
        <v>7080</v>
      </c>
      <c r="P2359" t="s">
        <v>7112</v>
      </c>
      <c r="Q2359" t="str">
        <f>IF($C2359="","",IFERROR(VLOOKUP($C2359,sources!$A$2:$N$200,2,FALSE()),"?"))</f>
        <v>Photograph</v>
      </c>
      <c r="S2359" t="str">
        <f>IF($C2359="","",IFERROR(VLOOKUP($C2359,sources!$A$2:$N$200,9,FALSE()),"?"))</f>
        <v>US official</v>
      </c>
    </row>
    <row r="2360" spans="1:19" x14ac:dyDescent="0.2">
      <c r="A2360" t="s">
        <v>7165</v>
      </c>
      <c r="B2360" t="s">
        <v>230</v>
      </c>
      <c r="C2360" t="s">
        <v>1528</v>
      </c>
      <c r="D2360" t="s">
        <v>1666</v>
      </c>
      <c r="E2360" t="s">
        <v>231</v>
      </c>
      <c r="F2360" t="s">
        <v>1612</v>
      </c>
      <c r="I2360" t="s">
        <v>1077</v>
      </c>
      <c r="K2360">
        <v>1904</v>
      </c>
      <c r="L2360">
        <v>1904</v>
      </c>
      <c r="M2360" t="s">
        <v>228</v>
      </c>
      <c r="N2360" t="s">
        <v>228</v>
      </c>
      <c r="O2360" t="s">
        <v>7166</v>
      </c>
      <c r="P2360" t="s">
        <v>7167</v>
      </c>
      <c r="Q2360" t="str">
        <f>IF($C2360="","",IFERROR(VLOOKUP($C2360,sources!$A$2:$N$200,2,FALSE()),"?"))</f>
        <v>Map</v>
      </c>
      <c r="S2360" t="str">
        <f>IF($C2360="","",IFERROR(VLOOKUP($C2360,sources!$A$2:$N$200,9,FALSE()),"?"))</f>
        <v>US official</v>
      </c>
    </row>
    <row r="2361" spans="1:19" x14ac:dyDescent="0.2">
      <c r="A2361" t="s">
        <v>7168</v>
      </c>
      <c r="B2361" t="s">
        <v>618</v>
      </c>
      <c r="C2361" t="s">
        <v>1528</v>
      </c>
      <c r="D2361" t="s">
        <v>1666</v>
      </c>
      <c r="E2361" t="s">
        <v>619</v>
      </c>
      <c r="F2361" t="s">
        <v>1612</v>
      </c>
      <c r="I2361" t="s">
        <v>1077</v>
      </c>
      <c r="K2361">
        <v>1904</v>
      </c>
      <c r="L2361">
        <v>1904</v>
      </c>
      <c r="M2361" t="s">
        <v>228</v>
      </c>
      <c r="N2361" t="s">
        <v>228</v>
      </c>
      <c r="O2361" t="s">
        <v>7166</v>
      </c>
      <c r="P2361" t="s">
        <v>7169</v>
      </c>
      <c r="Q2361" t="str">
        <f>IF($C2361="","",IFERROR(VLOOKUP($C2361,sources!$A$2:$N$200,2,FALSE()),"?"))</f>
        <v>Map</v>
      </c>
      <c r="S2361" t="str">
        <f>IF($C2361="","",IFERROR(VLOOKUP($C2361,sources!$A$2:$N$200,9,FALSE()),"?"))</f>
        <v>US official</v>
      </c>
    </row>
    <row r="2362" spans="1:19" x14ac:dyDescent="0.2">
      <c r="A2362" t="s">
        <v>7170</v>
      </c>
      <c r="B2362" t="s">
        <v>236</v>
      </c>
      <c r="C2362" t="s">
        <v>1528</v>
      </c>
      <c r="D2362" t="s">
        <v>1666</v>
      </c>
      <c r="E2362" t="s">
        <v>237</v>
      </c>
      <c r="F2362" t="s">
        <v>1612</v>
      </c>
      <c r="I2362" t="s">
        <v>1077</v>
      </c>
      <c r="K2362">
        <v>1904</v>
      </c>
      <c r="L2362">
        <v>1904</v>
      </c>
      <c r="M2362" t="s">
        <v>228</v>
      </c>
      <c r="N2362" t="s">
        <v>228</v>
      </c>
      <c r="O2362" t="s">
        <v>7166</v>
      </c>
      <c r="P2362" t="s">
        <v>7171</v>
      </c>
      <c r="Q2362" t="str">
        <f>IF($C2362="","",IFERROR(VLOOKUP($C2362,sources!$A$2:$N$200,2,FALSE()),"?"))</f>
        <v>Map</v>
      </c>
      <c r="S2362" t="str">
        <f>IF($C2362="","",IFERROR(VLOOKUP($C2362,sources!$A$2:$N$200,9,FALSE()),"?"))</f>
        <v>US official</v>
      </c>
    </row>
    <row r="2363" spans="1:19" x14ac:dyDescent="0.2">
      <c r="A2363" t="s">
        <v>7172</v>
      </c>
      <c r="B2363" t="s">
        <v>238</v>
      </c>
      <c r="C2363" t="s">
        <v>1528</v>
      </c>
      <c r="D2363" t="s">
        <v>1599</v>
      </c>
      <c r="E2363" t="s">
        <v>1607</v>
      </c>
      <c r="F2363" t="s">
        <v>1612</v>
      </c>
      <c r="I2363" t="s">
        <v>1077</v>
      </c>
      <c r="K2363">
        <v>1904</v>
      </c>
      <c r="L2363">
        <v>1904</v>
      </c>
      <c r="M2363" t="s">
        <v>228</v>
      </c>
      <c r="N2363" t="s">
        <v>222</v>
      </c>
      <c r="O2363" t="s">
        <v>7166</v>
      </c>
      <c r="P2363" t="s">
        <v>7173</v>
      </c>
      <c r="Q2363" t="str">
        <f>IF($C2363="","",IFERROR(VLOOKUP($C2363,sources!$A$2:$N$200,2,FALSE()),"?"))</f>
        <v>Map</v>
      </c>
      <c r="S2363" t="str">
        <f>IF($C2363="","",IFERROR(VLOOKUP($C2363,sources!$A$2:$N$200,9,FALSE()),"?"))</f>
        <v>US official</v>
      </c>
    </row>
    <row r="2364" spans="1:19" x14ac:dyDescent="0.2">
      <c r="A2364" t="s">
        <v>7174</v>
      </c>
      <c r="B2364" t="s">
        <v>354</v>
      </c>
      <c r="C2364" t="s">
        <v>1528</v>
      </c>
      <c r="D2364" t="s">
        <v>1599</v>
      </c>
      <c r="E2364" t="s">
        <v>7175</v>
      </c>
      <c r="F2364" t="s">
        <v>1612</v>
      </c>
      <c r="I2364" t="s">
        <v>1077</v>
      </c>
      <c r="K2364">
        <v>1904</v>
      </c>
      <c r="L2364">
        <v>1904</v>
      </c>
      <c r="M2364" t="s">
        <v>228</v>
      </c>
      <c r="N2364" t="s">
        <v>228</v>
      </c>
      <c r="O2364" t="s">
        <v>7166</v>
      </c>
      <c r="P2364" t="s">
        <v>7176</v>
      </c>
      <c r="Q2364" t="str">
        <f>IF($C2364="","",IFERROR(VLOOKUP($C2364,sources!$A$2:$N$200,2,FALSE()),"?"))</f>
        <v>Map</v>
      </c>
      <c r="S2364" t="str">
        <f>IF($C2364="","",IFERROR(VLOOKUP($C2364,sources!$A$2:$N$200,9,FALSE()),"?"))</f>
        <v>US official</v>
      </c>
    </row>
    <row r="2365" spans="1:19" x14ac:dyDescent="0.2">
      <c r="A2365" t="s">
        <v>7177</v>
      </c>
      <c r="B2365" t="s">
        <v>824</v>
      </c>
      <c r="C2365" t="s">
        <v>1528</v>
      </c>
      <c r="D2365" t="s">
        <v>1666</v>
      </c>
      <c r="E2365" t="s">
        <v>825</v>
      </c>
      <c r="F2365" t="s">
        <v>1612</v>
      </c>
      <c r="I2365" t="s">
        <v>1077</v>
      </c>
      <c r="K2365">
        <v>1904</v>
      </c>
      <c r="L2365">
        <v>1904</v>
      </c>
      <c r="M2365" t="s">
        <v>228</v>
      </c>
      <c r="N2365" t="s">
        <v>209</v>
      </c>
      <c r="O2365" t="s">
        <v>7166</v>
      </c>
      <c r="P2365" t="s">
        <v>7178</v>
      </c>
      <c r="Q2365" t="str">
        <f>IF($C2365="","",IFERROR(VLOOKUP($C2365,sources!$A$2:$N$200,2,FALSE()),"?"))</f>
        <v>Map</v>
      </c>
      <c r="S2365" t="str">
        <f>IF($C2365="","",IFERROR(VLOOKUP($C2365,sources!$A$2:$N$200,9,FALSE()),"?"))</f>
        <v>US official</v>
      </c>
    </row>
    <row r="2366" spans="1:19" x14ac:dyDescent="0.2">
      <c r="A2366" t="s">
        <v>7179</v>
      </c>
      <c r="B2366" t="s">
        <v>854</v>
      </c>
      <c r="C2366" t="s">
        <v>1528</v>
      </c>
      <c r="D2366" t="s">
        <v>1585</v>
      </c>
      <c r="E2366" t="s">
        <v>523</v>
      </c>
      <c r="F2366" t="s">
        <v>1612</v>
      </c>
      <c r="I2366" t="s">
        <v>1077</v>
      </c>
      <c r="K2366">
        <v>1904</v>
      </c>
      <c r="L2366">
        <v>1904</v>
      </c>
      <c r="M2366" t="s">
        <v>228</v>
      </c>
      <c r="N2366" t="s">
        <v>222</v>
      </c>
      <c r="O2366" t="s">
        <v>7166</v>
      </c>
      <c r="P2366" t="s">
        <v>7180</v>
      </c>
      <c r="Q2366" t="str">
        <f>IF($C2366="","",IFERROR(VLOOKUP($C2366,sources!$A$2:$N$200,2,FALSE()),"?"))</f>
        <v>Map</v>
      </c>
      <c r="S2366" t="str">
        <f>IF($C2366="","",IFERROR(VLOOKUP($C2366,sources!$A$2:$N$200,9,FALSE()),"?"))</f>
        <v>US official</v>
      </c>
    </row>
    <row r="2367" spans="1:19" x14ac:dyDescent="0.2">
      <c r="A2367" t="s">
        <v>7181</v>
      </c>
      <c r="B2367" t="s">
        <v>363</v>
      </c>
      <c r="C2367" t="s">
        <v>1528</v>
      </c>
      <c r="D2367" t="s">
        <v>1599</v>
      </c>
      <c r="E2367" t="s">
        <v>364</v>
      </c>
      <c r="F2367" t="s">
        <v>1612</v>
      </c>
      <c r="I2367" t="s">
        <v>1077</v>
      </c>
      <c r="K2367">
        <v>1904</v>
      </c>
      <c r="L2367">
        <v>1904</v>
      </c>
      <c r="M2367" t="s">
        <v>228</v>
      </c>
      <c r="N2367" t="s">
        <v>222</v>
      </c>
      <c r="O2367" t="s">
        <v>7166</v>
      </c>
      <c r="P2367" t="s">
        <v>7182</v>
      </c>
      <c r="Q2367" t="str">
        <f>IF($C2367="","",IFERROR(VLOOKUP($C2367,sources!$A$2:$N$200,2,FALSE()),"?"))</f>
        <v>Map</v>
      </c>
      <c r="S2367" t="str">
        <f>IF($C2367="","",IFERROR(VLOOKUP($C2367,sources!$A$2:$N$200,9,FALSE()),"?"))</f>
        <v>US official</v>
      </c>
    </row>
    <row r="2368" spans="1:19" x14ac:dyDescent="0.2">
      <c r="A2368" t="s">
        <v>7183</v>
      </c>
      <c r="B2368" t="s">
        <v>367</v>
      </c>
      <c r="C2368" t="s">
        <v>1528</v>
      </c>
      <c r="D2368" t="s">
        <v>1599</v>
      </c>
      <c r="E2368" t="s">
        <v>7184</v>
      </c>
      <c r="F2368" t="s">
        <v>1612</v>
      </c>
      <c r="I2368" t="s">
        <v>1077</v>
      </c>
      <c r="K2368">
        <v>1904</v>
      </c>
      <c r="L2368">
        <v>1904</v>
      </c>
      <c r="M2368" t="s">
        <v>228</v>
      </c>
      <c r="N2368" t="s">
        <v>222</v>
      </c>
      <c r="O2368" t="s">
        <v>7166</v>
      </c>
      <c r="P2368" t="s">
        <v>7185</v>
      </c>
      <c r="Q2368" t="str">
        <f>IF($C2368="","",IFERROR(VLOOKUP($C2368,sources!$A$2:$N$200,2,FALSE()),"?"))</f>
        <v>Map</v>
      </c>
      <c r="S2368" t="str">
        <f>IF($C2368="","",IFERROR(VLOOKUP($C2368,sources!$A$2:$N$200,9,FALSE()),"?"))</f>
        <v>US official</v>
      </c>
    </row>
    <row r="2369" spans="1:19" x14ac:dyDescent="0.2">
      <c r="A2369" t="s">
        <v>7186</v>
      </c>
      <c r="B2369" t="s">
        <v>370</v>
      </c>
      <c r="C2369" t="s">
        <v>1528</v>
      </c>
      <c r="D2369" t="s">
        <v>1599</v>
      </c>
      <c r="E2369" t="s">
        <v>371</v>
      </c>
      <c r="F2369" t="s">
        <v>1612</v>
      </c>
      <c r="I2369" t="s">
        <v>1077</v>
      </c>
      <c r="K2369">
        <v>1904</v>
      </c>
      <c r="L2369">
        <v>1904</v>
      </c>
      <c r="M2369" t="s">
        <v>228</v>
      </c>
      <c r="N2369" t="s">
        <v>228</v>
      </c>
      <c r="O2369" t="s">
        <v>7166</v>
      </c>
      <c r="P2369" t="s">
        <v>7187</v>
      </c>
      <c r="Q2369" t="str">
        <f>IF($C2369="","",IFERROR(VLOOKUP($C2369,sources!$A$2:$N$200,2,FALSE()),"?"))</f>
        <v>Map</v>
      </c>
      <c r="S2369" t="str">
        <f>IF($C2369="","",IFERROR(VLOOKUP($C2369,sources!$A$2:$N$200,9,FALSE()),"?"))</f>
        <v>US official</v>
      </c>
    </row>
    <row r="2370" spans="1:19" x14ac:dyDescent="0.2">
      <c r="A2370" t="s">
        <v>7188</v>
      </c>
      <c r="B2370" t="s">
        <v>376</v>
      </c>
      <c r="C2370" t="s">
        <v>1528</v>
      </c>
      <c r="D2370" t="s">
        <v>1599</v>
      </c>
      <c r="E2370" t="s">
        <v>377</v>
      </c>
      <c r="F2370" t="s">
        <v>1612</v>
      </c>
      <c r="I2370" t="s">
        <v>1077</v>
      </c>
      <c r="K2370">
        <v>1904</v>
      </c>
      <c r="L2370">
        <v>1904</v>
      </c>
      <c r="M2370" t="s">
        <v>228</v>
      </c>
      <c r="N2370" t="s">
        <v>222</v>
      </c>
      <c r="O2370" t="s">
        <v>7166</v>
      </c>
      <c r="P2370" t="s">
        <v>7189</v>
      </c>
      <c r="Q2370" t="str">
        <f>IF($C2370="","",IFERROR(VLOOKUP($C2370,sources!$A$2:$N$200,2,FALSE()),"?"))</f>
        <v>Map</v>
      </c>
      <c r="S2370" t="str">
        <f>IF($C2370="","",IFERROR(VLOOKUP($C2370,sources!$A$2:$N$200,9,FALSE()),"?"))</f>
        <v>US official</v>
      </c>
    </row>
    <row r="2371" spans="1:19" x14ac:dyDescent="0.2">
      <c r="A2371" t="s">
        <v>7190</v>
      </c>
      <c r="B2371" t="s">
        <v>397</v>
      </c>
      <c r="C2371" t="s">
        <v>1528</v>
      </c>
      <c r="D2371" t="s">
        <v>1666</v>
      </c>
      <c r="E2371" t="s">
        <v>398</v>
      </c>
      <c r="F2371" t="s">
        <v>1612</v>
      </c>
      <c r="I2371" t="s">
        <v>1077</v>
      </c>
      <c r="K2371">
        <v>1904</v>
      </c>
      <c r="L2371">
        <v>1904</v>
      </c>
      <c r="M2371" t="s">
        <v>228</v>
      </c>
      <c r="N2371" t="s">
        <v>228</v>
      </c>
      <c r="O2371" t="s">
        <v>7166</v>
      </c>
      <c r="P2371" t="s">
        <v>7191</v>
      </c>
      <c r="Q2371" t="str">
        <f>IF($C2371="","",IFERROR(VLOOKUP($C2371,sources!$A$2:$N$200,2,FALSE()),"?"))</f>
        <v>Map</v>
      </c>
      <c r="S2371" t="str">
        <f>IF($C2371="","",IFERROR(VLOOKUP($C2371,sources!$A$2:$N$200,9,FALSE()),"?"))</f>
        <v>US official</v>
      </c>
    </row>
    <row r="2372" spans="1:19" x14ac:dyDescent="0.2">
      <c r="A2372" t="s">
        <v>7192</v>
      </c>
      <c r="B2372" t="s">
        <v>522</v>
      </c>
      <c r="C2372" t="s">
        <v>1528</v>
      </c>
      <c r="D2372" t="s">
        <v>1585</v>
      </c>
      <c r="E2372" t="s">
        <v>523</v>
      </c>
      <c r="F2372" t="s">
        <v>1612</v>
      </c>
      <c r="I2372" t="s">
        <v>1077</v>
      </c>
      <c r="K2372">
        <v>1904</v>
      </c>
      <c r="L2372">
        <v>1904</v>
      </c>
      <c r="M2372" t="s">
        <v>228</v>
      </c>
      <c r="N2372" t="s">
        <v>222</v>
      </c>
      <c r="O2372" t="s">
        <v>7166</v>
      </c>
      <c r="P2372" t="s">
        <v>7193</v>
      </c>
      <c r="Q2372" t="str">
        <f>IF($C2372="","",IFERROR(VLOOKUP($C2372,sources!$A$2:$N$200,2,FALSE()),"?"))</f>
        <v>Map</v>
      </c>
      <c r="S2372" t="str">
        <f>IF($C2372="","",IFERROR(VLOOKUP($C2372,sources!$A$2:$N$200,9,FALSE()),"?"))</f>
        <v>US official</v>
      </c>
    </row>
    <row r="2373" spans="1:19" x14ac:dyDescent="0.2">
      <c r="A2373" t="s">
        <v>7194</v>
      </c>
      <c r="B2373" t="s">
        <v>777</v>
      </c>
      <c r="C2373" t="s">
        <v>1528</v>
      </c>
      <c r="D2373" t="s">
        <v>1666</v>
      </c>
      <c r="E2373" t="s">
        <v>3786</v>
      </c>
      <c r="F2373" t="s">
        <v>1612</v>
      </c>
      <c r="I2373" t="s">
        <v>1077</v>
      </c>
      <c r="K2373">
        <v>1904</v>
      </c>
      <c r="L2373">
        <v>1904</v>
      </c>
      <c r="M2373" t="s">
        <v>228</v>
      </c>
      <c r="N2373" t="s">
        <v>209</v>
      </c>
      <c r="O2373" t="s">
        <v>7166</v>
      </c>
      <c r="P2373" t="s">
        <v>7195</v>
      </c>
      <c r="Q2373" t="str">
        <f>IF($C2373="","",IFERROR(VLOOKUP($C2373,sources!$A$2:$N$200,2,FALSE()),"?"))</f>
        <v>Map</v>
      </c>
      <c r="S2373" t="str">
        <f>IF($C2373="","",IFERROR(VLOOKUP($C2373,sources!$A$2:$N$200,9,FALSE()),"?"))</f>
        <v>US official</v>
      </c>
    </row>
    <row r="2374" spans="1:19" x14ac:dyDescent="0.2">
      <c r="A2374" t="s">
        <v>7196</v>
      </c>
      <c r="B2374" t="s">
        <v>783</v>
      </c>
      <c r="C2374" t="s">
        <v>1528</v>
      </c>
      <c r="D2374" t="s">
        <v>1666</v>
      </c>
      <c r="E2374" t="s">
        <v>784</v>
      </c>
      <c r="F2374" t="s">
        <v>1612</v>
      </c>
      <c r="I2374" t="s">
        <v>1077</v>
      </c>
      <c r="K2374">
        <v>1904</v>
      </c>
      <c r="L2374">
        <v>1904</v>
      </c>
      <c r="M2374" t="s">
        <v>228</v>
      </c>
      <c r="N2374" t="s">
        <v>228</v>
      </c>
      <c r="O2374" t="s">
        <v>7166</v>
      </c>
      <c r="P2374" t="s">
        <v>7197</v>
      </c>
      <c r="Q2374" t="str">
        <f>IF($C2374="","",IFERROR(VLOOKUP($C2374,sources!$A$2:$N$200,2,FALSE()),"?"))</f>
        <v>Map</v>
      </c>
      <c r="S2374" t="str">
        <f>IF($C2374="","",IFERROR(VLOOKUP($C2374,sources!$A$2:$N$200,9,FALSE()),"?"))</f>
        <v>US official</v>
      </c>
    </row>
    <row r="2375" spans="1:19" x14ac:dyDescent="0.2">
      <c r="A2375" t="s">
        <v>7198</v>
      </c>
      <c r="B2375" t="s">
        <v>359</v>
      </c>
      <c r="C2375" t="s">
        <v>1528</v>
      </c>
      <c r="D2375" t="s">
        <v>1666</v>
      </c>
      <c r="E2375" t="s">
        <v>360</v>
      </c>
      <c r="F2375" t="s">
        <v>1612</v>
      </c>
      <c r="I2375" t="s">
        <v>1077</v>
      </c>
      <c r="K2375">
        <v>1904</v>
      </c>
      <c r="L2375">
        <v>1904</v>
      </c>
      <c r="M2375" t="s">
        <v>228</v>
      </c>
      <c r="N2375" t="s">
        <v>228</v>
      </c>
      <c r="O2375" t="s">
        <v>7166</v>
      </c>
      <c r="P2375" t="s">
        <v>7199</v>
      </c>
      <c r="Q2375" t="str">
        <f>IF($C2375="","",IFERROR(VLOOKUP($C2375,sources!$A$2:$N$200,2,FALSE()),"?"))</f>
        <v>Map</v>
      </c>
      <c r="S2375" t="str">
        <f>IF($C2375="","",IFERROR(VLOOKUP($C2375,sources!$A$2:$N$200,9,FALSE()),"?"))</f>
        <v>US official</v>
      </c>
    </row>
    <row r="2376" spans="1:19" x14ac:dyDescent="0.2">
      <c r="A2376" t="s">
        <v>7200</v>
      </c>
      <c r="B2376" t="s">
        <v>417</v>
      </c>
      <c r="C2376" t="s">
        <v>1528</v>
      </c>
      <c r="D2376" t="s">
        <v>1666</v>
      </c>
      <c r="E2376" t="s">
        <v>418</v>
      </c>
      <c r="F2376" t="s">
        <v>1612</v>
      </c>
      <c r="I2376" t="s">
        <v>1077</v>
      </c>
      <c r="K2376">
        <v>1904</v>
      </c>
      <c r="L2376">
        <v>1904</v>
      </c>
      <c r="M2376" t="s">
        <v>228</v>
      </c>
      <c r="N2376" t="s">
        <v>228</v>
      </c>
      <c r="O2376" t="s">
        <v>7166</v>
      </c>
      <c r="P2376" t="s">
        <v>7201</v>
      </c>
      <c r="Q2376" t="str">
        <f>IF($C2376="","",IFERROR(VLOOKUP($C2376,sources!$A$2:$N$200,2,FALSE()),"?"))</f>
        <v>Map</v>
      </c>
      <c r="S2376" t="str">
        <f>IF($C2376="","",IFERROR(VLOOKUP($C2376,sources!$A$2:$N$200,9,FALSE()),"?"))</f>
        <v>US official</v>
      </c>
    </row>
    <row r="2377" spans="1:19" x14ac:dyDescent="0.2">
      <c r="A2377" t="s">
        <v>7202</v>
      </c>
      <c r="B2377" t="s">
        <v>929</v>
      </c>
      <c r="C2377" t="s">
        <v>1528</v>
      </c>
      <c r="D2377" t="s">
        <v>1666</v>
      </c>
      <c r="E2377" t="s">
        <v>930</v>
      </c>
      <c r="F2377" t="s">
        <v>1612</v>
      </c>
      <c r="I2377" t="s">
        <v>1077</v>
      </c>
      <c r="K2377">
        <v>1904</v>
      </c>
      <c r="L2377">
        <v>1904</v>
      </c>
      <c r="M2377" t="s">
        <v>228</v>
      </c>
      <c r="N2377" t="s">
        <v>228</v>
      </c>
      <c r="O2377" t="s">
        <v>7166</v>
      </c>
      <c r="P2377" t="s">
        <v>7203</v>
      </c>
      <c r="Q2377" t="str">
        <f>IF($C2377="","",IFERROR(VLOOKUP($C2377,sources!$A$2:$N$200,2,FALSE()),"?"))</f>
        <v>Map</v>
      </c>
      <c r="S2377" t="str">
        <f>IF($C2377="","",IFERROR(VLOOKUP($C2377,sources!$A$2:$N$200,9,FALSE()),"?"))</f>
        <v>US official</v>
      </c>
    </row>
    <row r="2378" spans="1:19" x14ac:dyDescent="0.2">
      <c r="A2378" t="s">
        <v>7204</v>
      </c>
      <c r="B2378" t="s">
        <v>448</v>
      </c>
      <c r="C2378" t="s">
        <v>1528</v>
      </c>
      <c r="D2378" t="s">
        <v>1666</v>
      </c>
      <c r="E2378" t="s">
        <v>449</v>
      </c>
      <c r="F2378" t="s">
        <v>1612</v>
      </c>
      <c r="I2378" t="s">
        <v>1077</v>
      </c>
      <c r="K2378">
        <v>1904</v>
      </c>
      <c r="L2378">
        <v>1904</v>
      </c>
      <c r="M2378" t="s">
        <v>228</v>
      </c>
      <c r="N2378" t="s">
        <v>209</v>
      </c>
      <c r="O2378" t="s">
        <v>7166</v>
      </c>
      <c r="P2378" t="s">
        <v>7205</v>
      </c>
      <c r="Q2378" t="str">
        <f>IF($C2378="","",IFERROR(VLOOKUP($C2378,sources!$A$2:$N$200,2,FALSE()),"?"))</f>
        <v>Map</v>
      </c>
      <c r="S2378" t="str">
        <f>IF($C2378="","",IFERROR(VLOOKUP($C2378,sources!$A$2:$N$200,9,FALSE()),"?"))</f>
        <v>US official</v>
      </c>
    </row>
    <row r="2379" spans="1:19" x14ac:dyDescent="0.2">
      <c r="A2379" t="s">
        <v>7206</v>
      </c>
      <c r="B2379" t="s">
        <v>462</v>
      </c>
      <c r="C2379" t="s">
        <v>1528</v>
      </c>
      <c r="D2379" t="s">
        <v>1599</v>
      </c>
      <c r="E2379" t="s">
        <v>463</v>
      </c>
      <c r="F2379" t="s">
        <v>1612</v>
      </c>
      <c r="I2379" t="s">
        <v>1077</v>
      </c>
      <c r="K2379">
        <v>1904</v>
      </c>
      <c r="L2379">
        <v>1904</v>
      </c>
      <c r="M2379" t="s">
        <v>228</v>
      </c>
      <c r="N2379" t="s">
        <v>222</v>
      </c>
      <c r="O2379" t="s">
        <v>7166</v>
      </c>
      <c r="P2379" t="s">
        <v>7207</v>
      </c>
      <c r="Q2379" t="str">
        <f>IF($C2379="","",IFERROR(VLOOKUP($C2379,sources!$A$2:$N$200,2,FALSE()),"?"))</f>
        <v>Map</v>
      </c>
      <c r="S2379" t="str">
        <f>IF($C2379="","",IFERROR(VLOOKUP($C2379,sources!$A$2:$N$200,9,FALSE()),"?"))</f>
        <v>US official</v>
      </c>
    </row>
    <row r="2380" spans="1:19" x14ac:dyDescent="0.2">
      <c r="A2380" t="s">
        <v>7208</v>
      </c>
      <c r="B2380" t="s">
        <v>475</v>
      </c>
      <c r="C2380" t="s">
        <v>1528</v>
      </c>
      <c r="D2380" t="s">
        <v>1666</v>
      </c>
      <c r="E2380" t="s">
        <v>476</v>
      </c>
      <c r="F2380" t="s">
        <v>1612</v>
      </c>
      <c r="I2380" t="s">
        <v>1077</v>
      </c>
      <c r="K2380">
        <v>1904</v>
      </c>
      <c r="L2380">
        <v>1904</v>
      </c>
      <c r="M2380" t="s">
        <v>228</v>
      </c>
      <c r="N2380" t="s">
        <v>222</v>
      </c>
      <c r="O2380" t="s">
        <v>7166</v>
      </c>
      <c r="P2380" t="s">
        <v>7209</v>
      </c>
      <c r="Q2380" t="str">
        <f>IF($C2380="","",IFERROR(VLOOKUP($C2380,sources!$A$2:$N$200,2,FALSE()),"?"))</f>
        <v>Map</v>
      </c>
      <c r="S2380" t="str">
        <f>IF($C2380="","",IFERROR(VLOOKUP($C2380,sources!$A$2:$N$200,9,FALSE()),"?"))</f>
        <v>US official</v>
      </c>
    </row>
    <row r="2381" spans="1:19" x14ac:dyDescent="0.2">
      <c r="A2381" t="s">
        <v>7210</v>
      </c>
      <c r="B2381" t="s">
        <v>491</v>
      </c>
      <c r="C2381" t="s">
        <v>1528</v>
      </c>
      <c r="D2381" t="s">
        <v>1666</v>
      </c>
      <c r="E2381" t="s">
        <v>492</v>
      </c>
      <c r="F2381" t="s">
        <v>1612</v>
      </c>
      <c r="I2381" t="s">
        <v>1077</v>
      </c>
      <c r="K2381">
        <v>1904</v>
      </c>
      <c r="L2381">
        <v>1904</v>
      </c>
      <c r="M2381" t="s">
        <v>228</v>
      </c>
      <c r="N2381" t="s">
        <v>209</v>
      </c>
      <c r="O2381" t="s">
        <v>7166</v>
      </c>
      <c r="P2381" t="s">
        <v>7211</v>
      </c>
      <c r="Q2381" t="str">
        <f>IF($C2381="","",IFERROR(VLOOKUP($C2381,sources!$A$2:$N$200,2,FALSE()),"?"))</f>
        <v>Map</v>
      </c>
      <c r="S2381" t="str">
        <f>IF($C2381="","",IFERROR(VLOOKUP($C2381,sources!$A$2:$N$200,9,FALSE()),"?"))</f>
        <v>US official</v>
      </c>
    </row>
    <row r="2382" spans="1:19" x14ac:dyDescent="0.2">
      <c r="A2382" t="s">
        <v>7212</v>
      </c>
      <c r="B2382" t="s">
        <v>668</v>
      </c>
      <c r="C2382" t="s">
        <v>1528</v>
      </c>
      <c r="D2382" t="s">
        <v>1666</v>
      </c>
      <c r="E2382" t="s">
        <v>669</v>
      </c>
      <c r="F2382" t="s">
        <v>1612</v>
      </c>
      <c r="I2382" t="s">
        <v>1077</v>
      </c>
      <c r="K2382">
        <v>1904</v>
      </c>
      <c r="L2382">
        <v>1904</v>
      </c>
      <c r="M2382" t="s">
        <v>228</v>
      </c>
      <c r="N2382" t="s">
        <v>209</v>
      </c>
      <c r="O2382" t="s">
        <v>7166</v>
      </c>
      <c r="P2382" t="s">
        <v>7213</v>
      </c>
      <c r="Q2382" t="str">
        <f>IF($C2382="","",IFERROR(VLOOKUP($C2382,sources!$A$2:$N$200,2,FALSE()),"?"))</f>
        <v>Map</v>
      </c>
      <c r="S2382" t="str">
        <f>IF($C2382="","",IFERROR(VLOOKUP($C2382,sources!$A$2:$N$200,9,FALSE()),"?"))</f>
        <v>US official</v>
      </c>
    </row>
    <row r="2383" spans="1:19" x14ac:dyDescent="0.2">
      <c r="A2383" t="s">
        <v>7214</v>
      </c>
      <c r="B2383" t="s">
        <v>494</v>
      </c>
      <c r="C2383" t="s">
        <v>1528</v>
      </c>
      <c r="D2383" t="s">
        <v>1666</v>
      </c>
      <c r="E2383" t="s">
        <v>495</v>
      </c>
      <c r="F2383" t="s">
        <v>1612</v>
      </c>
      <c r="I2383" t="s">
        <v>1077</v>
      </c>
      <c r="K2383">
        <v>1904</v>
      </c>
      <c r="L2383">
        <v>1904</v>
      </c>
      <c r="M2383" t="s">
        <v>228</v>
      </c>
      <c r="N2383" t="s">
        <v>228</v>
      </c>
      <c r="O2383" t="s">
        <v>7166</v>
      </c>
      <c r="P2383" t="s">
        <v>7215</v>
      </c>
      <c r="Q2383" t="str">
        <f>IF($C2383="","",IFERROR(VLOOKUP($C2383,sources!$A$2:$N$200,2,FALSE()),"?"))</f>
        <v>Map</v>
      </c>
      <c r="S2383" t="str">
        <f>IF($C2383="","",IFERROR(VLOOKUP($C2383,sources!$A$2:$N$200,9,FALSE()),"?"))</f>
        <v>US official</v>
      </c>
    </row>
    <row r="2384" spans="1:19" x14ac:dyDescent="0.2">
      <c r="A2384" t="s">
        <v>7216</v>
      </c>
      <c r="B2384" t="s">
        <v>503</v>
      </c>
      <c r="C2384" t="s">
        <v>1528</v>
      </c>
      <c r="D2384" t="s">
        <v>1666</v>
      </c>
      <c r="E2384" t="s">
        <v>504</v>
      </c>
      <c r="F2384" t="s">
        <v>1612</v>
      </c>
      <c r="I2384" t="s">
        <v>1077</v>
      </c>
      <c r="K2384">
        <v>1904</v>
      </c>
      <c r="L2384">
        <v>1904</v>
      </c>
      <c r="M2384" t="s">
        <v>228</v>
      </c>
      <c r="N2384" t="s">
        <v>209</v>
      </c>
      <c r="O2384" t="s">
        <v>7166</v>
      </c>
      <c r="P2384" t="s">
        <v>7217</v>
      </c>
      <c r="Q2384" t="str">
        <f>IF($C2384="","",IFERROR(VLOOKUP($C2384,sources!$A$2:$N$200,2,FALSE()),"?"))</f>
        <v>Map</v>
      </c>
      <c r="S2384" t="str">
        <f>IF($C2384="","",IFERROR(VLOOKUP($C2384,sources!$A$2:$N$200,9,FALSE()),"?"))</f>
        <v>US official</v>
      </c>
    </row>
    <row r="2385" spans="1:19" x14ac:dyDescent="0.2">
      <c r="A2385" t="s">
        <v>7218</v>
      </c>
      <c r="B2385" t="s">
        <v>506</v>
      </c>
      <c r="C2385" t="s">
        <v>1528</v>
      </c>
      <c r="D2385" t="s">
        <v>1666</v>
      </c>
      <c r="E2385" t="s">
        <v>507</v>
      </c>
      <c r="F2385" t="s">
        <v>1612</v>
      </c>
      <c r="I2385" t="s">
        <v>1077</v>
      </c>
      <c r="K2385">
        <v>1904</v>
      </c>
      <c r="L2385">
        <v>1904</v>
      </c>
      <c r="M2385" t="s">
        <v>228</v>
      </c>
      <c r="N2385" t="s">
        <v>228</v>
      </c>
      <c r="O2385" t="s">
        <v>7166</v>
      </c>
      <c r="P2385" t="s">
        <v>7219</v>
      </c>
      <c r="Q2385" t="str">
        <f>IF($C2385="","",IFERROR(VLOOKUP($C2385,sources!$A$2:$N$200,2,FALSE()),"?"))</f>
        <v>Map</v>
      </c>
      <c r="S2385" t="str">
        <f>IF($C2385="","",IFERROR(VLOOKUP($C2385,sources!$A$2:$N$200,9,FALSE()),"?"))</f>
        <v>US official</v>
      </c>
    </row>
    <row r="2386" spans="1:19" x14ac:dyDescent="0.2">
      <c r="A2386" t="s">
        <v>7220</v>
      </c>
      <c r="B2386" t="s">
        <v>509</v>
      </c>
      <c r="C2386" t="s">
        <v>1528</v>
      </c>
      <c r="D2386" t="s">
        <v>1666</v>
      </c>
      <c r="E2386" t="s">
        <v>510</v>
      </c>
      <c r="F2386" t="s">
        <v>1612</v>
      </c>
      <c r="I2386" t="s">
        <v>1077</v>
      </c>
      <c r="K2386">
        <v>1904</v>
      </c>
      <c r="L2386">
        <v>1904</v>
      </c>
      <c r="M2386" t="s">
        <v>228</v>
      </c>
      <c r="N2386" t="s">
        <v>228</v>
      </c>
      <c r="O2386" t="s">
        <v>7166</v>
      </c>
      <c r="P2386" t="s">
        <v>7221</v>
      </c>
      <c r="Q2386" t="str">
        <f>IF($C2386="","",IFERROR(VLOOKUP($C2386,sources!$A$2:$N$200,2,FALSE()),"?"))</f>
        <v>Map</v>
      </c>
      <c r="S2386" t="str">
        <f>IF($C2386="","",IFERROR(VLOOKUP($C2386,sources!$A$2:$N$200,9,FALSE()),"?"))</f>
        <v>US official</v>
      </c>
    </row>
    <row r="2387" spans="1:19" x14ac:dyDescent="0.2">
      <c r="A2387" t="s">
        <v>7222</v>
      </c>
      <c r="B2387" t="s">
        <v>526</v>
      </c>
      <c r="C2387" t="s">
        <v>1528</v>
      </c>
      <c r="D2387" t="s">
        <v>1666</v>
      </c>
      <c r="E2387" t="s">
        <v>527</v>
      </c>
      <c r="F2387" t="s">
        <v>1612</v>
      </c>
      <c r="I2387" t="s">
        <v>1077</v>
      </c>
      <c r="K2387">
        <v>1904</v>
      </c>
      <c r="L2387">
        <v>1904</v>
      </c>
      <c r="M2387" t="s">
        <v>228</v>
      </c>
      <c r="N2387" t="s">
        <v>228</v>
      </c>
      <c r="O2387" t="s">
        <v>7166</v>
      </c>
      <c r="P2387" t="s">
        <v>7223</v>
      </c>
      <c r="Q2387" t="str">
        <f>IF($C2387="","",IFERROR(VLOOKUP($C2387,sources!$A$2:$N$200,2,FALSE()),"?"))</f>
        <v>Map</v>
      </c>
      <c r="S2387" t="str">
        <f>IF($C2387="","",IFERROR(VLOOKUP($C2387,sources!$A$2:$N$200,9,FALSE()),"?"))</f>
        <v>US official</v>
      </c>
    </row>
    <row r="2388" spans="1:19" x14ac:dyDescent="0.2">
      <c r="A2388" t="s">
        <v>7224</v>
      </c>
      <c r="B2388" t="s">
        <v>529</v>
      </c>
      <c r="C2388" t="s">
        <v>1528</v>
      </c>
      <c r="D2388" t="s">
        <v>1666</v>
      </c>
      <c r="E2388" t="s">
        <v>530</v>
      </c>
      <c r="F2388" t="s">
        <v>1612</v>
      </c>
      <c r="I2388" t="s">
        <v>1077</v>
      </c>
      <c r="K2388">
        <v>1904</v>
      </c>
      <c r="L2388">
        <v>1904</v>
      </c>
      <c r="M2388" t="s">
        <v>228</v>
      </c>
      <c r="N2388" t="s">
        <v>228</v>
      </c>
      <c r="O2388" t="s">
        <v>7166</v>
      </c>
      <c r="P2388" t="s">
        <v>7225</v>
      </c>
      <c r="Q2388" t="str">
        <f>IF($C2388="","",IFERROR(VLOOKUP($C2388,sources!$A$2:$N$200,2,FALSE()),"?"))</f>
        <v>Map</v>
      </c>
      <c r="S2388" t="str">
        <f>IF($C2388="","",IFERROR(VLOOKUP($C2388,sources!$A$2:$N$200,9,FALSE()),"?"))</f>
        <v>US official</v>
      </c>
    </row>
    <row r="2389" spans="1:19" x14ac:dyDescent="0.2">
      <c r="A2389" t="s">
        <v>7226</v>
      </c>
      <c r="B2389" t="s">
        <v>614</v>
      </c>
      <c r="C2389" t="s">
        <v>1528</v>
      </c>
      <c r="D2389" t="s">
        <v>1599</v>
      </c>
      <c r="E2389" t="s">
        <v>7227</v>
      </c>
      <c r="F2389" t="s">
        <v>1612</v>
      </c>
      <c r="I2389" t="s">
        <v>1077</v>
      </c>
      <c r="K2389">
        <v>1904</v>
      </c>
      <c r="L2389">
        <v>1904</v>
      </c>
      <c r="M2389" t="s">
        <v>228</v>
      </c>
      <c r="N2389" t="s">
        <v>222</v>
      </c>
      <c r="O2389" t="s">
        <v>7166</v>
      </c>
      <c r="P2389" t="s">
        <v>7228</v>
      </c>
      <c r="Q2389" t="str">
        <f>IF($C2389="","",IFERROR(VLOOKUP($C2389,sources!$A$2:$N$200,2,FALSE()),"?"))</f>
        <v>Map</v>
      </c>
      <c r="S2389" t="str">
        <f>IF($C2389="","",IFERROR(VLOOKUP($C2389,sources!$A$2:$N$200,9,FALSE()),"?"))</f>
        <v>US official</v>
      </c>
    </row>
    <row r="2390" spans="1:19" x14ac:dyDescent="0.2">
      <c r="A2390" t="s">
        <v>7229</v>
      </c>
      <c r="B2390" t="s">
        <v>626</v>
      </c>
      <c r="C2390" t="s">
        <v>1528</v>
      </c>
      <c r="D2390" t="s">
        <v>1666</v>
      </c>
      <c r="E2390" t="s">
        <v>627</v>
      </c>
      <c r="F2390" t="s">
        <v>1612</v>
      </c>
      <c r="I2390" t="s">
        <v>1077</v>
      </c>
      <c r="K2390">
        <v>1904</v>
      </c>
      <c r="L2390">
        <v>1904</v>
      </c>
      <c r="M2390" t="s">
        <v>228</v>
      </c>
      <c r="N2390" t="s">
        <v>228</v>
      </c>
      <c r="O2390" t="s">
        <v>7166</v>
      </c>
      <c r="P2390" t="s">
        <v>7230</v>
      </c>
      <c r="Q2390" t="str">
        <f>IF($C2390="","",IFERROR(VLOOKUP($C2390,sources!$A$2:$N$200,2,FALSE()),"?"))</f>
        <v>Map</v>
      </c>
      <c r="S2390" t="str">
        <f>IF($C2390="","",IFERROR(VLOOKUP($C2390,sources!$A$2:$N$200,9,FALSE()),"?"))</f>
        <v>US official</v>
      </c>
    </row>
    <row r="2391" spans="1:19" x14ac:dyDescent="0.2">
      <c r="A2391" t="s">
        <v>7231</v>
      </c>
      <c r="B2391" t="s">
        <v>649</v>
      </c>
      <c r="C2391" t="s">
        <v>1528</v>
      </c>
      <c r="D2391" t="s">
        <v>1666</v>
      </c>
      <c r="E2391" t="s">
        <v>650</v>
      </c>
      <c r="F2391" t="s">
        <v>1612</v>
      </c>
      <c r="I2391" t="s">
        <v>1077</v>
      </c>
      <c r="K2391">
        <v>1904</v>
      </c>
      <c r="L2391">
        <v>1904</v>
      </c>
      <c r="M2391" t="s">
        <v>228</v>
      </c>
      <c r="N2391" t="s">
        <v>228</v>
      </c>
      <c r="O2391" t="s">
        <v>7166</v>
      </c>
      <c r="P2391" t="s">
        <v>7232</v>
      </c>
      <c r="Q2391" t="str">
        <f>IF($C2391="","",IFERROR(VLOOKUP($C2391,sources!$A$2:$N$200,2,FALSE()),"?"))</f>
        <v>Map</v>
      </c>
      <c r="S2391" t="str">
        <f>IF($C2391="","",IFERROR(VLOOKUP($C2391,sources!$A$2:$N$200,9,FALSE()),"?"))</f>
        <v>US official</v>
      </c>
    </row>
    <row r="2392" spans="1:19" x14ac:dyDescent="0.2">
      <c r="A2392" t="s">
        <v>7233</v>
      </c>
      <c r="B2392" t="s">
        <v>658</v>
      </c>
      <c r="C2392" t="s">
        <v>1528</v>
      </c>
      <c r="D2392" t="s">
        <v>1666</v>
      </c>
      <c r="E2392" t="s">
        <v>659</v>
      </c>
      <c r="F2392" t="s">
        <v>1612</v>
      </c>
      <c r="I2392" t="s">
        <v>1077</v>
      </c>
      <c r="K2392">
        <v>1904</v>
      </c>
      <c r="L2392">
        <v>1904</v>
      </c>
      <c r="M2392" t="s">
        <v>228</v>
      </c>
      <c r="N2392" t="s">
        <v>209</v>
      </c>
      <c r="O2392" t="s">
        <v>7166</v>
      </c>
      <c r="P2392" t="s">
        <v>7234</v>
      </c>
      <c r="Q2392" t="str">
        <f>IF($C2392="","",IFERROR(VLOOKUP($C2392,sources!$A$2:$N$200,2,FALSE()),"?"))</f>
        <v>Map</v>
      </c>
      <c r="S2392" t="str">
        <f>IF($C2392="","",IFERROR(VLOOKUP($C2392,sources!$A$2:$N$200,9,FALSE()),"?"))</f>
        <v>US official</v>
      </c>
    </row>
    <row r="2393" spans="1:19" x14ac:dyDescent="0.2">
      <c r="A2393" t="s">
        <v>7235</v>
      </c>
      <c r="B2393" t="s">
        <v>662</v>
      </c>
      <c r="C2393" t="s">
        <v>1528</v>
      </c>
      <c r="D2393" t="s">
        <v>1666</v>
      </c>
      <c r="E2393" t="s">
        <v>663</v>
      </c>
      <c r="F2393" t="s">
        <v>1612</v>
      </c>
      <c r="I2393" t="s">
        <v>1077</v>
      </c>
      <c r="K2393">
        <v>1904</v>
      </c>
      <c r="L2393">
        <v>1904</v>
      </c>
      <c r="M2393" t="s">
        <v>228</v>
      </c>
      <c r="N2393" t="s">
        <v>209</v>
      </c>
      <c r="O2393" t="s">
        <v>7166</v>
      </c>
      <c r="P2393" t="s">
        <v>7236</v>
      </c>
      <c r="Q2393" t="str">
        <f>IF($C2393="","",IFERROR(VLOOKUP($C2393,sources!$A$2:$N$200,2,FALSE()),"?"))</f>
        <v>Map</v>
      </c>
      <c r="S2393" t="str">
        <f>IF($C2393="","",IFERROR(VLOOKUP($C2393,sources!$A$2:$N$200,9,FALSE()),"?"))</f>
        <v>US official</v>
      </c>
    </row>
    <row r="2394" spans="1:19" x14ac:dyDescent="0.2">
      <c r="A2394" t="s">
        <v>7237</v>
      </c>
      <c r="B2394" t="s">
        <v>665</v>
      </c>
      <c r="C2394" t="s">
        <v>1528</v>
      </c>
      <c r="D2394" t="s">
        <v>1666</v>
      </c>
      <c r="E2394" t="s">
        <v>666</v>
      </c>
      <c r="F2394" t="s">
        <v>1612</v>
      </c>
      <c r="I2394" t="s">
        <v>1077</v>
      </c>
      <c r="K2394">
        <v>1904</v>
      </c>
      <c r="L2394">
        <v>1904</v>
      </c>
      <c r="M2394" t="s">
        <v>228</v>
      </c>
      <c r="N2394" t="s">
        <v>209</v>
      </c>
      <c r="O2394" t="s">
        <v>7166</v>
      </c>
      <c r="P2394" t="s">
        <v>7238</v>
      </c>
      <c r="Q2394" t="str">
        <f>IF($C2394="","",IFERROR(VLOOKUP($C2394,sources!$A$2:$N$200,2,FALSE()),"?"))</f>
        <v>Map</v>
      </c>
      <c r="S2394" t="str">
        <f>IF($C2394="","",IFERROR(VLOOKUP($C2394,sources!$A$2:$N$200,9,FALSE()),"?"))</f>
        <v>US official</v>
      </c>
    </row>
    <row r="2395" spans="1:19" x14ac:dyDescent="0.2">
      <c r="A2395" t="s">
        <v>7239</v>
      </c>
      <c r="B2395" t="s">
        <v>692</v>
      </c>
      <c r="C2395" t="s">
        <v>1528</v>
      </c>
      <c r="D2395" t="s">
        <v>1599</v>
      </c>
      <c r="E2395" t="s">
        <v>7240</v>
      </c>
      <c r="F2395" t="s">
        <v>1612</v>
      </c>
      <c r="I2395" t="s">
        <v>1077</v>
      </c>
      <c r="K2395">
        <v>1904</v>
      </c>
      <c r="L2395">
        <v>1904</v>
      </c>
      <c r="M2395" t="s">
        <v>228</v>
      </c>
      <c r="N2395" t="s">
        <v>209</v>
      </c>
      <c r="O2395" t="s">
        <v>7166</v>
      </c>
      <c r="P2395" t="s">
        <v>7241</v>
      </c>
      <c r="Q2395" t="str">
        <f>IF($C2395="","",IFERROR(VLOOKUP($C2395,sources!$A$2:$N$200,2,FALSE()),"?"))</f>
        <v>Map</v>
      </c>
      <c r="S2395" t="str">
        <f>IF($C2395="","",IFERROR(VLOOKUP($C2395,sources!$A$2:$N$200,9,FALSE()),"?"))</f>
        <v>US official</v>
      </c>
    </row>
    <row r="2396" spans="1:19" x14ac:dyDescent="0.2">
      <c r="A2396" t="s">
        <v>7242</v>
      </c>
      <c r="B2396" t="s">
        <v>802</v>
      </c>
      <c r="C2396" t="s">
        <v>1528</v>
      </c>
      <c r="D2396" t="s">
        <v>1666</v>
      </c>
      <c r="E2396" t="s">
        <v>803</v>
      </c>
      <c r="F2396" t="s">
        <v>1612</v>
      </c>
      <c r="I2396" t="s">
        <v>1077</v>
      </c>
      <c r="K2396">
        <v>1904</v>
      </c>
      <c r="L2396">
        <v>1904</v>
      </c>
      <c r="M2396" t="s">
        <v>228</v>
      </c>
      <c r="N2396" t="s">
        <v>228</v>
      </c>
      <c r="O2396" t="s">
        <v>7166</v>
      </c>
      <c r="P2396" t="s">
        <v>7243</v>
      </c>
      <c r="Q2396" t="str">
        <f>IF($C2396="","",IFERROR(VLOOKUP($C2396,sources!$A$2:$N$200,2,FALSE()),"?"))</f>
        <v>Map</v>
      </c>
      <c r="S2396" t="str">
        <f>IF($C2396="","",IFERROR(VLOOKUP($C2396,sources!$A$2:$N$200,9,FALSE()),"?"))</f>
        <v>US official</v>
      </c>
    </row>
    <row r="2397" spans="1:19" x14ac:dyDescent="0.2">
      <c r="A2397" t="s">
        <v>7244</v>
      </c>
      <c r="B2397" t="s">
        <v>907</v>
      </c>
      <c r="C2397" t="s">
        <v>1528</v>
      </c>
      <c r="D2397" t="s">
        <v>1666</v>
      </c>
      <c r="E2397" t="s">
        <v>908</v>
      </c>
      <c r="F2397" t="s">
        <v>1612</v>
      </c>
      <c r="I2397" t="s">
        <v>1077</v>
      </c>
      <c r="K2397">
        <v>1904</v>
      </c>
      <c r="L2397">
        <v>1904</v>
      </c>
      <c r="M2397" t="s">
        <v>228</v>
      </c>
      <c r="N2397" t="s">
        <v>209</v>
      </c>
      <c r="O2397" t="s">
        <v>7166</v>
      </c>
      <c r="P2397" t="s">
        <v>7245</v>
      </c>
      <c r="Q2397" t="str">
        <f>IF($C2397="","",IFERROR(VLOOKUP($C2397,sources!$A$2:$N$200,2,FALSE()),"?"))</f>
        <v>Map</v>
      </c>
      <c r="S2397" t="str">
        <f>IF($C2397="","",IFERROR(VLOOKUP($C2397,sources!$A$2:$N$200,9,FALSE()),"?"))</f>
        <v>US official</v>
      </c>
    </row>
    <row r="2398" spans="1:19" x14ac:dyDescent="0.2">
      <c r="A2398" t="s">
        <v>7246</v>
      </c>
      <c r="B2398" t="s">
        <v>911</v>
      </c>
      <c r="C2398" t="s">
        <v>1528</v>
      </c>
      <c r="D2398" t="s">
        <v>1666</v>
      </c>
      <c r="E2398" t="s">
        <v>912</v>
      </c>
      <c r="F2398" t="s">
        <v>1612</v>
      </c>
      <c r="I2398" t="s">
        <v>1077</v>
      </c>
      <c r="K2398">
        <v>1904</v>
      </c>
      <c r="L2398">
        <v>1904</v>
      </c>
      <c r="M2398" t="s">
        <v>228</v>
      </c>
      <c r="N2398" t="s">
        <v>228</v>
      </c>
      <c r="O2398" t="s">
        <v>7166</v>
      </c>
      <c r="P2398" t="s">
        <v>7247</v>
      </c>
      <c r="Q2398" t="str">
        <f>IF($C2398="","",IFERROR(VLOOKUP($C2398,sources!$A$2:$N$200,2,FALSE()),"?"))</f>
        <v>Map</v>
      </c>
      <c r="S2398" t="str">
        <f>IF($C2398="","",IFERROR(VLOOKUP($C2398,sources!$A$2:$N$200,9,FALSE()),"?"))</f>
        <v>US official</v>
      </c>
    </row>
    <row r="2399" spans="1:19" x14ac:dyDescent="0.2">
      <c r="A2399" t="s">
        <v>7248</v>
      </c>
      <c r="B2399" t="s">
        <v>947</v>
      </c>
      <c r="C2399" t="s">
        <v>1528</v>
      </c>
      <c r="D2399" t="s">
        <v>1666</v>
      </c>
      <c r="E2399" t="s">
        <v>948</v>
      </c>
      <c r="F2399" t="s">
        <v>1612</v>
      </c>
      <c r="I2399" t="s">
        <v>1077</v>
      </c>
      <c r="K2399">
        <v>1904</v>
      </c>
      <c r="L2399">
        <v>1904</v>
      </c>
      <c r="M2399" t="s">
        <v>228</v>
      </c>
      <c r="N2399" t="s">
        <v>228</v>
      </c>
      <c r="O2399" t="s">
        <v>7166</v>
      </c>
      <c r="P2399" t="s">
        <v>7249</v>
      </c>
      <c r="Q2399" t="str">
        <f>IF($C2399="","",IFERROR(VLOOKUP($C2399,sources!$A$2:$N$200,2,FALSE()),"?"))</f>
        <v>Map</v>
      </c>
      <c r="S2399" t="str">
        <f>IF($C2399="","",IFERROR(VLOOKUP($C2399,sources!$A$2:$N$200,9,FALSE()),"?"))</f>
        <v>US official</v>
      </c>
    </row>
    <row r="2400" spans="1:19" x14ac:dyDescent="0.2">
      <c r="A2400" t="s">
        <v>7250</v>
      </c>
      <c r="B2400" t="s">
        <v>915</v>
      </c>
      <c r="C2400" t="s">
        <v>1528</v>
      </c>
      <c r="D2400" t="s">
        <v>1666</v>
      </c>
      <c r="E2400" t="s">
        <v>916</v>
      </c>
      <c r="F2400" t="s">
        <v>1612</v>
      </c>
      <c r="I2400" t="s">
        <v>1077</v>
      </c>
      <c r="K2400">
        <v>1904</v>
      </c>
      <c r="L2400">
        <v>1904</v>
      </c>
      <c r="M2400" t="s">
        <v>228</v>
      </c>
      <c r="N2400" t="s">
        <v>228</v>
      </c>
      <c r="O2400" t="s">
        <v>7166</v>
      </c>
      <c r="P2400" t="s">
        <v>7251</v>
      </c>
      <c r="Q2400" t="str">
        <f>IF($C2400="","",IFERROR(VLOOKUP($C2400,sources!$A$2:$N$200,2,FALSE()),"?"))</f>
        <v>Map</v>
      </c>
      <c r="S2400" t="str">
        <f>IF($C2400="","",IFERROR(VLOOKUP($C2400,sources!$A$2:$N$200,9,FALSE()),"?"))</f>
        <v>US official</v>
      </c>
    </row>
    <row r="2401" spans="1:19" x14ac:dyDescent="0.2">
      <c r="A2401" t="s">
        <v>7252</v>
      </c>
      <c r="B2401" t="s">
        <v>918</v>
      </c>
      <c r="C2401" t="s">
        <v>1528</v>
      </c>
      <c r="D2401" t="s">
        <v>1666</v>
      </c>
      <c r="E2401" t="s">
        <v>919</v>
      </c>
      <c r="F2401" t="s">
        <v>1612</v>
      </c>
      <c r="I2401" t="s">
        <v>1077</v>
      </c>
      <c r="K2401">
        <v>1904</v>
      </c>
      <c r="L2401">
        <v>1904</v>
      </c>
      <c r="M2401" t="s">
        <v>228</v>
      </c>
      <c r="N2401" t="s">
        <v>228</v>
      </c>
      <c r="O2401" t="s">
        <v>7166</v>
      </c>
      <c r="P2401" t="s">
        <v>7253</v>
      </c>
      <c r="Q2401" t="str">
        <f>IF($C2401="","",IFERROR(VLOOKUP($C2401,sources!$A$2:$N$200,2,FALSE()),"?"))</f>
        <v>Map</v>
      </c>
      <c r="S2401" t="str">
        <f>IF($C2401="","",IFERROR(VLOOKUP($C2401,sources!$A$2:$N$200,9,FALSE()),"?"))</f>
        <v>US official</v>
      </c>
    </row>
    <row r="2402" spans="1:19" x14ac:dyDescent="0.2">
      <c r="A2402" t="s">
        <v>7254</v>
      </c>
      <c r="B2402" t="s">
        <v>921</v>
      </c>
      <c r="C2402" t="s">
        <v>1528</v>
      </c>
      <c r="D2402" t="s">
        <v>1666</v>
      </c>
      <c r="E2402" t="s">
        <v>922</v>
      </c>
      <c r="F2402" t="s">
        <v>1612</v>
      </c>
      <c r="I2402" t="s">
        <v>1077</v>
      </c>
      <c r="K2402">
        <v>1904</v>
      </c>
      <c r="L2402">
        <v>1904</v>
      </c>
      <c r="M2402" t="s">
        <v>228</v>
      </c>
      <c r="N2402" t="s">
        <v>228</v>
      </c>
      <c r="O2402" t="s">
        <v>7166</v>
      </c>
      <c r="P2402" t="s">
        <v>7255</v>
      </c>
      <c r="Q2402" t="str">
        <f>IF($C2402="","",IFERROR(VLOOKUP($C2402,sources!$A$2:$N$200,2,FALSE()),"?"))</f>
        <v>Map</v>
      </c>
      <c r="S2402" t="str">
        <f>IF($C2402="","",IFERROR(VLOOKUP($C2402,sources!$A$2:$N$200,9,FALSE()),"?"))</f>
        <v>US official</v>
      </c>
    </row>
    <row r="2403" spans="1:19" x14ac:dyDescent="0.2">
      <c r="A2403" t="s">
        <v>7256</v>
      </c>
      <c r="B2403" t="s">
        <v>925</v>
      </c>
      <c r="C2403" t="s">
        <v>1528</v>
      </c>
      <c r="D2403" t="s">
        <v>1666</v>
      </c>
      <c r="E2403" t="s">
        <v>926</v>
      </c>
      <c r="F2403" t="s">
        <v>1612</v>
      </c>
      <c r="I2403" t="s">
        <v>1077</v>
      </c>
      <c r="K2403">
        <v>1904</v>
      </c>
      <c r="L2403">
        <v>1904</v>
      </c>
      <c r="M2403" t="s">
        <v>228</v>
      </c>
      <c r="N2403" t="s">
        <v>228</v>
      </c>
      <c r="O2403" t="s">
        <v>7166</v>
      </c>
      <c r="P2403" t="s">
        <v>7257</v>
      </c>
      <c r="Q2403" t="str">
        <f>IF($C2403="","",IFERROR(VLOOKUP($C2403,sources!$A$2:$N$200,2,FALSE()),"?"))</f>
        <v>Map</v>
      </c>
      <c r="S2403" t="str">
        <f>IF($C2403="","",IFERROR(VLOOKUP($C2403,sources!$A$2:$N$200,9,FALSE()),"?"))</f>
        <v>US official</v>
      </c>
    </row>
    <row r="2404" spans="1:19" x14ac:dyDescent="0.2">
      <c r="A2404" t="s">
        <v>7258</v>
      </c>
      <c r="B2404" t="s">
        <v>933</v>
      </c>
      <c r="C2404" t="s">
        <v>1528</v>
      </c>
      <c r="D2404" t="s">
        <v>1666</v>
      </c>
      <c r="E2404" t="s">
        <v>934</v>
      </c>
      <c r="F2404" t="s">
        <v>1612</v>
      </c>
      <c r="I2404" t="s">
        <v>1077</v>
      </c>
      <c r="K2404">
        <v>1904</v>
      </c>
      <c r="L2404">
        <v>1904</v>
      </c>
      <c r="M2404" t="s">
        <v>228</v>
      </c>
      <c r="N2404" t="s">
        <v>228</v>
      </c>
      <c r="O2404" t="s">
        <v>7166</v>
      </c>
      <c r="P2404" t="s">
        <v>7259</v>
      </c>
      <c r="Q2404" t="str">
        <f>IF($C2404="","",IFERROR(VLOOKUP($C2404,sources!$A$2:$N$200,2,FALSE()),"?"))</f>
        <v>Map</v>
      </c>
      <c r="S2404" t="str">
        <f>IF($C2404="","",IFERROR(VLOOKUP($C2404,sources!$A$2:$N$200,9,FALSE()),"?"))</f>
        <v>US official</v>
      </c>
    </row>
    <row r="2405" spans="1:19" x14ac:dyDescent="0.2">
      <c r="A2405" t="s">
        <v>7260</v>
      </c>
      <c r="B2405" t="s">
        <v>936</v>
      </c>
      <c r="C2405" t="s">
        <v>1528</v>
      </c>
      <c r="D2405" t="s">
        <v>1666</v>
      </c>
      <c r="E2405" t="s">
        <v>937</v>
      </c>
      <c r="F2405" t="s">
        <v>1612</v>
      </c>
      <c r="I2405" t="s">
        <v>1077</v>
      </c>
      <c r="K2405">
        <v>1904</v>
      </c>
      <c r="L2405">
        <v>1904</v>
      </c>
      <c r="M2405" t="s">
        <v>228</v>
      </c>
      <c r="N2405" t="s">
        <v>228</v>
      </c>
      <c r="O2405" t="s">
        <v>7166</v>
      </c>
      <c r="P2405" t="s">
        <v>7261</v>
      </c>
      <c r="Q2405" t="str">
        <f>IF($C2405="","",IFERROR(VLOOKUP($C2405,sources!$A$2:$N$200,2,FALSE()),"?"))</f>
        <v>Map</v>
      </c>
      <c r="S2405" t="str">
        <f>IF($C2405="","",IFERROR(VLOOKUP($C2405,sources!$A$2:$N$200,9,FALSE()),"?"))</f>
        <v>US official</v>
      </c>
    </row>
    <row r="2406" spans="1:19" x14ac:dyDescent="0.2">
      <c r="A2406" t="s">
        <v>7262</v>
      </c>
      <c r="B2406" t="s">
        <v>939</v>
      </c>
      <c r="C2406" t="s">
        <v>1528</v>
      </c>
      <c r="D2406" t="s">
        <v>1666</v>
      </c>
      <c r="E2406" t="s">
        <v>940</v>
      </c>
      <c r="F2406" t="s">
        <v>1612</v>
      </c>
      <c r="I2406" t="s">
        <v>1077</v>
      </c>
      <c r="K2406">
        <v>1904</v>
      </c>
      <c r="L2406">
        <v>1904</v>
      </c>
      <c r="M2406" t="s">
        <v>228</v>
      </c>
      <c r="N2406" t="s">
        <v>228</v>
      </c>
      <c r="O2406" t="s">
        <v>7166</v>
      </c>
      <c r="P2406" t="s">
        <v>7263</v>
      </c>
      <c r="Q2406" t="str">
        <f>IF($C2406="","",IFERROR(VLOOKUP($C2406,sources!$A$2:$N$200,2,FALSE()),"?"))</f>
        <v>Map</v>
      </c>
      <c r="S2406" t="str">
        <f>IF($C2406="","",IFERROR(VLOOKUP($C2406,sources!$A$2:$N$200,9,FALSE()),"?"))</f>
        <v>US official</v>
      </c>
    </row>
    <row r="2407" spans="1:19" x14ac:dyDescent="0.2">
      <c r="A2407" t="s">
        <v>7264</v>
      </c>
      <c r="B2407" t="s">
        <v>943</v>
      </c>
      <c r="C2407" t="s">
        <v>1528</v>
      </c>
      <c r="D2407" t="s">
        <v>1666</v>
      </c>
      <c r="E2407" t="s">
        <v>944</v>
      </c>
      <c r="F2407" t="s">
        <v>1612</v>
      </c>
      <c r="I2407" t="s">
        <v>1077</v>
      </c>
      <c r="K2407">
        <v>1904</v>
      </c>
      <c r="L2407">
        <v>1904</v>
      </c>
      <c r="M2407" t="s">
        <v>228</v>
      </c>
      <c r="N2407" t="s">
        <v>228</v>
      </c>
      <c r="O2407" t="s">
        <v>7166</v>
      </c>
      <c r="P2407" t="s">
        <v>7265</v>
      </c>
      <c r="Q2407" t="str">
        <f>IF($C2407="","",IFERROR(VLOOKUP($C2407,sources!$A$2:$N$200,2,FALSE()),"?"))</f>
        <v>Map</v>
      </c>
      <c r="S2407" t="str">
        <f>IF($C2407="","",IFERROR(VLOOKUP($C2407,sources!$A$2:$N$200,9,FALSE()),"?"))</f>
        <v>US official</v>
      </c>
    </row>
    <row r="2408" spans="1:19" x14ac:dyDescent="0.2">
      <c r="A2408" t="s">
        <v>7266</v>
      </c>
      <c r="B2408" t="s">
        <v>1016</v>
      </c>
      <c r="C2408" t="s">
        <v>1528</v>
      </c>
      <c r="D2408" t="s">
        <v>1666</v>
      </c>
      <c r="E2408" t="s">
        <v>1017</v>
      </c>
      <c r="F2408" t="s">
        <v>1612</v>
      </c>
      <c r="I2408" t="s">
        <v>1077</v>
      </c>
      <c r="K2408">
        <v>1904</v>
      </c>
      <c r="L2408">
        <v>1904</v>
      </c>
      <c r="M2408" t="s">
        <v>228</v>
      </c>
      <c r="N2408" t="s">
        <v>228</v>
      </c>
      <c r="O2408" t="s">
        <v>7166</v>
      </c>
      <c r="P2408" t="s">
        <v>7267</v>
      </c>
      <c r="Q2408" t="str">
        <f>IF($C2408="","",IFERROR(VLOOKUP($C2408,sources!$A$2:$N$200,2,FALSE()),"?"))</f>
        <v>Map</v>
      </c>
      <c r="S2408" t="str">
        <f>IF($C2408="","",IFERROR(VLOOKUP($C2408,sources!$A$2:$N$200,9,FALSE()),"?"))</f>
        <v>US official</v>
      </c>
    </row>
    <row r="2409" spans="1:19" x14ac:dyDescent="0.2">
      <c r="A2409" t="s">
        <v>7268</v>
      </c>
      <c r="B2409" t="s">
        <v>1031</v>
      </c>
      <c r="C2409" t="s">
        <v>1528</v>
      </c>
      <c r="D2409" t="s">
        <v>1666</v>
      </c>
      <c r="E2409" t="s">
        <v>1032</v>
      </c>
      <c r="F2409" t="s">
        <v>1612</v>
      </c>
      <c r="I2409" t="s">
        <v>1077</v>
      </c>
      <c r="K2409">
        <v>1904</v>
      </c>
      <c r="L2409">
        <v>1904</v>
      </c>
      <c r="M2409" t="s">
        <v>228</v>
      </c>
      <c r="N2409" t="s">
        <v>228</v>
      </c>
      <c r="O2409" t="s">
        <v>7166</v>
      </c>
      <c r="P2409" t="s">
        <v>7269</v>
      </c>
      <c r="Q2409" t="str">
        <f>IF($C2409="","",IFERROR(VLOOKUP($C2409,sources!$A$2:$N$200,2,FALSE()),"?"))</f>
        <v>Map</v>
      </c>
      <c r="S2409" t="str">
        <f>IF($C2409="","",IFERROR(VLOOKUP($C2409,sources!$A$2:$N$200,9,FALSE()),"?"))</f>
        <v>US official</v>
      </c>
    </row>
    <row r="2410" spans="1:19" x14ac:dyDescent="0.2">
      <c r="A2410" t="s">
        <v>7270</v>
      </c>
      <c r="B2410" t="s">
        <v>1036</v>
      </c>
      <c r="C2410" t="s">
        <v>1528</v>
      </c>
      <c r="D2410" t="s">
        <v>1599</v>
      </c>
      <c r="E2410" t="s">
        <v>7271</v>
      </c>
      <c r="F2410" t="s">
        <v>1612</v>
      </c>
      <c r="I2410" t="s">
        <v>1077</v>
      </c>
      <c r="K2410">
        <v>1904</v>
      </c>
      <c r="L2410">
        <v>1904</v>
      </c>
      <c r="M2410" t="s">
        <v>228</v>
      </c>
      <c r="N2410" t="s">
        <v>209</v>
      </c>
      <c r="O2410" t="s">
        <v>7166</v>
      </c>
      <c r="P2410" t="s">
        <v>7272</v>
      </c>
      <c r="Q2410" t="str">
        <f>IF($C2410="","",IFERROR(VLOOKUP($C2410,sources!$A$2:$N$200,2,FALSE()),"?"))</f>
        <v>Map</v>
      </c>
      <c r="S2410" t="str">
        <f>IF($C2410="","",IFERROR(VLOOKUP($C2410,sources!$A$2:$N$200,9,FALSE()),"?"))</f>
        <v>US official</v>
      </c>
    </row>
    <row r="2411" spans="1:19" x14ac:dyDescent="0.2">
      <c r="A2411" t="s">
        <v>7273</v>
      </c>
      <c r="B2411" t="s">
        <v>1040</v>
      </c>
      <c r="C2411" t="s">
        <v>1528</v>
      </c>
      <c r="D2411" t="s">
        <v>1666</v>
      </c>
      <c r="E2411" t="s">
        <v>1041</v>
      </c>
      <c r="F2411" t="s">
        <v>1612</v>
      </c>
      <c r="I2411" t="s">
        <v>1077</v>
      </c>
      <c r="K2411">
        <v>1904</v>
      </c>
      <c r="L2411">
        <v>1904</v>
      </c>
      <c r="M2411" t="s">
        <v>228</v>
      </c>
      <c r="N2411" t="s">
        <v>228</v>
      </c>
      <c r="O2411" t="s">
        <v>7166</v>
      </c>
      <c r="P2411" t="s">
        <v>7274</v>
      </c>
      <c r="Q2411" t="str">
        <f>IF($C2411="","",IFERROR(VLOOKUP($C2411,sources!$A$2:$N$200,2,FALSE()),"?"))</f>
        <v>Map</v>
      </c>
      <c r="S2411" t="str">
        <f>IF($C2411="","",IFERROR(VLOOKUP($C2411,sources!$A$2:$N$200,9,FALSE()),"?"))</f>
        <v>US official</v>
      </c>
    </row>
    <row r="2412" spans="1:19" x14ac:dyDescent="0.2">
      <c r="A2412" t="s">
        <v>7275</v>
      </c>
      <c r="B2412" t="s">
        <v>990</v>
      </c>
      <c r="C2412" t="s">
        <v>1389</v>
      </c>
      <c r="D2412" t="s">
        <v>1599</v>
      </c>
      <c r="E2412" t="s">
        <v>5474</v>
      </c>
      <c r="F2412" t="s">
        <v>1612</v>
      </c>
      <c r="I2412" t="s">
        <v>1077</v>
      </c>
      <c r="K2412">
        <v>1940</v>
      </c>
      <c r="L2412">
        <v>1940</v>
      </c>
      <c r="M2412" t="s">
        <v>228</v>
      </c>
      <c r="N2412" t="s">
        <v>222</v>
      </c>
      <c r="O2412" t="s">
        <v>7166</v>
      </c>
      <c r="P2412" t="s">
        <v>7276</v>
      </c>
      <c r="Q2412" t="str">
        <f>IF($C2412="","",IFERROR(VLOOKUP($C2412,sources!$A$2:$N$200,2,FALSE()),"?"))</f>
        <v>Map</v>
      </c>
      <c r="S2412" t="str">
        <f>IF($C2412="","",IFERROR(VLOOKUP($C2412,sources!$A$2:$N$200,9,FALSE()),"?"))</f>
        <v>US official</v>
      </c>
    </row>
    <row r="2413" spans="1:19" x14ac:dyDescent="0.2">
      <c r="A2413" t="s">
        <v>7277</v>
      </c>
      <c r="B2413" t="s">
        <v>966</v>
      </c>
      <c r="C2413" t="s">
        <v>1389</v>
      </c>
      <c r="D2413" t="s">
        <v>1599</v>
      </c>
      <c r="E2413" t="s">
        <v>7278</v>
      </c>
      <c r="F2413" t="s">
        <v>1612</v>
      </c>
      <c r="I2413" t="s">
        <v>1077</v>
      </c>
      <c r="K2413">
        <v>1940</v>
      </c>
      <c r="L2413">
        <v>1940</v>
      </c>
      <c r="M2413" t="s">
        <v>228</v>
      </c>
      <c r="N2413" t="s">
        <v>222</v>
      </c>
      <c r="O2413" t="s">
        <v>7166</v>
      </c>
      <c r="P2413" t="s">
        <v>7279</v>
      </c>
      <c r="Q2413" t="str">
        <f>IF($C2413="","",IFERROR(VLOOKUP($C2413,sources!$A$2:$N$200,2,FALSE()),"?"))</f>
        <v>Map</v>
      </c>
      <c r="S2413" t="str">
        <f>IF($C2413="","",IFERROR(VLOOKUP($C2413,sources!$A$2:$N$200,9,FALSE()),"?"))</f>
        <v>US official</v>
      </c>
    </row>
    <row r="2414" spans="1:19" x14ac:dyDescent="0.2">
      <c r="A2414" t="s">
        <v>7280</v>
      </c>
      <c r="B2414" t="s">
        <v>962</v>
      </c>
      <c r="C2414" t="s">
        <v>1389</v>
      </c>
      <c r="D2414" t="s">
        <v>1666</v>
      </c>
      <c r="E2414" t="s">
        <v>963</v>
      </c>
      <c r="F2414" t="s">
        <v>1612</v>
      </c>
      <c r="I2414" t="s">
        <v>1077</v>
      </c>
      <c r="K2414">
        <v>1940</v>
      </c>
      <c r="L2414">
        <v>1940</v>
      </c>
      <c r="M2414" t="s">
        <v>228</v>
      </c>
      <c r="N2414" t="s">
        <v>228</v>
      </c>
      <c r="O2414" t="s">
        <v>7166</v>
      </c>
      <c r="P2414" t="s">
        <v>7281</v>
      </c>
      <c r="Q2414" t="str">
        <f>IF($C2414="","",IFERROR(VLOOKUP($C2414,sources!$A$2:$N$200,2,FALSE()),"?"))</f>
        <v>Map</v>
      </c>
      <c r="S2414" t="str">
        <f>IF($C2414="","",IFERROR(VLOOKUP($C2414,sources!$A$2:$N$200,9,FALSE()),"?"))</f>
        <v>US official</v>
      </c>
    </row>
    <row r="2415" spans="1:19" x14ac:dyDescent="0.2">
      <c r="A2415" t="s">
        <v>7282</v>
      </c>
      <c r="B2415" t="s">
        <v>824</v>
      </c>
      <c r="C2415" t="s">
        <v>1389</v>
      </c>
      <c r="D2415" t="s">
        <v>1666</v>
      </c>
      <c r="E2415" t="s">
        <v>825</v>
      </c>
      <c r="F2415" t="s">
        <v>1612</v>
      </c>
      <c r="I2415" t="s">
        <v>1077</v>
      </c>
      <c r="K2415">
        <v>1940</v>
      </c>
      <c r="L2415">
        <v>1940</v>
      </c>
      <c r="M2415" t="s">
        <v>228</v>
      </c>
      <c r="N2415" t="s">
        <v>209</v>
      </c>
      <c r="O2415" t="s">
        <v>7166</v>
      </c>
      <c r="P2415" t="s">
        <v>7283</v>
      </c>
      <c r="Q2415" t="str">
        <f>IF($C2415="","",IFERROR(VLOOKUP($C2415,sources!$A$2:$N$200,2,FALSE()),"?"))</f>
        <v>Map</v>
      </c>
      <c r="S2415" t="str">
        <f>IF($C2415="","",IFERROR(VLOOKUP($C2415,sources!$A$2:$N$200,9,FALSE()),"?"))</f>
        <v>US official</v>
      </c>
    </row>
    <row r="2416" spans="1:19" x14ac:dyDescent="0.2">
      <c r="A2416" t="s">
        <v>7284</v>
      </c>
      <c r="B2416" t="s">
        <v>566</v>
      </c>
      <c r="C2416" t="s">
        <v>1389</v>
      </c>
      <c r="D2416" t="s">
        <v>1599</v>
      </c>
      <c r="E2416" t="s">
        <v>7285</v>
      </c>
      <c r="F2416" t="s">
        <v>1612</v>
      </c>
      <c r="I2416" t="s">
        <v>1077</v>
      </c>
      <c r="K2416">
        <v>1940</v>
      </c>
      <c r="L2416">
        <v>1940</v>
      </c>
      <c r="M2416" t="s">
        <v>228</v>
      </c>
      <c r="N2416" t="s">
        <v>228</v>
      </c>
      <c r="O2416" t="s">
        <v>7166</v>
      </c>
      <c r="P2416" t="s">
        <v>7286</v>
      </c>
      <c r="Q2416" t="str">
        <f>IF($C2416="","",IFERROR(VLOOKUP($C2416,sources!$A$2:$N$200,2,FALSE()),"?"))</f>
        <v>Map</v>
      </c>
      <c r="S2416" t="str">
        <f>IF($C2416="","",IFERROR(VLOOKUP($C2416,sources!$A$2:$N$200,9,FALSE()),"?"))</f>
        <v>US official</v>
      </c>
    </row>
    <row r="2417" spans="1:19" x14ac:dyDescent="0.2">
      <c r="A2417" t="s">
        <v>7287</v>
      </c>
      <c r="B2417" t="s">
        <v>795</v>
      </c>
      <c r="C2417" t="s">
        <v>1389</v>
      </c>
      <c r="D2417" t="s">
        <v>1666</v>
      </c>
      <c r="E2417" t="s">
        <v>796</v>
      </c>
      <c r="F2417" t="s">
        <v>1612</v>
      </c>
      <c r="I2417" t="s">
        <v>1077</v>
      </c>
      <c r="K2417">
        <v>1940</v>
      </c>
      <c r="L2417">
        <v>1940</v>
      </c>
      <c r="M2417" t="s">
        <v>228</v>
      </c>
      <c r="N2417" t="s">
        <v>209</v>
      </c>
      <c r="O2417" t="s">
        <v>7166</v>
      </c>
      <c r="P2417" t="s">
        <v>7288</v>
      </c>
      <c r="Q2417" t="str">
        <f>IF($C2417="","",IFERROR(VLOOKUP($C2417,sources!$A$2:$N$200,2,FALSE()),"?"))</f>
        <v>Map</v>
      </c>
      <c r="S2417" t="str">
        <f>IF($C2417="","",IFERROR(VLOOKUP($C2417,sources!$A$2:$N$200,9,FALSE()),"?"))</f>
        <v>US official</v>
      </c>
    </row>
    <row r="2418" spans="1:19" x14ac:dyDescent="0.2">
      <c r="A2418" t="s">
        <v>7289</v>
      </c>
      <c r="B2418" t="s">
        <v>951</v>
      </c>
      <c r="C2418" t="s">
        <v>1389</v>
      </c>
      <c r="D2418" t="s">
        <v>1666</v>
      </c>
      <c r="E2418" t="s">
        <v>953</v>
      </c>
      <c r="F2418" t="s">
        <v>1612</v>
      </c>
      <c r="I2418" t="s">
        <v>1077</v>
      </c>
      <c r="K2418">
        <v>1940</v>
      </c>
      <c r="L2418">
        <v>1940</v>
      </c>
      <c r="M2418" t="s">
        <v>228</v>
      </c>
      <c r="N2418" t="s">
        <v>209</v>
      </c>
      <c r="O2418" t="s">
        <v>7166</v>
      </c>
      <c r="P2418" t="s">
        <v>7290</v>
      </c>
      <c r="Q2418" t="str">
        <f>IF($C2418="","",IFERROR(VLOOKUP($C2418,sources!$A$2:$N$200,2,FALSE()),"?"))</f>
        <v>Map</v>
      </c>
      <c r="S2418" t="str">
        <f>IF($C2418="","",IFERROR(VLOOKUP($C2418,sources!$A$2:$N$200,9,FALSE()),"?"))</f>
        <v>US official</v>
      </c>
    </row>
    <row r="2419" spans="1:19" x14ac:dyDescent="0.2">
      <c r="A2419" t="s">
        <v>7291</v>
      </c>
      <c r="B2419" t="s">
        <v>955</v>
      </c>
      <c r="C2419" t="s">
        <v>1389</v>
      </c>
      <c r="D2419" t="s">
        <v>1666</v>
      </c>
      <c r="E2419" t="s">
        <v>970</v>
      </c>
      <c r="F2419" t="s">
        <v>1612</v>
      </c>
      <c r="I2419" t="s">
        <v>1077</v>
      </c>
      <c r="K2419">
        <v>1940</v>
      </c>
      <c r="L2419">
        <v>1940</v>
      </c>
      <c r="M2419" t="s">
        <v>228</v>
      </c>
      <c r="N2419" t="s">
        <v>209</v>
      </c>
      <c r="O2419" t="s">
        <v>7166</v>
      </c>
      <c r="P2419" t="s">
        <v>7292</v>
      </c>
      <c r="Q2419" t="str">
        <f>IF($C2419="","",IFERROR(VLOOKUP($C2419,sources!$A$2:$N$200,2,FALSE()),"?"))</f>
        <v>Map</v>
      </c>
      <c r="S2419" t="str">
        <f>IF($C2419="","",IFERROR(VLOOKUP($C2419,sources!$A$2:$N$200,9,FALSE()),"?"))</f>
        <v>US official</v>
      </c>
    </row>
    <row r="2420" spans="1:19" x14ac:dyDescent="0.2">
      <c r="A2420" t="s">
        <v>7293</v>
      </c>
      <c r="B2420" t="s">
        <v>978</v>
      </c>
      <c r="C2420" t="s">
        <v>1389</v>
      </c>
      <c r="D2420" t="s">
        <v>1666</v>
      </c>
      <c r="E2420" t="s">
        <v>979</v>
      </c>
      <c r="F2420" t="s">
        <v>1612</v>
      </c>
      <c r="I2420" t="s">
        <v>1077</v>
      </c>
      <c r="K2420">
        <v>1940</v>
      </c>
      <c r="L2420">
        <v>1940</v>
      </c>
      <c r="M2420" t="s">
        <v>228</v>
      </c>
      <c r="N2420" t="s">
        <v>209</v>
      </c>
      <c r="O2420" t="s">
        <v>7166</v>
      </c>
      <c r="P2420" t="s">
        <v>7294</v>
      </c>
      <c r="Q2420" t="str">
        <f>IF($C2420="","",IFERROR(VLOOKUP($C2420,sources!$A$2:$N$200,2,FALSE()),"?"))</f>
        <v>Map</v>
      </c>
      <c r="S2420" t="str">
        <f>IF($C2420="","",IFERROR(VLOOKUP($C2420,sources!$A$2:$N$200,9,FALSE()),"?"))</f>
        <v>US official</v>
      </c>
    </row>
    <row r="2421" spans="1:19" x14ac:dyDescent="0.2">
      <c r="A2421" t="s">
        <v>7295</v>
      </c>
      <c r="B2421" t="s">
        <v>957</v>
      </c>
      <c r="C2421" t="s">
        <v>1389</v>
      </c>
      <c r="D2421" t="s">
        <v>1666</v>
      </c>
      <c r="E2421" t="s">
        <v>958</v>
      </c>
      <c r="F2421" t="s">
        <v>1612</v>
      </c>
      <c r="I2421" t="s">
        <v>1077</v>
      </c>
      <c r="K2421">
        <v>1940</v>
      </c>
      <c r="L2421">
        <v>1940</v>
      </c>
      <c r="M2421" t="s">
        <v>228</v>
      </c>
      <c r="N2421" t="s">
        <v>209</v>
      </c>
      <c r="O2421" t="s">
        <v>7166</v>
      </c>
      <c r="P2421" t="s">
        <v>7296</v>
      </c>
      <c r="Q2421" t="str">
        <f>IF($C2421="","",IFERROR(VLOOKUP($C2421,sources!$A$2:$N$200,2,FALSE()),"?"))</f>
        <v>Map</v>
      </c>
      <c r="S2421" t="str">
        <f>IF($C2421="","",IFERROR(VLOOKUP($C2421,sources!$A$2:$N$200,9,FALSE()),"?"))</f>
        <v>US official</v>
      </c>
    </row>
    <row r="2422" spans="1:19" x14ac:dyDescent="0.2">
      <c r="A2422" t="s">
        <v>7297</v>
      </c>
      <c r="B2422" t="s">
        <v>780</v>
      </c>
      <c r="C2422" t="s">
        <v>1389</v>
      </c>
      <c r="D2422" t="s">
        <v>1666</v>
      </c>
      <c r="E2422" t="s">
        <v>781</v>
      </c>
      <c r="F2422" t="s">
        <v>1612</v>
      </c>
      <c r="I2422" t="s">
        <v>1077</v>
      </c>
      <c r="K2422">
        <v>1940</v>
      </c>
      <c r="L2422">
        <v>1940</v>
      </c>
      <c r="M2422" t="s">
        <v>228</v>
      </c>
      <c r="N2422" t="s">
        <v>222</v>
      </c>
      <c r="O2422" t="s">
        <v>7166</v>
      </c>
      <c r="P2422" t="s">
        <v>7298</v>
      </c>
      <c r="Q2422" t="str">
        <f>IF($C2422="","",IFERROR(VLOOKUP($C2422,sources!$A$2:$N$200,2,FALSE()),"?"))</f>
        <v>Map</v>
      </c>
      <c r="S2422" t="str">
        <f>IF($C2422="","",IFERROR(VLOOKUP($C2422,sources!$A$2:$N$200,9,FALSE()),"?"))</f>
        <v>US official</v>
      </c>
    </row>
    <row r="2423" spans="1:19" x14ac:dyDescent="0.2">
      <c r="A2423" t="s">
        <v>7299</v>
      </c>
      <c r="B2423" t="s">
        <v>789</v>
      </c>
      <c r="C2423" t="s">
        <v>1389</v>
      </c>
      <c r="D2423" t="s">
        <v>1666</v>
      </c>
      <c r="E2423" t="s">
        <v>790</v>
      </c>
      <c r="F2423" t="s">
        <v>1612</v>
      </c>
      <c r="I2423" t="s">
        <v>1077</v>
      </c>
      <c r="K2423">
        <v>1940</v>
      </c>
      <c r="L2423">
        <v>1940</v>
      </c>
      <c r="M2423" t="s">
        <v>228</v>
      </c>
      <c r="N2423" t="s">
        <v>222</v>
      </c>
      <c r="O2423" t="s">
        <v>7166</v>
      </c>
      <c r="P2423" t="s">
        <v>7300</v>
      </c>
      <c r="Q2423" t="str">
        <f>IF($C2423="","",IFERROR(VLOOKUP($C2423,sources!$A$2:$N$200,2,FALSE()),"?"))</f>
        <v>Map</v>
      </c>
      <c r="S2423" t="str">
        <f>IF($C2423="","",IFERROR(VLOOKUP($C2423,sources!$A$2:$N$200,9,FALSE()),"?"))</f>
        <v>US official</v>
      </c>
    </row>
    <row r="2424" spans="1:19" x14ac:dyDescent="0.2">
      <c r="A2424" t="s">
        <v>7301</v>
      </c>
      <c r="B2424" t="s">
        <v>777</v>
      </c>
      <c r="C2424" t="s">
        <v>1389</v>
      </c>
      <c r="D2424" t="s">
        <v>1666</v>
      </c>
      <c r="E2424" t="s">
        <v>778</v>
      </c>
      <c r="F2424" t="s">
        <v>1612</v>
      </c>
      <c r="I2424" t="s">
        <v>1077</v>
      </c>
      <c r="K2424">
        <v>1940</v>
      </c>
      <c r="L2424">
        <v>1940</v>
      </c>
      <c r="M2424" t="s">
        <v>228</v>
      </c>
      <c r="N2424" t="s">
        <v>222</v>
      </c>
      <c r="O2424" t="s">
        <v>7166</v>
      </c>
      <c r="P2424" t="s">
        <v>7302</v>
      </c>
      <c r="Q2424" t="str">
        <f>IF($C2424="","",IFERROR(VLOOKUP($C2424,sources!$A$2:$N$200,2,FALSE()),"?"))</f>
        <v>Map</v>
      </c>
      <c r="S2424" t="str">
        <f>IF($C2424="","",IFERROR(VLOOKUP($C2424,sources!$A$2:$N$200,9,FALSE()),"?"))</f>
        <v>US official</v>
      </c>
    </row>
    <row r="2425" spans="1:19" x14ac:dyDescent="0.2">
      <c r="A2425" t="s">
        <v>7303</v>
      </c>
      <c r="B2425" t="s">
        <v>783</v>
      </c>
      <c r="C2425" t="s">
        <v>1389</v>
      </c>
      <c r="D2425" t="s">
        <v>1599</v>
      </c>
      <c r="E2425" t="s">
        <v>7304</v>
      </c>
      <c r="F2425" t="s">
        <v>1612</v>
      </c>
      <c r="I2425" t="s">
        <v>1077</v>
      </c>
      <c r="K2425">
        <v>1940</v>
      </c>
      <c r="L2425">
        <v>1940</v>
      </c>
      <c r="M2425" t="s">
        <v>228</v>
      </c>
      <c r="N2425" t="s">
        <v>228</v>
      </c>
      <c r="O2425" t="s">
        <v>7166</v>
      </c>
      <c r="P2425" t="s">
        <v>7305</v>
      </c>
      <c r="Q2425" t="str">
        <f>IF($C2425="","",IFERROR(VLOOKUP($C2425,sources!$A$2:$N$200,2,FALSE()),"?"))</f>
        <v>Map</v>
      </c>
      <c r="S2425" t="str">
        <f>IF($C2425="","",IFERROR(VLOOKUP($C2425,sources!$A$2:$N$200,9,FALSE()),"?"))</f>
        <v>US official</v>
      </c>
    </row>
    <row r="2426" spans="1:19" x14ac:dyDescent="0.2">
      <c r="A2426" t="s">
        <v>7306</v>
      </c>
      <c r="B2426" t="s">
        <v>786</v>
      </c>
      <c r="C2426" t="s">
        <v>1389</v>
      </c>
      <c r="D2426" t="s">
        <v>1599</v>
      </c>
      <c r="E2426" t="s">
        <v>7307</v>
      </c>
      <c r="F2426" t="s">
        <v>1612</v>
      </c>
      <c r="I2426" t="s">
        <v>1077</v>
      </c>
      <c r="K2426">
        <v>1940</v>
      </c>
      <c r="L2426">
        <v>1940</v>
      </c>
      <c r="M2426" t="s">
        <v>228</v>
      </c>
      <c r="N2426" t="s">
        <v>228</v>
      </c>
      <c r="O2426" t="s">
        <v>7166</v>
      </c>
      <c r="P2426" t="s">
        <v>7308</v>
      </c>
      <c r="Q2426" t="str">
        <f>IF($C2426="","",IFERROR(VLOOKUP($C2426,sources!$A$2:$N$200,2,FALSE()),"?"))</f>
        <v>Map</v>
      </c>
      <c r="S2426" t="str">
        <f>IF($C2426="","",IFERROR(VLOOKUP($C2426,sources!$A$2:$N$200,9,FALSE()),"?"))</f>
        <v>US official</v>
      </c>
    </row>
    <row r="2427" spans="1:19" x14ac:dyDescent="0.2">
      <c r="A2427" t="s">
        <v>7309</v>
      </c>
      <c r="B2427" t="s">
        <v>974</v>
      </c>
      <c r="C2427" t="s">
        <v>1389</v>
      </c>
      <c r="D2427" t="s">
        <v>1666</v>
      </c>
      <c r="E2427" t="s">
        <v>5928</v>
      </c>
      <c r="F2427" t="s">
        <v>1612</v>
      </c>
      <c r="I2427" t="s">
        <v>1077</v>
      </c>
      <c r="K2427">
        <v>1940</v>
      </c>
      <c r="L2427">
        <v>1940</v>
      </c>
      <c r="M2427" t="s">
        <v>228</v>
      </c>
      <c r="N2427" t="s">
        <v>209</v>
      </c>
      <c r="O2427" t="s">
        <v>7166</v>
      </c>
      <c r="P2427" t="s">
        <v>7310</v>
      </c>
      <c r="Q2427" t="str">
        <f>IF($C2427="","",IFERROR(VLOOKUP($C2427,sources!$A$2:$N$200,2,FALSE()),"?"))</f>
        <v>Map</v>
      </c>
      <c r="S2427" t="str">
        <f>IF($C2427="","",IFERROR(VLOOKUP($C2427,sources!$A$2:$N$200,9,FALSE()),"?"))</f>
        <v>US official</v>
      </c>
    </row>
    <row r="2428" spans="1:19" x14ac:dyDescent="0.2">
      <c r="A2428" t="s">
        <v>7311</v>
      </c>
      <c r="B2428" t="s">
        <v>981</v>
      </c>
      <c r="C2428" t="s">
        <v>1389</v>
      </c>
      <c r="D2428" t="s">
        <v>1666</v>
      </c>
      <c r="E2428" t="s">
        <v>982</v>
      </c>
      <c r="F2428" t="s">
        <v>1612</v>
      </c>
      <c r="I2428" t="s">
        <v>1077</v>
      </c>
      <c r="K2428">
        <v>1940</v>
      </c>
      <c r="L2428">
        <v>1940</v>
      </c>
      <c r="M2428" t="s">
        <v>228</v>
      </c>
      <c r="N2428" t="s">
        <v>209</v>
      </c>
      <c r="O2428" t="s">
        <v>7166</v>
      </c>
      <c r="P2428" t="s">
        <v>7312</v>
      </c>
      <c r="Q2428" t="str">
        <f>IF($C2428="","",IFERROR(VLOOKUP($C2428,sources!$A$2:$N$200,2,FALSE()),"?"))</f>
        <v>Map</v>
      </c>
      <c r="S2428" t="str">
        <f>IF($C2428="","",IFERROR(VLOOKUP($C2428,sources!$A$2:$N$200,9,FALSE()),"?"))</f>
        <v>US official</v>
      </c>
    </row>
    <row r="2429" spans="1:19" x14ac:dyDescent="0.2">
      <c r="A2429" t="s">
        <v>7313</v>
      </c>
      <c r="B2429" t="s">
        <v>363</v>
      </c>
      <c r="C2429" t="s">
        <v>1389</v>
      </c>
      <c r="D2429" t="s">
        <v>1666</v>
      </c>
      <c r="E2429" t="s">
        <v>7314</v>
      </c>
      <c r="F2429" t="s">
        <v>1612</v>
      </c>
      <c r="I2429" t="s">
        <v>1077</v>
      </c>
      <c r="K2429">
        <v>1940</v>
      </c>
      <c r="L2429">
        <v>1940</v>
      </c>
      <c r="M2429" t="s">
        <v>228</v>
      </c>
      <c r="N2429" t="s">
        <v>222</v>
      </c>
      <c r="O2429" t="s">
        <v>7166</v>
      </c>
      <c r="P2429" t="s">
        <v>7315</v>
      </c>
      <c r="Q2429" t="str">
        <f>IF($C2429="","",IFERROR(VLOOKUP($C2429,sources!$A$2:$N$200,2,FALSE()),"?"))</f>
        <v>Map</v>
      </c>
      <c r="S2429" t="str">
        <f>IF($C2429="","",IFERROR(VLOOKUP($C2429,sources!$A$2:$N$200,9,FALSE()),"?"))</f>
        <v>US official</v>
      </c>
    </row>
    <row r="2430" spans="1:19" x14ac:dyDescent="0.2">
      <c r="A2430" t="s">
        <v>7316</v>
      </c>
      <c r="B2430" t="s">
        <v>522</v>
      </c>
      <c r="C2430" t="s">
        <v>1389</v>
      </c>
      <c r="D2430" t="s">
        <v>1666</v>
      </c>
      <c r="E2430" t="s">
        <v>523</v>
      </c>
      <c r="F2430" t="s">
        <v>1612</v>
      </c>
      <c r="I2430" t="s">
        <v>1077</v>
      </c>
      <c r="K2430">
        <v>1940</v>
      </c>
      <c r="L2430">
        <v>1940</v>
      </c>
      <c r="M2430" t="s">
        <v>228</v>
      </c>
      <c r="N2430" t="s">
        <v>222</v>
      </c>
      <c r="O2430" t="s">
        <v>7166</v>
      </c>
      <c r="P2430" t="s">
        <v>7317</v>
      </c>
      <c r="Q2430" t="str">
        <f>IF($C2430="","",IFERROR(VLOOKUP($C2430,sources!$A$2:$N$200,2,FALSE()),"?"))</f>
        <v>Map</v>
      </c>
      <c r="S2430" t="str">
        <f>IF($C2430="","",IFERROR(VLOOKUP($C2430,sources!$A$2:$N$200,9,FALSE()),"?"))</f>
        <v>US official</v>
      </c>
    </row>
    <row r="2431" spans="1:19" x14ac:dyDescent="0.2">
      <c r="A2431" t="s">
        <v>7318</v>
      </c>
      <c r="B2431" t="s">
        <v>936</v>
      </c>
      <c r="C2431" t="s">
        <v>1389</v>
      </c>
      <c r="D2431" t="s">
        <v>1666</v>
      </c>
      <c r="E2431" t="s">
        <v>937</v>
      </c>
      <c r="F2431" t="s">
        <v>1612</v>
      </c>
      <c r="I2431" t="s">
        <v>1077</v>
      </c>
      <c r="K2431">
        <v>1940</v>
      </c>
      <c r="L2431">
        <v>1940</v>
      </c>
      <c r="M2431" t="s">
        <v>228</v>
      </c>
      <c r="N2431" t="s">
        <v>228</v>
      </c>
      <c r="O2431" t="s">
        <v>7166</v>
      </c>
      <c r="P2431" t="s">
        <v>7319</v>
      </c>
      <c r="Q2431" t="str">
        <f>IF($C2431="","",IFERROR(VLOOKUP($C2431,sources!$A$2:$N$200,2,FALSE()),"?"))</f>
        <v>Map</v>
      </c>
      <c r="S2431" t="str">
        <f>IF($C2431="","",IFERROR(VLOOKUP($C2431,sources!$A$2:$N$200,9,FALSE()),"?"))</f>
        <v>US official</v>
      </c>
    </row>
    <row r="2432" spans="1:19" x14ac:dyDescent="0.2">
      <c r="A2432" t="s">
        <v>7320</v>
      </c>
      <c r="B2432" t="s">
        <v>245</v>
      </c>
      <c r="C2432" t="s">
        <v>1389</v>
      </c>
      <c r="D2432" t="s">
        <v>1594</v>
      </c>
      <c r="E2432" t="s">
        <v>7321</v>
      </c>
      <c r="F2432" t="s">
        <v>1612</v>
      </c>
      <c r="G2432">
        <v>9.2747100000000007</v>
      </c>
      <c r="H2432">
        <v>-79.916210000000007</v>
      </c>
      <c r="I2432" t="s">
        <v>4813</v>
      </c>
      <c r="J2432">
        <v>400</v>
      </c>
      <c r="K2432">
        <v>1940</v>
      </c>
      <c r="L2432">
        <v>1940</v>
      </c>
      <c r="M2432" t="s">
        <v>222</v>
      </c>
      <c r="N2432" t="s">
        <v>222</v>
      </c>
      <c r="O2432" t="s">
        <v>7322</v>
      </c>
      <c r="P2432" t="s">
        <v>7323</v>
      </c>
      <c r="Q2432" t="str">
        <f>IF($C2432="","",IFERROR(VLOOKUP($C2432,sources!$A$2:$N$200,2,FALSE()),"?"))</f>
        <v>Map</v>
      </c>
      <c r="S2432" t="str">
        <f>IF($C2432="","",IFERROR(VLOOKUP($C2432,sources!$A$2:$N$200,9,FALSE()),"?"))</f>
        <v>US official</v>
      </c>
    </row>
    <row r="2433" spans="1:19" x14ac:dyDescent="0.2">
      <c r="A2433" t="s">
        <v>7324</v>
      </c>
      <c r="B2433" t="s">
        <v>245</v>
      </c>
      <c r="C2433" t="s">
        <v>1389</v>
      </c>
      <c r="D2433" t="s">
        <v>1599</v>
      </c>
      <c r="E2433" t="s">
        <v>7325</v>
      </c>
      <c r="F2433" t="s">
        <v>1612</v>
      </c>
      <c r="G2433">
        <v>9.2921750000000003</v>
      </c>
      <c r="H2433">
        <v>-79.914113999999998</v>
      </c>
      <c r="I2433" t="s">
        <v>4813</v>
      </c>
      <c r="J2433">
        <v>450</v>
      </c>
      <c r="K2433">
        <v>1940</v>
      </c>
      <c r="L2433">
        <v>1940</v>
      </c>
      <c r="M2433" t="s">
        <v>222</v>
      </c>
      <c r="N2433" t="s">
        <v>228</v>
      </c>
      <c r="O2433" t="s">
        <v>7322</v>
      </c>
      <c r="P2433" t="s">
        <v>7326</v>
      </c>
      <c r="Q2433" t="str">
        <f>IF($C2433="","",IFERROR(VLOOKUP($C2433,sources!$A$2:$N$200,2,FALSE()),"?"))</f>
        <v>Map</v>
      </c>
      <c r="S2433" t="str">
        <f>IF($C2433="","",IFERROR(VLOOKUP($C2433,sources!$A$2:$N$200,9,FALSE()),"?"))</f>
        <v>US official</v>
      </c>
    </row>
    <row r="2434" spans="1:19" x14ac:dyDescent="0.2">
      <c r="A2434" t="s">
        <v>7327</v>
      </c>
      <c r="B2434" t="s">
        <v>422</v>
      </c>
      <c r="C2434" t="s">
        <v>1389</v>
      </c>
      <c r="D2434" t="s">
        <v>1599</v>
      </c>
      <c r="E2434" t="s">
        <v>7328</v>
      </c>
      <c r="F2434" t="s">
        <v>1612</v>
      </c>
      <c r="G2434">
        <v>9.2472999999999992</v>
      </c>
      <c r="H2434">
        <v>-79.870459999999994</v>
      </c>
      <c r="I2434" t="s">
        <v>4813</v>
      </c>
      <c r="J2434">
        <v>400</v>
      </c>
      <c r="K2434">
        <v>1940</v>
      </c>
      <c r="L2434">
        <v>1940</v>
      </c>
      <c r="M2434" t="s">
        <v>222</v>
      </c>
      <c r="N2434" t="s">
        <v>222</v>
      </c>
      <c r="O2434" t="s">
        <v>7329</v>
      </c>
      <c r="P2434" t="s">
        <v>7330</v>
      </c>
      <c r="Q2434" t="str">
        <f>IF($C2434="","",IFERROR(VLOOKUP($C2434,sources!$A$2:$N$200,2,FALSE()),"?"))</f>
        <v>Map</v>
      </c>
      <c r="S2434" t="str">
        <f>IF($C2434="","",IFERROR(VLOOKUP($C2434,sources!$A$2:$N$200,9,FALSE()),"?"))</f>
        <v>US official</v>
      </c>
    </row>
    <row r="2435" spans="1:19" x14ac:dyDescent="0.2">
      <c r="A2435" t="s">
        <v>7331</v>
      </c>
      <c r="B2435" t="s">
        <v>349</v>
      </c>
      <c r="C2435" t="s">
        <v>1389</v>
      </c>
      <c r="D2435" t="s">
        <v>1599</v>
      </c>
      <c r="E2435" t="s">
        <v>7332</v>
      </c>
      <c r="F2435" t="s">
        <v>1612</v>
      </c>
      <c r="I2435" t="s">
        <v>1077</v>
      </c>
      <c r="K2435">
        <v>1940</v>
      </c>
      <c r="L2435">
        <v>1940</v>
      </c>
      <c r="M2435" t="s">
        <v>222</v>
      </c>
      <c r="N2435" t="s">
        <v>222</v>
      </c>
      <c r="O2435" t="s">
        <v>7333</v>
      </c>
      <c r="P2435" t="s">
        <v>7334</v>
      </c>
      <c r="Q2435" t="str">
        <f>IF($C2435="","",IFERROR(VLOOKUP($C2435,sources!$A$2:$N$200,2,FALSE()),"?"))</f>
        <v>Map</v>
      </c>
      <c r="S2435" t="str">
        <f>IF($C2435="","",IFERROR(VLOOKUP($C2435,sources!$A$2:$N$200,9,FALSE()),"?"))</f>
        <v>US official</v>
      </c>
    </row>
    <row r="2436" spans="1:19" x14ac:dyDescent="0.2">
      <c r="A2436" t="s">
        <v>7335</v>
      </c>
      <c r="B2436" t="s">
        <v>475</v>
      </c>
      <c r="C2436" t="s">
        <v>1389</v>
      </c>
      <c r="D2436" t="s">
        <v>1599</v>
      </c>
      <c r="E2436" t="s">
        <v>7336</v>
      </c>
      <c r="F2436" t="s">
        <v>1612</v>
      </c>
      <c r="I2436" t="s">
        <v>1077</v>
      </c>
      <c r="K2436">
        <v>1940</v>
      </c>
      <c r="L2436">
        <v>1940</v>
      </c>
      <c r="M2436" t="s">
        <v>222</v>
      </c>
      <c r="N2436" t="s">
        <v>228</v>
      </c>
      <c r="O2436" t="s">
        <v>7337</v>
      </c>
      <c r="P2436" t="s">
        <v>7338</v>
      </c>
      <c r="Q2436" t="str">
        <f>IF($C2436="","",IFERROR(VLOOKUP($C2436,sources!$A$2:$N$200,2,FALSE()),"?"))</f>
        <v>Map</v>
      </c>
      <c r="S2436" t="str">
        <f>IF($C2436="","",IFERROR(VLOOKUP($C2436,sources!$A$2:$N$200,9,FALSE()),"?"))</f>
        <v>US official</v>
      </c>
    </row>
    <row r="2437" spans="1:19" x14ac:dyDescent="0.2">
      <c r="A2437" t="s">
        <v>7339</v>
      </c>
      <c r="B2437" t="s">
        <v>561</v>
      </c>
      <c r="C2437" t="s">
        <v>1389</v>
      </c>
      <c r="D2437" t="s">
        <v>1599</v>
      </c>
      <c r="E2437" t="s">
        <v>7340</v>
      </c>
      <c r="F2437" t="s">
        <v>1612</v>
      </c>
      <c r="I2437" t="s">
        <v>1077</v>
      </c>
      <c r="K2437">
        <v>1940</v>
      </c>
      <c r="L2437">
        <v>1940</v>
      </c>
      <c r="M2437" t="s">
        <v>222</v>
      </c>
      <c r="N2437" t="s">
        <v>228</v>
      </c>
      <c r="O2437" t="s">
        <v>7341</v>
      </c>
      <c r="P2437" t="s">
        <v>7342</v>
      </c>
      <c r="Q2437" t="str">
        <f>IF($C2437="","",IFERROR(VLOOKUP($C2437,sources!$A$2:$N$200,2,FALSE()),"?"))</f>
        <v>Map</v>
      </c>
      <c r="S2437" t="str">
        <f>IF($C2437="","",IFERROR(VLOOKUP($C2437,sources!$A$2:$N$200,9,FALSE()),"?"))</f>
        <v>US official</v>
      </c>
    </row>
    <row r="2438" spans="1:19" x14ac:dyDescent="0.2">
      <c r="A2438" t="s">
        <v>7343</v>
      </c>
      <c r="B2438" t="s">
        <v>466</v>
      </c>
      <c r="C2438" t="s">
        <v>1389</v>
      </c>
      <c r="D2438" t="s">
        <v>1599</v>
      </c>
      <c r="E2438" t="s">
        <v>7344</v>
      </c>
      <c r="F2438" t="s">
        <v>1612</v>
      </c>
      <c r="I2438" t="s">
        <v>1077</v>
      </c>
      <c r="K2438">
        <v>1940</v>
      </c>
      <c r="L2438">
        <v>1940</v>
      </c>
      <c r="M2438" t="s">
        <v>222</v>
      </c>
      <c r="N2438" t="s">
        <v>222</v>
      </c>
      <c r="O2438" t="s">
        <v>7345</v>
      </c>
      <c r="P2438" t="s">
        <v>7346</v>
      </c>
      <c r="Q2438" t="str">
        <f>IF($C2438="","",IFERROR(VLOOKUP($C2438,sources!$A$2:$N$200,2,FALSE()),"?"))</f>
        <v>Map</v>
      </c>
      <c r="S2438" t="str">
        <f>IF($C2438="","",IFERROR(VLOOKUP($C2438,sources!$A$2:$N$200,9,FALSE()),"?"))</f>
        <v>US official</v>
      </c>
    </row>
    <row r="2439" spans="1:19" x14ac:dyDescent="0.2">
      <c r="A2439" t="s">
        <v>7347</v>
      </c>
      <c r="B2439" t="s">
        <v>544</v>
      </c>
      <c r="C2439" t="s">
        <v>1389</v>
      </c>
      <c r="D2439" t="s">
        <v>1599</v>
      </c>
      <c r="E2439" t="s">
        <v>7348</v>
      </c>
      <c r="F2439" t="s">
        <v>1612</v>
      </c>
      <c r="I2439" t="s">
        <v>1077</v>
      </c>
      <c r="K2439">
        <v>1940</v>
      </c>
      <c r="L2439">
        <v>1940</v>
      </c>
      <c r="M2439" t="s">
        <v>222</v>
      </c>
      <c r="N2439" t="s">
        <v>222</v>
      </c>
      <c r="O2439" t="s">
        <v>7349</v>
      </c>
      <c r="P2439" t="s">
        <v>7350</v>
      </c>
      <c r="Q2439" t="str">
        <f>IF($C2439="","",IFERROR(VLOOKUP($C2439,sources!$A$2:$N$200,2,FALSE()),"?"))</f>
        <v>Map</v>
      </c>
      <c r="S2439" t="str">
        <f>IF($C2439="","",IFERROR(VLOOKUP($C2439,sources!$A$2:$N$200,9,FALSE()),"?"))</f>
        <v>US official</v>
      </c>
    </row>
    <row r="2440" spans="1:19" x14ac:dyDescent="0.2">
      <c r="A2440" t="s">
        <v>7351</v>
      </c>
      <c r="B2440" t="s">
        <v>349</v>
      </c>
      <c r="C2440" t="s">
        <v>1533</v>
      </c>
      <c r="D2440" t="s">
        <v>1599</v>
      </c>
      <c r="E2440" t="s">
        <v>7352</v>
      </c>
      <c r="F2440" t="s">
        <v>1612</v>
      </c>
      <c r="I2440" t="s">
        <v>1077</v>
      </c>
      <c r="K2440">
        <v>1920</v>
      </c>
      <c r="L2440">
        <v>1920</v>
      </c>
      <c r="M2440" t="s">
        <v>222</v>
      </c>
      <c r="N2440" t="s">
        <v>222</v>
      </c>
      <c r="O2440" t="s">
        <v>7353</v>
      </c>
      <c r="P2440" t="s">
        <v>7354</v>
      </c>
      <c r="Q2440" t="str">
        <f>IF($C2440="","",IFERROR(VLOOKUP($C2440,sources!$A$2:$N$200,2,FALSE()),"?"))</f>
        <v>Map</v>
      </c>
      <c r="S2440" t="str">
        <f>IF($C2440="","",IFERROR(VLOOKUP($C2440,sources!$A$2:$N$200,9,FALSE()),"?"))</f>
        <v>Colonial power - US official</v>
      </c>
    </row>
    <row r="2441" spans="1:19" x14ac:dyDescent="0.2">
      <c r="A2441" t="s">
        <v>7355</v>
      </c>
      <c r="B2441" t="s">
        <v>434</v>
      </c>
      <c r="C2441" t="s">
        <v>1533</v>
      </c>
      <c r="D2441" t="s">
        <v>1599</v>
      </c>
      <c r="E2441" t="s">
        <v>3501</v>
      </c>
      <c r="F2441" t="s">
        <v>1612</v>
      </c>
      <c r="I2441" t="s">
        <v>1077</v>
      </c>
      <c r="K2441">
        <v>1920</v>
      </c>
      <c r="L2441">
        <v>1920</v>
      </c>
      <c r="M2441" t="s">
        <v>222</v>
      </c>
      <c r="N2441" t="s">
        <v>222</v>
      </c>
      <c r="O2441" t="s">
        <v>7353</v>
      </c>
      <c r="P2441" t="s">
        <v>7354</v>
      </c>
      <c r="Q2441" t="str">
        <f>IF($C2441="","",IFERROR(VLOOKUP($C2441,sources!$A$2:$N$200,2,FALSE()),"?"))</f>
        <v>Map</v>
      </c>
      <c r="S2441" t="str">
        <f>IF($C2441="","",IFERROR(VLOOKUP($C2441,sources!$A$2:$N$200,9,FALSE()),"?"))</f>
        <v>Colonial power - US official</v>
      </c>
    </row>
    <row r="2442" spans="1:19" x14ac:dyDescent="0.2">
      <c r="A2442" t="s">
        <v>7356</v>
      </c>
      <c r="B2442" t="s">
        <v>245</v>
      </c>
      <c r="C2442" t="s">
        <v>1533</v>
      </c>
      <c r="D2442" t="s">
        <v>1599</v>
      </c>
      <c r="E2442" t="s">
        <v>7357</v>
      </c>
      <c r="F2442" t="s">
        <v>1612</v>
      </c>
      <c r="I2442" t="s">
        <v>1077</v>
      </c>
      <c r="K2442">
        <v>1920</v>
      </c>
      <c r="L2442">
        <v>1920</v>
      </c>
      <c r="M2442" t="s">
        <v>222</v>
      </c>
      <c r="N2442" t="s">
        <v>222</v>
      </c>
      <c r="O2442" t="s">
        <v>7353</v>
      </c>
      <c r="P2442" t="s">
        <v>7354</v>
      </c>
      <c r="Q2442" t="str">
        <f>IF($C2442="","",IFERROR(VLOOKUP($C2442,sources!$A$2:$N$200,2,FALSE()),"?"))</f>
        <v>Map</v>
      </c>
      <c r="S2442" t="str">
        <f>IF($C2442="","",IFERROR(VLOOKUP($C2442,sources!$A$2:$N$200,9,FALSE()),"?"))</f>
        <v>Colonial power - US official</v>
      </c>
    </row>
    <row r="2443" spans="1:19" x14ac:dyDescent="0.2">
      <c r="A2443" t="s">
        <v>7358</v>
      </c>
      <c r="B2443" t="s">
        <v>422</v>
      </c>
      <c r="C2443" t="s">
        <v>1533</v>
      </c>
      <c r="D2443" t="s">
        <v>1599</v>
      </c>
      <c r="E2443" t="s">
        <v>423</v>
      </c>
      <c r="F2443" t="s">
        <v>1612</v>
      </c>
      <c r="I2443" t="s">
        <v>1077</v>
      </c>
      <c r="K2443">
        <v>1920</v>
      </c>
      <c r="L2443">
        <v>1920</v>
      </c>
      <c r="M2443" t="s">
        <v>222</v>
      </c>
      <c r="N2443" t="s">
        <v>222</v>
      </c>
      <c r="O2443" t="s">
        <v>7353</v>
      </c>
      <c r="P2443" t="s">
        <v>7354</v>
      </c>
      <c r="Q2443" t="str">
        <f>IF($C2443="","",IFERROR(VLOOKUP($C2443,sources!$A$2:$N$200,2,FALSE()),"?"))</f>
        <v>Map</v>
      </c>
      <c r="S2443" t="str">
        <f>IF($C2443="","",IFERROR(VLOOKUP($C2443,sources!$A$2:$N$200,9,FALSE()),"?"))</f>
        <v>Colonial power - US official</v>
      </c>
    </row>
    <row r="2444" spans="1:19" x14ac:dyDescent="0.2">
      <c r="A2444" t="s">
        <v>7359</v>
      </c>
      <c r="B2444" t="s">
        <v>866</v>
      </c>
      <c r="C2444" t="s">
        <v>1533</v>
      </c>
      <c r="D2444" t="s">
        <v>1599</v>
      </c>
      <c r="E2444" t="s">
        <v>867</v>
      </c>
      <c r="F2444" t="s">
        <v>1612</v>
      </c>
      <c r="I2444" t="s">
        <v>1077</v>
      </c>
      <c r="K2444">
        <v>1920</v>
      </c>
      <c r="L2444">
        <v>1920</v>
      </c>
      <c r="M2444" t="s">
        <v>222</v>
      </c>
      <c r="N2444" t="s">
        <v>222</v>
      </c>
      <c r="O2444" t="s">
        <v>7353</v>
      </c>
      <c r="P2444" t="s">
        <v>7354</v>
      </c>
      <c r="Q2444" t="str">
        <f>IF($C2444="","",IFERROR(VLOOKUP($C2444,sources!$A$2:$N$200,2,FALSE()),"?"))</f>
        <v>Map</v>
      </c>
      <c r="S2444" t="str">
        <f>IF($C2444="","",IFERROR(VLOOKUP($C2444,sources!$A$2:$N$200,9,FALSE()),"?"))</f>
        <v>Colonial power - US official</v>
      </c>
    </row>
    <row r="2445" spans="1:19" x14ac:dyDescent="0.2">
      <c r="A2445" t="s">
        <v>7360</v>
      </c>
      <c r="B2445" t="s">
        <v>373</v>
      </c>
      <c r="C2445" t="s">
        <v>1533</v>
      </c>
      <c r="D2445" t="s">
        <v>1599</v>
      </c>
      <c r="E2445" t="s">
        <v>374</v>
      </c>
      <c r="F2445" t="s">
        <v>1612</v>
      </c>
      <c r="I2445" t="s">
        <v>1077</v>
      </c>
      <c r="M2445" t="s">
        <v>209</v>
      </c>
      <c r="N2445" t="s">
        <v>222</v>
      </c>
      <c r="O2445" t="s">
        <v>7353</v>
      </c>
      <c r="P2445" t="s">
        <v>7361</v>
      </c>
      <c r="Q2445" t="str">
        <f>IF($C2445="","",IFERROR(VLOOKUP($C2445,sources!$A$2:$N$200,2,FALSE()),"?"))</f>
        <v>Map</v>
      </c>
      <c r="S2445" t="str">
        <f>IF($C2445="","",IFERROR(VLOOKUP($C2445,sources!$A$2:$N$200,9,FALSE()),"?"))</f>
        <v>Colonial power - US official</v>
      </c>
    </row>
    <row r="2446" spans="1:19" x14ac:dyDescent="0.2">
      <c r="A2446" t="s">
        <v>7362</v>
      </c>
      <c r="B2446" t="s">
        <v>388</v>
      </c>
      <c r="C2446" t="s">
        <v>1533</v>
      </c>
      <c r="D2446" t="s">
        <v>1599</v>
      </c>
      <c r="E2446" t="s">
        <v>389</v>
      </c>
      <c r="F2446" t="s">
        <v>1612</v>
      </c>
      <c r="I2446" t="s">
        <v>1077</v>
      </c>
      <c r="K2446">
        <v>1920</v>
      </c>
      <c r="L2446">
        <v>1920</v>
      </c>
      <c r="M2446" t="s">
        <v>222</v>
      </c>
      <c r="N2446" t="s">
        <v>222</v>
      </c>
      <c r="O2446" t="s">
        <v>7353</v>
      </c>
      <c r="P2446" t="s">
        <v>7354</v>
      </c>
      <c r="Q2446" t="str">
        <f>IF($C2446="","",IFERROR(VLOOKUP($C2446,sources!$A$2:$N$200,2,FALSE()),"?"))</f>
        <v>Map</v>
      </c>
      <c r="S2446" t="str">
        <f>IF($C2446="","",IFERROR(VLOOKUP($C2446,sources!$A$2:$N$200,9,FALSE()),"?"))</f>
        <v>Colonial power - US official</v>
      </c>
    </row>
    <row r="2447" spans="1:19" x14ac:dyDescent="0.2">
      <c r="A2447" t="s">
        <v>7363</v>
      </c>
      <c r="B2447" t="s">
        <v>280</v>
      </c>
      <c r="C2447" t="s">
        <v>1533</v>
      </c>
      <c r="D2447" t="s">
        <v>1599</v>
      </c>
      <c r="E2447" t="s">
        <v>281</v>
      </c>
      <c r="F2447" t="s">
        <v>1612</v>
      </c>
      <c r="I2447" t="s">
        <v>1077</v>
      </c>
      <c r="K2447">
        <v>1920</v>
      </c>
      <c r="L2447">
        <v>1920</v>
      </c>
      <c r="M2447" t="s">
        <v>222</v>
      </c>
      <c r="N2447" t="s">
        <v>222</v>
      </c>
      <c r="O2447" t="s">
        <v>7353</v>
      </c>
      <c r="P2447" t="s">
        <v>7364</v>
      </c>
      <c r="Q2447" t="str">
        <f>IF($C2447="","",IFERROR(VLOOKUP($C2447,sources!$A$2:$N$200,2,FALSE()),"?"))</f>
        <v>Map</v>
      </c>
      <c r="S2447" t="str">
        <f>IF($C2447="","",IFERROR(VLOOKUP($C2447,sources!$A$2:$N$200,9,FALSE()),"?"))</f>
        <v>Colonial power - US official</v>
      </c>
    </row>
    <row r="2448" spans="1:19" x14ac:dyDescent="0.2">
      <c r="A2448" t="s">
        <v>7365</v>
      </c>
      <c r="B2448" t="s">
        <v>252</v>
      </c>
      <c r="C2448" t="s">
        <v>1533</v>
      </c>
      <c r="D2448" t="s">
        <v>1599</v>
      </c>
      <c r="E2448" t="s">
        <v>253</v>
      </c>
      <c r="F2448" t="s">
        <v>1612</v>
      </c>
      <c r="I2448" t="s">
        <v>1077</v>
      </c>
      <c r="M2448" t="s">
        <v>209</v>
      </c>
      <c r="N2448" t="s">
        <v>222</v>
      </c>
      <c r="O2448" t="s">
        <v>7353</v>
      </c>
      <c r="P2448" t="s">
        <v>7366</v>
      </c>
      <c r="Q2448" t="str">
        <f>IF($C2448="","",IFERROR(VLOOKUP($C2448,sources!$A$2:$N$200,2,FALSE()),"?"))</f>
        <v>Map</v>
      </c>
      <c r="S2448" t="str">
        <f>IF($C2448="","",IFERROR(VLOOKUP($C2448,sources!$A$2:$N$200,9,FALSE()),"?"))</f>
        <v>Colonial power - US official</v>
      </c>
    </row>
    <row r="2449" spans="1:19" x14ac:dyDescent="0.2">
      <c r="A2449" t="s">
        <v>7367</v>
      </c>
      <c r="B2449" t="s">
        <v>266</v>
      </c>
      <c r="C2449" t="s">
        <v>1533</v>
      </c>
      <c r="D2449" t="s">
        <v>1599</v>
      </c>
      <c r="E2449" t="s">
        <v>267</v>
      </c>
      <c r="F2449" t="s">
        <v>1612</v>
      </c>
      <c r="I2449" t="s">
        <v>1077</v>
      </c>
      <c r="M2449" t="s">
        <v>209</v>
      </c>
      <c r="N2449" t="s">
        <v>222</v>
      </c>
      <c r="O2449" t="s">
        <v>7353</v>
      </c>
      <c r="P2449" t="s">
        <v>7366</v>
      </c>
      <c r="Q2449" t="str">
        <f>IF($C2449="","",IFERROR(VLOOKUP($C2449,sources!$A$2:$N$200,2,FALSE()),"?"))</f>
        <v>Map</v>
      </c>
      <c r="S2449" t="str">
        <f>IF($C2449="","",IFERROR(VLOOKUP($C2449,sources!$A$2:$N$200,9,FALSE()),"?"))</f>
        <v>Colonial power - US official</v>
      </c>
    </row>
    <row r="2450" spans="1:19" x14ac:dyDescent="0.2">
      <c r="A2450" t="s">
        <v>7368</v>
      </c>
      <c r="B2450" t="s">
        <v>363</v>
      </c>
      <c r="C2450" t="s">
        <v>1533</v>
      </c>
      <c r="D2450" t="s">
        <v>1599</v>
      </c>
      <c r="E2450" t="s">
        <v>3375</v>
      </c>
      <c r="F2450" t="s">
        <v>1612</v>
      </c>
      <c r="I2450" t="s">
        <v>1077</v>
      </c>
      <c r="K2450">
        <v>1920</v>
      </c>
      <c r="L2450">
        <v>1920</v>
      </c>
      <c r="M2450" t="s">
        <v>222</v>
      </c>
      <c r="N2450" t="s">
        <v>222</v>
      </c>
      <c r="O2450" t="s">
        <v>7353</v>
      </c>
      <c r="P2450" t="s">
        <v>7354</v>
      </c>
      <c r="Q2450" t="str">
        <f>IF($C2450="","",IFERROR(VLOOKUP($C2450,sources!$A$2:$N$200,2,FALSE()),"?"))</f>
        <v>Map</v>
      </c>
      <c r="S2450" t="str">
        <f>IF($C2450="","",IFERROR(VLOOKUP($C2450,sources!$A$2:$N$200,9,FALSE()),"?"))</f>
        <v>Colonial power - US official</v>
      </c>
    </row>
    <row r="2451" spans="1:19" x14ac:dyDescent="0.2">
      <c r="A2451" t="s">
        <v>7369</v>
      </c>
      <c r="B2451" t="s">
        <v>393</v>
      </c>
      <c r="C2451" t="s">
        <v>1533</v>
      </c>
      <c r="D2451" t="s">
        <v>1599</v>
      </c>
      <c r="E2451" t="s">
        <v>7370</v>
      </c>
      <c r="F2451" t="s">
        <v>1612</v>
      </c>
      <c r="I2451" t="s">
        <v>1077</v>
      </c>
      <c r="M2451" t="s">
        <v>209</v>
      </c>
      <c r="N2451" t="s">
        <v>222</v>
      </c>
      <c r="O2451" t="s">
        <v>7353</v>
      </c>
      <c r="P2451" t="s">
        <v>7361</v>
      </c>
      <c r="Q2451" t="str">
        <f>IF($C2451="","",IFERROR(VLOOKUP($C2451,sources!$A$2:$N$200,2,FALSE()),"?"))</f>
        <v>Map</v>
      </c>
      <c r="S2451" t="str">
        <f>IF($C2451="","",IFERROR(VLOOKUP($C2451,sources!$A$2:$N$200,9,FALSE()),"?"))</f>
        <v>Colonial power - US official</v>
      </c>
    </row>
    <row r="2452" spans="1:19" x14ac:dyDescent="0.2">
      <c r="A2452" t="s">
        <v>7371</v>
      </c>
      <c r="B2452" t="s">
        <v>370</v>
      </c>
      <c r="C2452" t="s">
        <v>1533</v>
      </c>
      <c r="D2452" t="s">
        <v>1599</v>
      </c>
      <c r="E2452" t="s">
        <v>371</v>
      </c>
      <c r="F2452" t="s">
        <v>1612</v>
      </c>
      <c r="I2452" t="s">
        <v>1077</v>
      </c>
      <c r="K2452">
        <v>1920</v>
      </c>
      <c r="L2452">
        <v>1920</v>
      </c>
      <c r="M2452" t="s">
        <v>222</v>
      </c>
      <c r="N2452" t="s">
        <v>222</v>
      </c>
      <c r="O2452" t="s">
        <v>7353</v>
      </c>
      <c r="P2452" t="s">
        <v>7354</v>
      </c>
      <c r="Q2452" t="str">
        <f>IF($C2452="","",IFERROR(VLOOKUP($C2452,sources!$A$2:$N$200,2,FALSE()),"?"))</f>
        <v>Map</v>
      </c>
      <c r="S2452" t="str">
        <f>IF($C2452="","",IFERROR(VLOOKUP($C2452,sources!$A$2:$N$200,9,FALSE()),"?"))</f>
        <v>Colonial power - US official</v>
      </c>
    </row>
    <row r="2453" spans="1:19" x14ac:dyDescent="0.2">
      <c r="A2453" t="s">
        <v>7372</v>
      </c>
      <c r="B2453" t="s">
        <v>430</v>
      </c>
      <c r="C2453" t="s">
        <v>1533</v>
      </c>
      <c r="D2453" t="s">
        <v>1599</v>
      </c>
      <c r="E2453" t="s">
        <v>3498</v>
      </c>
      <c r="F2453" t="s">
        <v>1612</v>
      </c>
      <c r="I2453" t="s">
        <v>1077</v>
      </c>
      <c r="K2453">
        <v>1920</v>
      </c>
      <c r="L2453">
        <v>1920</v>
      </c>
      <c r="M2453" t="s">
        <v>222</v>
      </c>
      <c r="N2453" t="s">
        <v>222</v>
      </c>
      <c r="O2453" t="s">
        <v>7353</v>
      </c>
      <c r="P2453" t="s">
        <v>7354</v>
      </c>
      <c r="Q2453" t="str">
        <f>IF($C2453="","",IFERROR(VLOOKUP($C2453,sources!$A$2:$N$200,2,FALSE()),"?"))</f>
        <v>Map</v>
      </c>
      <c r="S2453" t="str">
        <f>IF($C2453="","",IFERROR(VLOOKUP($C2453,sources!$A$2:$N$200,9,FALSE()),"?"))</f>
        <v>Colonial power - US official</v>
      </c>
    </row>
    <row r="2454" spans="1:19" x14ac:dyDescent="0.2">
      <c r="A2454" t="s">
        <v>7373</v>
      </c>
      <c r="B2454" t="s">
        <v>466</v>
      </c>
      <c r="C2454" t="s">
        <v>1533</v>
      </c>
      <c r="D2454" t="s">
        <v>1599</v>
      </c>
      <c r="E2454" t="s">
        <v>5550</v>
      </c>
      <c r="F2454" t="s">
        <v>1612</v>
      </c>
      <c r="I2454" t="s">
        <v>1077</v>
      </c>
      <c r="K2454">
        <v>1920</v>
      </c>
      <c r="L2454">
        <v>1920</v>
      </c>
      <c r="M2454" t="s">
        <v>222</v>
      </c>
      <c r="N2454" t="s">
        <v>222</v>
      </c>
      <c r="O2454" t="s">
        <v>7353</v>
      </c>
      <c r="P2454" t="s">
        <v>7354</v>
      </c>
      <c r="Q2454" t="str">
        <f>IF($C2454="","",IFERROR(VLOOKUP($C2454,sources!$A$2:$N$200,2,FALSE()),"?"))</f>
        <v>Map</v>
      </c>
      <c r="S2454" t="str">
        <f>IF($C2454="","",IFERROR(VLOOKUP($C2454,sources!$A$2:$N$200,9,FALSE()),"?"))</f>
        <v>Colonial power - US official</v>
      </c>
    </row>
    <row r="2455" spans="1:19" x14ac:dyDescent="0.2">
      <c r="A2455" t="s">
        <v>7374</v>
      </c>
      <c r="B2455" t="s">
        <v>491</v>
      </c>
      <c r="C2455" t="s">
        <v>1533</v>
      </c>
      <c r="D2455" t="s">
        <v>1599</v>
      </c>
      <c r="E2455" t="s">
        <v>492</v>
      </c>
      <c r="F2455" t="s">
        <v>1612</v>
      </c>
      <c r="I2455" t="s">
        <v>1077</v>
      </c>
      <c r="K2455">
        <v>1920</v>
      </c>
      <c r="L2455">
        <v>1920</v>
      </c>
      <c r="M2455" t="s">
        <v>222</v>
      </c>
      <c r="N2455" t="s">
        <v>222</v>
      </c>
      <c r="O2455" t="s">
        <v>7353</v>
      </c>
      <c r="P2455" t="s">
        <v>7375</v>
      </c>
      <c r="Q2455" t="str">
        <f>IF($C2455="","",IFERROR(VLOOKUP($C2455,sources!$A$2:$N$200,2,FALSE()),"?"))</f>
        <v>Map</v>
      </c>
      <c r="S2455" t="str">
        <f>IF($C2455="","",IFERROR(VLOOKUP($C2455,sources!$A$2:$N$200,9,FALSE()),"?"))</f>
        <v>Colonial power - US official</v>
      </c>
    </row>
    <row r="2456" spans="1:19" x14ac:dyDescent="0.2">
      <c r="A2456" t="s">
        <v>7376</v>
      </c>
      <c r="B2456" t="s">
        <v>658</v>
      </c>
      <c r="C2456" t="s">
        <v>1533</v>
      </c>
      <c r="D2456" t="s">
        <v>1599</v>
      </c>
      <c r="E2456" t="s">
        <v>659</v>
      </c>
      <c r="F2456" t="s">
        <v>1612</v>
      </c>
      <c r="I2456" t="s">
        <v>1077</v>
      </c>
      <c r="K2456">
        <v>1920</v>
      </c>
      <c r="L2456">
        <v>1920</v>
      </c>
      <c r="M2456" t="s">
        <v>222</v>
      </c>
      <c r="N2456" t="s">
        <v>222</v>
      </c>
      <c r="O2456" t="s">
        <v>7353</v>
      </c>
      <c r="P2456" t="s">
        <v>7375</v>
      </c>
      <c r="Q2456" t="str">
        <f>IF($C2456="","",IFERROR(VLOOKUP($C2456,sources!$A$2:$N$200,2,FALSE()),"?"))</f>
        <v>Map</v>
      </c>
      <c r="S2456" t="str">
        <f>IF($C2456="","",IFERROR(VLOOKUP($C2456,sources!$A$2:$N$200,9,FALSE()),"?"))</f>
        <v>Colonial power - US official</v>
      </c>
    </row>
    <row r="2457" spans="1:19" x14ac:dyDescent="0.2">
      <c r="A2457" t="s">
        <v>7377</v>
      </c>
      <c r="B2457" t="s">
        <v>662</v>
      </c>
      <c r="C2457" t="s">
        <v>1533</v>
      </c>
      <c r="D2457" t="s">
        <v>1599</v>
      </c>
      <c r="E2457" t="s">
        <v>663</v>
      </c>
      <c r="F2457" t="s">
        <v>1612</v>
      </c>
      <c r="I2457" t="s">
        <v>1077</v>
      </c>
      <c r="K2457">
        <v>1920</v>
      </c>
      <c r="L2457">
        <v>1920</v>
      </c>
      <c r="M2457" t="s">
        <v>222</v>
      </c>
      <c r="N2457" t="s">
        <v>222</v>
      </c>
      <c r="O2457" t="s">
        <v>7353</v>
      </c>
      <c r="P2457" t="s">
        <v>7375</v>
      </c>
      <c r="Q2457" t="str">
        <f>IF($C2457="","",IFERROR(VLOOKUP($C2457,sources!$A$2:$N$200,2,FALSE()),"?"))</f>
        <v>Map</v>
      </c>
      <c r="S2457" t="str">
        <f>IF($C2457="","",IFERROR(VLOOKUP($C2457,sources!$A$2:$N$200,9,FALSE()),"?"))</f>
        <v>Colonial power - US official</v>
      </c>
    </row>
    <row r="2458" spans="1:19" x14ac:dyDescent="0.2">
      <c r="A2458" t="s">
        <v>7378</v>
      </c>
      <c r="B2458" t="s">
        <v>654</v>
      </c>
      <c r="C2458" t="s">
        <v>1533</v>
      </c>
      <c r="D2458" t="s">
        <v>1599</v>
      </c>
      <c r="E2458" t="s">
        <v>655</v>
      </c>
      <c r="F2458" t="s">
        <v>1612</v>
      </c>
      <c r="I2458" t="s">
        <v>1077</v>
      </c>
      <c r="K2458">
        <v>1920</v>
      </c>
      <c r="L2458">
        <v>1920</v>
      </c>
      <c r="M2458" t="s">
        <v>222</v>
      </c>
      <c r="N2458" t="s">
        <v>222</v>
      </c>
      <c r="O2458" t="s">
        <v>7353</v>
      </c>
      <c r="P2458" t="s">
        <v>7375</v>
      </c>
      <c r="Q2458" t="str">
        <f>IF($C2458="","",IFERROR(VLOOKUP($C2458,sources!$A$2:$N$200,2,FALSE()),"?"))</f>
        <v>Map</v>
      </c>
      <c r="S2458" t="str">
        <f>IF($C2458="","",IFERROR(VLOOKUP($C2458,sources!$A$2:$N$200,9,FALSE()),"?"))</f>
        <v>Colonial power - US official</v>
      </c>
    </row>
    <row r="2459" spans="1:19" x14ac:dyDescent="0.2">
      <c r="A2459" t="s">
        <v>7379</v>
      </c>
      <c r="B2459" t="s">
        <v>448</v>
      </c>
      <c r="C2459" t="s">
        <v>1533</v>
      </c>
      <c r="D2459" t="s">
        <v>1599</v>
      </c>
      <c r="E2459" t="s">
        <v>449</v>
      </c>
      <c r="F2459" t="s">
        <v>1612</v>
      </c>
      <c r="I2459" t="s">
        <v>1077</v>
      </c>
      <c r="K2459">
        <v>1920</v>
      </c>
      <c r="L2459">
        <v>1920</v>
      </c>
      <c r="M2459" t="s">
        <v>222</v>
      </c>
      <c r="N2459" t="s">
        <v>222</v>
      </c>
      <c r="O2459" t="s">
        <v>7353</v>
      </c>
      <c r="P2459" t="s">
        <v>7375</v>
      </c>
      <c r="Q2459" t="str">
        <f>IF($C2459="","",IFERROR(VLOOKUP($C2459,sources!$A$2:$N$200,2,FALSE()),"?"))</f>
        <v>Map</v>
      </c>
      <c r="S2459" t="str">
        <f>IF($C2459="","",IFERROR(VLOOKUP($C2459,sources!$A$2:$N$200,9,FALSE()),"?"))</f>
        <v>Colonial power - US official</v>
      </c>
    </row>
    <row r="2460" spans="1:19" x14ac:dyDescent="0.2">
      <c r="A2460" t="s">
        <v>7380</v>
      </c>
      <c r="B2460" t="s">
        <v>261</v>
      </c>
      <c r="C2460" t="s">
        <v>1533</v>
      </c>
      <c r="D2460" t="s">
        <v>1666</v>
      </c>
      <c r="E2460" t="s">
        <v>262</v>
      </c>
      <c r="F2460" t="s">
        <v>1612</v>
      </c>
      <c r="I2460" t="s">
        <v>1077</v>
      </c>
      <c r="K2460">
        <v>1920</v>
      </c>
      <c r="L2460">
        <v>1920</v>
      </c>
      <c r="M2460" t="s">
        <v>222</v>
      </c>
      <c r="N2460" t="s">
        <v>228</v>
      </c>
      <c r="O2460" t="s">
        <v>7353</v>
      </c>
      <c r="P2460" t="s">
        <v>7381</v>
      </c>
      <c r="Q2460" t="str">
        <f>IF($C2460="","",IFERROR(VLOOKUP($C2460,sources!$A$2:$N$200,2,FALSE()),"?"))</f>
        <v>Map</v>
      </c>
      <c r="S2460" t="str">
        <f>IF($C2460="","",IFERROR(VLOOKUP($C2460,sources!$A$2:$N$200,9,FALSE()),"?"))</f>
        <v>Colonial power - US official</v>
      </c>
    </row>
    <row r="2461" spans="1:19" x14ac:dyDescent="0.2">
      <c r="A2461" t="s">
        <v>7382</v>
      </c>
      <c r="B2461" t="s">
        <v>198</v>
      </c>
      <c r="C2461" t="s">
        <v>1533</v>
      </c>
      <c r="D2461" t="s">
        <v>1666</v>
      </c>
      <c r="E2461" t="s">
        <v>199</v>
      </c>
      <c r="F2461" t="s">
        <v>1612</v>
      </c>
      <c r="I2461" t="s">
        <v>1077</v>
      </c>
      <c r="K2461">
        <v>1920</v>
      </c>
      <c r="L2461">
        <v>1920</v>
      </c>
      <c r="M2461" t="s">
        <v>222</v>
      </c>
      <c r="N2461" t="s">
        <v>228</v>
      </c>
      <c r="O2461" t="s">
        <v>7353</v>
      </c>
      <c r="P2461" t="s">
        <v>7381</v>
      </c>
      <c r="Q2461" t="str">
        <f>IF($C2461="","",IFERROR(VLOOKUP($C2461,sources!$A$2:$N$200,2,FALSE()),"?"))</f>
        <v>Map</v>
      </c>
      <c r="S2461" t="str">
        <f>IF($C2461="","",IFERROR(VLOOKUP($C2461,sources!$A$2:$N$200,9,FALSE()),"?"))</f>
        <v>Colonial power - US official</v>
      </c>
    </row>
    <row r="2462" spans="1:19" x14ac:dyDescent="0.2">
      <c r="A2462" t="s">
        <v>7383</v>
      </c>
      <c r="B2462" t="s">
        <v>272</v>
      </c>
      <c r="C2462" t="s">
        <v>1533</v>
      </c>
      <c r="D2462" t="s">
        <v>1666</v>
      </c>
      <c r="E2462" t="s">
        <v>273</v>
      </c>
      <c r="F2462" t="s">
        <v>1612</v>
      </c>
      <c r="I2462" t="s">
        <v>1077</v>
      </c>
      <c r="K2462">
        <v>1920</v>
      </c>
      <c r="L2462">
        <v>1920</v>
      </c>
      <c r="M2462" t="s">
        <v>222</v>
      </c>
      <c r="N2462" t="s">
        <v>228</v>
      </c>
      <c r="O2462" t="s">
        <v>7353</v>
      </c>
      <c r="P2462" t="s">
        <v>7381</v>
      </c>
      <c r="Q2462" t="str">
        <f>IF($C2462="","",IFERROR(VLOOKUP($C2462,sources!$A$2:$N$200,2,FALSE()),"?"))</f>
        <v>Map</v>
      </c>
      <c r="S2462" t="str">
        <f>IF($C2462="","",IFERROR(VLOOKUP($C2462,sources!$A$2:$N$200,9,FALSE()),"?"))</f>
        <v>Colonial power - US official</v>
      </c>
    </row>
    <row r="2463" spans="1:19" x14ac:dyDescent="0.2">
      <c r="A2463" t="s">
        <v>7384</v>
      </c>
      <c r="B2463" t="s">
        <v>382</v>
      </c>
      <c r="C2463" t="s">
        <v>1533</v>
      </c>
      <c r="D2463" t="s">
        <v>1666</v>
      </c>
      <c r="E2463" t="s">
        <v>1735</v>
      </c>
      <c r="F2463" t="s">
        <v>1612</v>
      </c>
      <c r="I2463" t="s">
        <v>1077</v>
      </c>
      <c r="K2463">
        <v>1920</v>
      </c>
      <c r="L2463">
        <v>1920</v>
      </c>
      <c r="M2463" t="s">
        <v>222</v>
      </c>
      <c r="N2463" t="s">
        <v>228</v>
      </c>
      <c r="O2463" t="s">
        <v>7353</v>
      </c>
      <c r="P2463" t="s">
        <v>7381</v>
      </c>
      <c r="Q2463" t="str">
        <f>IF($C2463="","",IFERROR(VLOOKUP($C2463,sources!$A$2:$N$200,2,FALSE()),"?"))</f>
        <v>Map</v>
      </c>
      <c r="S2463" t="str">
        <f>IF($C2463="","",IFERROR(VLOOKUP($C2463,sources!$A$2:$N$200,9,FALSE()),"?"))</f>
        <v>Colonial power - US official</v>
      </c>
    </row>
    <row r="2464" spans="1:19" x14ac:dyDescent="0.2">
      <c r="A2464" t="s">
        <v>7385</v>
      </c>
      <c r="B2464" t="s">
        <v>414</v>
      </c>
      <c r="C2464" t="s">
        <v>1533</v>
      </c>
      <c r="D2464" t="s">
        <v>1666</v>
      </c>
      <c r="E2464" t="s">
        <v>415</v>
      </c>
      <c r="F2464" t="s">
        <v>1612</v>
      </c>
      <c r="I2464" t="s">
        <v>1077</v>
      </c>
      <c r="K2464">
        <v>1920</v>
      </c>
      <c r="L2464">
        <v>1920</v>
      </c>
      <c r="M2464" t="s">
        <v>222</v>
      </c>
      <c r="N2464" t="s">
        <v>228</v>
      </c>
      <c r="O2464" t="s">
        <v>7353</v>
      </c>
      <c r="P2464" t="s">
        <v>7381</v>
      </c>
      <c r="Q2464" t="str">
        <f>IF($C2464="","",IFERROR(VLOOKUP($C2464,sources!$A$2:$N$200,2,FALSE()),"?"))</f>
        <v>Map</v>
      </c>
      <c r="S2464" t="str">
        <f>IF($C2464="","",IFERROR(VLOOKUP($C2464,sources!$A$2:$N$200,9,FALSE()),"?"))</f>
        <v>Colonial power - US official</v>
      </c>
    </row>
    <row r="2465" spans="1:19" x14ac:dyDescent="0.2">
      <c r="A2465" t="s">
        <v>7386</v>
      </c>
      <c r="B2465" t="s">
        <v>284</v>
      </c>
      <c r="C2465" t="s">
        <v>1533</v>
      </c>
      <c r="D2465" t="s">
        <v>1666</v>
      </c>
      <c r="E2465" t="s">
        <v>285</v>
      </c>
      <c r="F2465" t="s">
        <v>1612</v>
      </c>
      <c r="I2465" t="s">
        <v>1077</v>
      </c>
      <c r="K2465">
        <v>1920</v>
      </c>
      <c r="L2465">
        <v>1920</v>
      </c>
      <c r="M2465" t="s">
        <v>222</v>
      </c>
      <c r="N2465" t="s">
        <v>228</v>
      </c>
      <c r="O2465" t="s">
        <v>7353</v>
      </c>
      <c r="P2465" t="s">
        <v>7381</v>
      </c>
      <c r="Q2465" t="str">
        <f>IF($C2465="","",IFERROR(VLOOKUP($C2465,sources!$A$2:$N$200,2,FALSE()),"?"))</f>
        <v>Map</v>
      </c>
      <c r="S2465" t="str">
        <f>IF($C2465="","",IFERROR(VLOOKUP($C2465,sources!$A$2:$N$200,9,FALSE()),"?"))</f>
        <v>Colonial power - US official</v>
      </c>
    </row>
    <row r="2466" spans="1:19" x14ac:dyDescent="0.2">
      <c r="A2466" t="s">
        <v>7387</v>
      </c>
      <c r="B2466" t="s">
        <v>379</v>
      </c>
      <c r="C2466" t="s">
        <v>1533</v>
      </c>
      <c r="D2466" t="s">
        <v>1666</v>
      </c>
      <c r="E2466" t="s">
        <v>380</v>
      </c>
      <c r="F2466" t="s">
        <v>1612</v>
      </c>
      <c r="I2466" t="s">
        <v>1077</v>
      </c>
      <c r="K2466">
        <v>1920</v>
      </c>
      <c r="L2466">
        <v>1920</v>
      </c>
      <c r="M2466" t="s">
        <v>222</v>
      </c>
      <c r="N2466" t="s">
        <v>228</v>
      </c>
      <c r="O2466" t="s">
        <v>7353</v>
      </c>
      <c r="P2466" t="s">
        <v>7381</v>
      </c>
      <c r="Q2466" t="str">
        <f>IF($C2466="","",IFERROR(VLOOKUP($C2466,sources!$A$2:$N$200,2,FALSE()),"?"))</f>
        <v>Map</v>
      </c>
      <c r="S2466" t="str">
        <f>IF($C2466="","",IFERROR(VLOOKUP($C2466,sources!$A$2:$N$200,9,FALSE()),"?"))</f>
        <v>Colonial power - US official</v>
      </c>
    </row>
    <row r="2467" spans="1:19" x14ac:dyDescent="0.2">
      <c r="A2467" t="s">
        <v>7388</v>
      </c>
      <c r="B2467" t="s">
        <v>452</v>
      </c>
      <c r="C2467" t="s">
        <v>1533</v>
      </c>
      <c r="D2467" t="s">
        <v>1666</v>
      </c>
      <c r="E2467" t="s">
        <v>453</v>
      </c>
      <c r="F2467" t="s">
        <v>1612</v>
      </c>
      <c r="I2467" t="s">
        <v>1077</v>
      </c>
      <c r="K2467">
        <v>1920</v>
      </c>
      <c r="L2467">
        <v>1920</v>
      </c>
      <c r="M2467" t="s">
        <v>222</v>
      </c>
      <c r="N2467" t="s">
        <v>228</v>
      </c>
      <c r="O2467" t="s">
        <v>7353</v>
      </c>
      <c r="P2467" t="s">
        <v>7381</v>
      </c>
      <c r="Q2467" t="str">
        <f>IF($C2467="","",IFERROR(VLOOKUP($C2467,sources!$A$2:$N$200,2,FALSE()),"?"))</f>
        <v>Map</v>
      </c>
      <c r="S2467" t="str">
        <f>IF($C2467="","",IFERROR(VLOOKUP($C2467,sources!$A$2:$N$200,9,FALSE()),"?"))</f>
        <v>Colonial power - US official</v>
      </c>
    </row>
    <row r="2468" spans="1:19" x14ac:dyDescent="0.2">
      <c r="A2468" t="s">
        <v>7389</v>
      </c>
      <c r="B2468" t="s">
        <v>475</v>
      </c>
      <c r="C2468" t="s">
        <v>1533</v>
      </c>
      <c r="D2468" t="s">
        <v>1599</v>
      </c>
      <c r="E2468" t="s">
        <v>476</v>
      </c>
      <c r="F2468" t="s">
        <v>1612</v>
      </c>
      <c r="I2468" t="s">
        <v>1077</v>
      </c>
      <c r="K2468">
        <v>1920</v>
      </c>
      <c r="L2468">
        <v>1920</v>
      </c>
      <c r="M2468" t="s">
        <v>222</v>
      </c>
      <c r="N2468" t="s">
        <v>222</v>
      </c>
      <c r="O2468" t="s">
        <v>7390</v>
      </c>
      <c r="P2468" t="s">
        <v>7391</v>
      </c>
      <c r="Q2468" t="str">
        <f>IF($C2468="","",IFERROR(VLOOKUP($C2468,sources!$A$2:$N$200,2,FALSE()),"?"))</f>
        <v>Map</v>
      </c>
      <c r="S2468" t="str">
        <f>IF($C2468="","",IFERROR(VLOOKUP($C2468,sources!$A$2:$N$200,9,FALSE()),"?"))</f>
        <v>Colonial power - US official</v>
      </c>
    </row>
    <row r="2469" spans="1:19" x14ac:dyDescent="0.2">
      <c r="A2469" t="s">
        <v>7392</v>
      </c>
      <c r="B2469" t="s">
        <v>529</v>
      </c>
      <c r="C2469" t="s">
        <v>1533</v>
      </c>
      <c r="D2469" t="s">
        <v>1585</v>
      </c>
      <c r="E2469" t="s">
        <v>7393</v>
      </c>
      <c r="F2469" t="s">
        <v>1612</v>
      </c>
      <c r="I2469" t="s">
        <v>1077</v>
      </c>
      <c r="K2469">
        <v>1920</v>
      </c>
      <c r="L2469">
        <v>1920</v>
      </c>
      <c r="M2469" t="s">
        <v>222</v>
      </c>
      <c r="N2469" t="s">
        <v>222</v>
      </c>
      <c r="O2469" t="s">
        <v>7390</v>
      </c>
      <c r="P2469" t="s">
        <v>7394</v>
      </c>
      <c r="Q2469" t="str">
        <f>IF($C2469="","",IFERROR(VLOOKUP($C2469,sources!$A$2:$N$200,2,FALSE()),"?"))</f>
        <v>Map</v>
      </c>
      <c r="S2469" t="str">
        <f>IF($C2469="","",IFERROR(VLOOKUP($C2469,sources!$A$2:$N$200,9,FALSE()),"?"))</f>
        <v>Colonial power - US official</v>
      </c>
    </row>
    <row r="2470" spans="1:19" x14ac:dyDescent="0.2">
      <c r="A2470" t="s">
        <v>7395</v>
      </c>
      <c r="B2470" t="s">
        <v>480</v>
      </c>
      <c r="C2470" t="s">
        <v>1533</v>
      </c>
      <c r="D2470" t="s">
        <v>1666</v>
      </c>
      <c r="E2470" t="s">
        <v>481</v>
      </c>
      <c r="F2470" t="s">
        <v>1612</v>
      </c>
      <c r="I2470" t="s">
        <v>1077</v>
      </c>
      <c r="K2470">
        <v>1920</v>
      </c>
      <c r="L2470">
        <v>1920</v>
      </c>
      <c r="M2470" t="s">
        <v>222</v>
      </c>
      <c r="N2470" t="s">
        <v>228</v>
      </c>
      <c r="O2470" t="s">
        <v>7390</v>
      </c>
      <c r="P2470" t="s">
        <v>7396</v>
      </c>
      <c r="Q2470" t="str">
        <f>IF($C2470="","",IFERROR(VLOOKUP($C2470,sources!$A$2:$N$200,2,FALSE()),"?"))</f>
        <v>Map</v>
      </c>
      <c r="S2470" t="str">
        <f>IF($C2470="","",IFERROR(VLOOKUP($C2470,sources!$A$2:$N$200,9,FALSE()),"?"))</f>
        <v>Colonial power - US official</v>
      </c>
    </row>
    <row r="2471" spans="1:19" x14ac:dyDescent="0.2">
      <c r="A2471" t="s">
        <v>7397</v>
      </c>
      <c r="B2471" t="s">
        <v>805</v>
      </c>
      <c r="C2471" t="s">
        <v>1533</v>
      </c>
      <c r="D2471" t="s">
        <v>1666</v>
      </c>
      <c r="E2471" t="s">
        <v>806</v>
      </c>
      <c r="F2471" t="s">
        <v>1612</v>
      </c>
      <c r="I2471" t="s">
        <v>1077</v>
      </c>
      <c r="K2471">
        <v>1920</v>
      </c>
      <c r="L2471">
        <v>1920</v>
      </c>
      <c r="M2471" t="s">
        <v>222</v>
      </c>
      <c r="N2471" t="s">
        <v>222</v>
      </c>
      <c r="O2471" t="s">
        <v>7390</v>
      </c>
      <c r="P2471" t="s">
        <v>7398</v>
      </c>
      <c r="Q2471" t="str">
        <f>IF($C2471="","",IFERROR(VLOOKUP($C2471,sources!$A$2:$N$200,2,FALSE()),"?"))</f>
        <v>Map</v>
      </c>
      <c r="S2471" t="str">
        <f>IF($C2471="","",IFERROR(VLOOKUP($C2471,sources!$A$2:$N$200,9,FALSE()),"?"))</f>
        <v>Colonial power - US official</v>
      </c>
    </row>
    <row r="2472" spans="1:19" x14ac:dyDescent="0.2">
      <c r="A2472" t="s">
        <v>7399</v>
      </c>
      <c r="B2472" t="s">
        <v>1013</v>
      </c>
      <c r="C2472" t="s">
        <v>1533</v>
      </c>
      <c r="D2472" t="s">
        <v>1666</v>
      </c>
      <c r="E2472" t="s">
        <v>1014</v>
      </c>
      <c r="F2472" t="s">
        <v>1612</v>
      </c>
      <c r="I2472" t="s">
        <v>1077</v>
      </c>
      <c r="K2472">
        <v>1920</v>
      </c>
      <c r="L2472">
        <v>1920</v>
      </c>
      <c r="M2472" t="s">
        <v>209</v>
      </c>
      <c r="N2472" t="s">
        <v>209</v>
      </c>
      <c r="O2472" t="s">
        <v>7390</v>
      </c>
      <c r="P2472" t="s">
        <v>7400</v>
      </c>
      <c r="Q2472" t="str">
        <f>IF($C2472="","",IFERROR(VLOOKUP($C2472,sources!$A$2:$N$200,2,FALSE()),"?"))</f>
        <v>Map</v>
      </c>
      <c r="S2472" t="str">
        <f>IF($C2472="","",IFERROR(VLOOKUP($C2472,sources!$A$2:$N$200,9,FALSE()),"?"))</f>
        <v>Colonial power - US official</v>
      </c>
    </row>
    <row r="2473" spans="1:19" x14ac:dyDescent="0.2">
      <c r="A2473" t="s">
        <v>7401</v>
      </c>
      <c r="B2473" t="s">
        <v>658</v>
      </c>
      <c r="C2473" t="s">
        <v>1549</v>
      </c>
      <c r="D2473" t="s">
        <v>1666</v>
      </c>
      <c r="E2473" t="s">
        <v>7402</v>
      </c>
      <c r="F2473" t="s">
        <v>1612</v>
      </c>
      <c r="I2473" t="s">
        <v>1077</v>
      </c>
      <c r="K2473">
        <v>1934</v>
      </c>
      <c r="L2473">
        <v>1934</v>
      </c>
      <c r="M2473" t="s">
        <v>228</v>
      </c>
      <c r="N2473" t="s">
        <v>209</v>
      </c>
      <c r="O2473" t="s">
        <v>7403</v>
      </c>
      <c r="P2473" t="s">
        <v>7404</v>
      </c>
      <c r="Q2473" t="str">
        <f>IF($C2473="","",IFERROR(VLOOKUP($C2473,sources!$A$2:$N$200,2,FALSE()),"?"))</f>
        <v>Map</v>
      </c>
      <c r="S2473" t="str">
        <f>IF($C2473="","",IFERROR(VLOOKUP($C2473,sources!$A$2:$N$200,9,FALSE()),"?"))</f>
        <v>Colonial power - US official (memory cartography)</v>
      </c>
    </row>
    <row r="2474" spans="1:19" x14ac:dyDescent="0.2">
      <c r="A2474" t="s">
        <v>7405</v>
      </c>
      <c r="B2474" t="s">
        <v>218</v>
      </c>
      <c r="C2474" t="s">
        <v>1549</v>
      </c>
      <c r="D2474" t="s">
        <v>1599</v>
      </c>
      <c r="E2474" t="s">
        <v>7406</v>
      </c>
      <c r="F2474" t="s">
        <v>1612</v>
      </c>
      <c r="I2474" t="s">
        <v>1077</v>
      </c>
      <c r="M2474" t="s">
        <v>209</v>
      </c>
      <c r="N2474" t="s">
        <v>222</v>
      </c>
      <c r="O2474" t="s">
        <v>7403</v>
      </c>
      <c r="P2474" t="s">
        <v>7407</v>
      </c>
      <c r="Q2474" t="str">
        <f>IF($C2474="","",IFERROR(VLOOKUP($C2474,sources!$A$2:$N$200,2,FALSE()),"?"))</f>
        <v>Map</v>
      </c>
      <c r="S2474" t="str">
        <f>IF($C2474="","",IFERROR(VLOOKUP($C2474,sources!$A$2:$N$200,9,FALSE()),"?"))</f>
        <v>Colonial power - US official (memory cartography)</v>
      </c>
    </row>
    <row r="2475" spans="1:19" x14ac:dyDescent="0.2">
      <c r="A2475" t="s">
        <v>7408</v>
      </c>
      <c r="B2475" t="s">
        <v>792</v>
      </c>
      <c r="C2475" t="s">
        <v>1464</v>
      </c>
      <c r="D2475" t="s">
        <v>1666</v>
      </c>
      <c r="E2475" t="s">
        <v>4619</v>
      </c>
      <c r="F2475" t="s">
        <v>1612</v>
      </c>
      <c r="I2475" t="s">
        <v>1077</v>
      </c>
      <c r="M2475" t="s">
        <v>209</v>
      </c>
      <c r="N2475" t="s">
        <v>228</v>
      </c>
      <c r="O2475" t="s">
        <v>6530</v>
      </c>
      <c r="P2475" t="s">
        <v>7409</v>
      </c>
      <c r="Q2475" t="str">
        <f>IF($C2475="","",IFERROR(VLOOKUP($C2475,sources!$A$2:$N$200,2,FALSE()),"?"))</f>
        <v>Newspaper</v>
      </c>
      <c r="S2475" t="str">
        <f>IF($C2475="","",IFERROR(VLOOKUP($C2475,sources!$A$2:$N$200,9,FALSE()),"?"))</f>
        <v>Panamanian</v>
      </c>
    </row>
    <row r="2476" spans="1:19" x14ac:dyDescent="0.2">
      <c r="A2476" t="s">
        <v>7410</v>
      </c>
      <c r="B2476" t="s">
        <v>795</v>
      </c>
      <c r="C2476" t="s">
        <v>1464</v>
      </c>
      <c r="D2476" t="s">
        <v>1599</v>
      </c>
      <c r="E2476" t="s">
        <v>796</v>
      </c>
      <c r="F2476" t="s">
        <v>1612</v>
      </c>
      <c r="I2476" t="s">
        <v>1077</v>
      </c>
      <c r="K2476">
        <v>1907</v>
      </c>
      <c r="L2476">
        <v>1907</v>
      </c>
      <c r="M2476" t="s">
        <v>228</v>
      </c>
      <c r="N2476" t="s">
        <v>222</v>
      </c>
      <c r="O2476" t="s">
        <v>6530</v>
      </c>
      <c r="P2476" t="s">
        <v>7411</v>
      </c>
      <c r="Q2476" t="str">
        <f>IF($C2476="","",IFERROR(VLOOKUP($C2476,sources!$A$2:$N$200,2,FALSE()),"?"))</f>
        <v>Newspaper</v>
      </c>
      <c r="S2476" t="str">
        <f>IF($C2476="","",IFERROR(VLOOKUP($C2476,sources!$A$2:$N$200,9,FALSE()),"?"))</f>
        <v>Panamanian</v>
      </c>
    </row>
    <row r="2477" spans="1:19" x14ac:dyDescent="0.2">
      <c r="A2477" t="s">
        <v>7412</v>
      </c>
      <c r="B2477" t="s">
        <v>802</v>
      </c>
      <c r="C2477" t="s">
        <v>1464</v>
      </c>
      <c r="D2477" t="s">
        <v>1666</v>
      </c>
      <c r="E2477" t="s">
        <v>803</v>
      </c>
      <c r="F2477" t="s">
        <v>1612</v>
      </c>
      <c r="I2477" t="s">
        <v>1077</v>
      </c>
      <c r="M2477" t="s">
        <v>209</v>
      </c>
      <c r="N2477" t="s">
        <v>228</v>
      </c>
      <c r="O2477" t="s">
        <v>6530</v>
      </c>
      <c r="P2477" t="s">
        <v>7413</v>
      </c>
      <c r="Q2477" t="str">
        <f>IF($C2477="","",IFERROR(VLOOKUP($C2477,sources!$A$2:$N$200,2,FALSE()),"?"))</f>
        <v>Newspaper</v>
      </c>
      <c r="S2477" t="str">
        <f>IF($C2477="","",IFERROR(VLOOKUP($C2477,sources!$A$2:$N$200,9,FALSE()),"?"))</f>
        <v>Panamanian</v>
      </c>
    </row>
    <row r="2478" spans="1:19" x14ac:dyDescent="0.2">
      <c r="A2478" t="s">
        <v>7414</v>
      </c>
      <c r="B2478" t="s">
        <v>810</v>
      </c>
      <c r="C2478" t="s">
        <v>1464</v>
      </c>
      <c r="D2478" t="s">
        <v>1599</v>
      </c>
      <c r="E2478" t="s">
        <v>7415</v>
      </c>
      <c r="F2478" t="s">
        <v>1612</v>
      </c>
      <c r="I2478" t="s">
        <v>1077</v>
      </c>
      <c r="M2478" t="s">
        <v>209</v>
      </c>
      <c r="N2478" t="s">
        <v>209</v>
      </c>
      <c r="O2478" t="s">
        <v>6530</v>
      </c>
      <c r="P2478" t="s">
        <v>7416</v>
      </c>
      <c r="Q2478" t="str">
        <f>IF($C2478="","",IFERROR(VLOOKUP($C2478,sources!$A$2:$N$200,2,FALSE()),"?"))</f>
        <v>Newspaper</v>
      </c>
      <c r="S2478" t="str">
        <f>IF($C2478="","",IFERROR(VLOOKUP($C2478,sources!$A$2:$N$200,9,FALSE()),"?"))</f>
        <v>Panamanian</v>
      </c>
    </row>
    <row r="2479" spans="1:19" x14ac:dyDescent="0.2">
      <c r="A2479" t="s">
        <v>7417</v>
      </c>
      <c r="B2479" t="s">
        <v>815</v>
      </c>
      <c r="C2479" t="s">
        <v>1464</v>
      </c>
      <c r="D2479" t="s">
        <v>1666</v>
      </c>
      <c r="E2479" t="s">
        <v>6658</v>
      </c>
      <c r="F2479" t="s">
        <v>1612</v>
      </c>
      <c r="I2479" t="s">
        <v>1077</v>
      </c>
      <c r="M2479" t="s">
        <v>209</v>
      </c>
      <c r="N2479" t="s">
        <v>228</v>
      </c>
      <c r="O2479" t="s">
        <v>6530</v>
      </c>
      <c r="P2479" t="s">
        <v>7418</v>
      </c>
      <c r="Q2479" t="str">
        <f>IF($C2479="","",IFERROR(VLOOKUP($C2479,sources!$A$2:$N$200,2,FALSE()),"?"))</f>
        <v>Newspaper</v>
      </c>
      <c r="S2479" t="str">
        <f>IF($C2479="","",IFERROR(VLOOKUP($C2479,sources!$A$2:$N$200,9,FALSE()),"?"))</f>
        <v>Panamanian</v>
      </c>
    </row>
    <row r="2480" spans="1:19" x14ac:dyDescent="0.2">
      <c r="A2480" t="s">
        <v>7419</v>
      </c>
      <c r="B2480" t="s">
        <v>820</v>
      </c>
      <c r="C2480" t="s">
        <v>1464</v>
      </c>
      <c r="D2480" t="s">
        <v>1599</v>
      </c>
      <c r="E2480" t="s">
        <v>7420</v>
      </c>
      <c r="F2480" t="s">
        <v>1612</v>
      </c>
      <c r="I2480" t="s">
        <v>1077</v>
      </c>
      <c r="K2480">
        <v>1904</v>
      </c>
      <c r="L2480">
        <v>1904</v>
      </c>
      <c r="M2480" t="s">
        <v>228</v>
      </c>
      <c r="N2480" t="s">
        <v>222</v>
      </c>
      <c r="O2480" t="s">
        <v>6530</v>
      </c>
      <c r="P2480" t="s">
        <v>7421</v>
      </c>
      <c r="Q2480" t="str">
        <f>IF($C2480="","",IFERROR(VLOOKUP($C2480,sources!$A$2:$N$200,2,FALSE()),"?"))</f>
        <v>Newspaper</v>
      </c>
      <c r="S2480" t="str">
        <f>IF($C2480="","",IFERROR(VLOOKUP($C2480,sources!$A$2:$N$200,9,FALSE()),"?"))</f>
        <v>Panamanian</v>
      </c>
    </row>
    <row r="2481" spans="1:19" x14ac:dyDescent="0.2">
      <c r="A2481" t="s">
        <v>7422</v>
      </c>
      <c r="B2481" t="s">
        <v>824</v>
      </c>
      <c r="C2481" t="s">
        <v>1464</v>
      </c>
      <c r="D2481" t="s">
        <v>1599</v>
      </c>
      <c r="E2481" t="s">
        <v>825</v>
      </c>
      <c r="F2481" t="s">
        <v>1612</v>
      </c>
      <c r="I2481" t="s">
        <v>1077</v>
      </c>
      <c r="K2481">
        <v>1909</v>
      </c>
      <c r="L2481">
        <v>1909</v>
      </c>
      <c r="M2481" t="s">
        <v>228</v>
      </c>
      <c r="N2481" t="s">
        <v>222</v>
      </c>
      <c r="O2481" t="s">
        <v>6530</v>
      </c>
      <c r="P2481" t="s">
        <v>7423</v>
      </c>
      <c r="Q2481" t="str">
        <f>IF($C2481="","",IFERROR(VLOOKUP($C2481,sources!$A$2:$N$200,2,FALSE()),"?"))</f>
        <v>Newspaper</v>
      </c>
      <c r="S2481" t="str">
        <f>IF($C2481="","",IFERROR(VLOOKUP($C2481,sources!$A$2:$N$200,9,FALSE()),"?"))</f>
        <v>Panamanian</v>
      </c>
    </row>
    <row r="2482" spans="1:19" x14ac:dyDescent="0.2">
      <c r="A2482" t="s">
        <v>7424</v>
      </c>
      <c r="B2482" t="s">
        <v>827</v>
      </c>
      <c r="C2482" t="s">
        <v>1464</v>
      </c>
      <c r="D2482" t="s">
        <v>1599</v>
      </c>
      <c r="E2482" t="s">
        <v>4975</v>
      </c>
      <c r="F2482" t="s">
        <v>1612</v>
      </c>
      <c r="I2482" t="s">
        <v>1077</v>
      </c>
      <c r="K2482">
        <v>1911</v>
      </c>
      <c r="L2482">
        <v>1911</v>
      </c>
      <c r="M2482" t="s">
        <v>228</v>
      </c>
      <c r="N2482" t="s">
        <v>222</v>
      </c>
      <c r="O2482" t="s">
        <v>6530</v>
      </c>
      <c r="P2482" t="s">
        <v>7425</v>
      </c>
      <c r="Q2482" t="str">
        <f>IF($C2482="","",IFERROR(VLOOKUP($C2482,sources!$A$2:$N$200,2,FALSE()),"?"))</f>
        <v>Newspaper</v>
      </c>
      <c r="S2482" t="str">
        <f>IF($C2482="","",IFERROR(VLOOKUP($C2482,sources!$A$2:$N$200,9,FALSE()),"?"))</f>
        <v>Panamanian</v>
      </c>
    </row>
    <row r="2483" spans="1:19" x14ac:dyDescent="0.2">
      <c r="A2483" t="s">
        <v>7426</v>
      </c>
      <c r="B2483" t="s">
        <v>830</v>
      </c>
      <c r="C2483" t="s">
        <v>1464</v>
      </c>
      <c r="D2483" t="s">
        <v>1666</v>
      </c>
      <c r="E2483" t="s">
        <v>831</v>
      </c>
      <c r="F2483" t="s">
        <v>1612</v>
      </c>
      <c r="I2483" t="s">
        <v>1077</v>
      </c>
      <c r="M2483" t="s">
        <v>209</v>
      </c>
      <c r="N2483" t="s">
        <v>228</v>
      </c>
      <c r="O2483" t="s">
        <v>6530</v>
      </c>
      <c r="P2483" t="s">
        <v>7427</v>
      </c>
      <c r="Q2483" t="str">
        <f>IF($C2483="","",IFERROR(VLOOKUP($C2483,sources!$A$2:$N$200,2,FALSE()),"?"))</f>
        <v>Newspaper</v>
      </c>
      <c r="S2483" t="str">
        <f>IF($C2483="","",IFERROR(VLOOKUP($C2483,sources!$A$2:$N$200,9,FALSE()),"?"))</f>
        <v>Panamanian</v>
      </c>
    </row>
    <row r="2484" spans="1:19" x14ac:dyDescent="0.2">
      <c r="A2484" t="s">
        <v>7428</v>
      </c>
      <c r="B2484" t="s">
        <v>835</v>
      </c>
      <c r="C2484" t="s">
        <v>1464</v>
      </c>
      <c r="D2484" t="s">
        <v>1585</v>
      </c>
      <c r="E2484" t="s">
        <v>6544</v>
      </c>
      <c r="F2484" t="s">
        <v>1612</v>
      </c>
      <c r="I2484" t="s">
        <v>1077</v>
      </c>
      <c r="K2484">
        <v>1910</v>
      </c>
      <c r="L2484">
        <v>1910</v>
      </c>
      <c r="M2484" t="s">
        <v>228</v>
      </c>
      <c r="N2484" t="s">
        <v>228</v>
      </c>
      <c r="O2484" t="s">
        <v>6530</v>
      </c>
      <c r="P2484" t="s">
        <v>7429</v>
      </c>
      <c r="Q2484" t="str">
        <f>IF($C2484="","",IFERROR(VLOOKUP($C2484,sources!$A$2:$N$200,2,FALSE()),"?"))</f>
        <v>Newspaper</v>
      </c>
      <c r="S2484" t="str">
        <f>IF($C2484="","",IFERROR(VLOOKUP($C2484,sources!$A$2:$N$200,9,FALSE()),"?"))</f>
        <v>Panamanian</v>
      </c>
    </row>
    <row r="2485" spans="1:19" x14ac:dyDescent="0.2">
      <c r="A2485" t="s">
        <v>7430</v>
      </c>
      <c r="B2485" t="s">
        <v>838</v>
      </c>
      <c r="C2485" t="s">
        <v>1464</v>
      </c>
      <c r="D2485" t="s">
        <v>1585</v>
      </c>
      <c r="E2485" t="s">
        <v>839</v>
      </c>
      <c r="F2485" t="s">
        <v>1612</v>
      </c>
      <c r="I2485" t="s">
        <v>1077</v>
      </c>
      <c r="K2485">
        <v>1904</v>
      </c>
      <c r="L2485">
        <v>1904</v>
      </c>
      <c r="M2485" t="s">
        <v>228</v>
      </c>
      <c r="N2485" t="s">
        <v>228</v>
      </c>
      <c r="O2485" t="s">
        <v>6530</v>
      </c>
      <c r="P2485" t="s">
        <v>7431</v>
      </c>
      <c r="Q2485" t="str">
        <f>IF($C2485="","",IFERROR(VLOOKUP($C2485,sources!$A$2:$N$200,2,FALSE()),"?"))</f>
        <v>Newspaper</v>
      </c>
      <c r="S2485" t="str">
        <f>IF($C2485="","",IFERROR(VLOOKUP($C2485,sources!$A$2:$N$200,9,FALSE()),"?"))</f>
        <v>Panamanian</v>
      </c>
    </row>
    <row r="2486" spans="1:19" x14ac:dyDescent="0.2">
      <c r="A2486" t="s">
        <v>7432</v>
      </c>
      <c r="B2486" t="s">
        <v>843</v>
      </c>
      <c r="C2486" t="s">
        <v>1464</v>
      </c>
      <c r="D2486" t="s">
        <v>1666</v>
      </c>
      <c r="E2486" t="s">
        <v>844</v>
      </c>
      <c r="F2486" t="s">
        <v>1612</v>
      </c>
      <c r="I2486" t="s">
        <v>1077</v>
      </c>
      <c r="M2486" t="s">
        <v>209</v>
      </c>
      <c r="N2486" t="s">
        <v>228</v>
      </c>
      <c r="O2486" t="s">
        <v>6530</v>
      </c>
      <c r="P2486" t="s">
        <v>7433</v>
      </c>
      <c r="Q2486" t="str">
        <f>IF($C2486="","",IFERROR(VLOOKUP($C2486,sources!$A$2:$N$200,2,FALSE()),"?"))</f>
        <v>Newspaper</v>
      </c>
      <c r="S2486" t="str">
        <f>IF($C2486="","",IFERROR(VLOOKUP($C2486,sources!$A$2:$N$200,9,FALSE()),"?"))</f>
        <v>Panamanian</v>
      </c>
    </row>
    <row r="2487" spans="1:19" x14ac:dyDescent="0.2">
      <c r="A2487" t="s">
        <v>7434</v>
      </c>
      <c r="B2487" t="s">
        <v>847</v>
      </c>
      <c r="C2487" t="s">
        <v>1464</v>
      </c>
      <c r="D2487" t="s">
        <v>1666</v>
      </c>
      <c r="E2487" t="s">
        <v>848</v>
      </c>
      <c r="F2487" t="s">
        <v>1612</v>
      </c>
      <c r="I2487" t="s">
        <v>1077</v>
      </c>
      <c r="M2487" t="s">
        <v>209</v>
      </c>
      <c r="N2487" t="s">
        <v>228</v>
      </c>
      <c r="O2487" t="s">
        <v>6530</v>
      </c>
      <c r="P2487" t="s">
        <v>7435</v>
      </c>
      <c r="Q2487" t="str">
        <f>IF($C2487="","",IFERROR(VLOOKUP($C2487,sources!$A$2:$N$200,2,FALSE()),"?"))</f>
        <v>Newspaper</v>
      </c>
      <c r="S2487" t="str">
        <f>IF($C2487="","",IFERROR(VLOOKUP($C2487,sources!$A$2:$N$200,9,FALSE()),"?"))</f>
        <v>Panamanian</v>
      </c>
    </row>
    <row r="2488" spans="1:19" x14ac:dyDescent="0.2">
      <c r="A2488" t="s">
        <v>7436</v>
      </c>
      <c r="B2488" t="s">
        <v>851</v>
      </c>
      <c r="C2488" t="s">
        <v>1464</v>
      </c>
      <c r="D2488" t="s">
        <v>1666</v>
      </c>
      <c r="E2488" t="s">
        <v>852</v>
      </c>
      <c r="F2488" t="s">
        <v>1612</v>
      </c>
      <c r="I2488" t="s">
        <v>1077</v>
      </c>
      <c r="M2488" t="s">
        <v>209</v>
      </c>
      <c r="N2488" t="s">
        <v>228</v>
      </c>
      <c r="O2488" t="s">
        <v>6530</v>
      </c>
      <c r="P2488" t="s">
        <v>7437</v>
      </c>
      <c r="Q2488" t="str">
        <f>IF($C2488="","",IFERROR(VLOOKUP($C2488,sources!$A$2:$N$200,2,FALSE()),"?"))</f>
        <v>Newspaper</v>
      </c>
      <c r="S2488" t="str">
        <f>IF($C2488="","",IFERROR(VLOOKUP($C2488,sources!$A$2:$N$200,9,FALSE()),"?"))</f>
        <v>Panamanian</v>
      </c>
    </row>
    <row r="2489" spans="1:19" x14ac:dyDescent="0.2">
      <c r="A2489" t="s">
        <v>7438</v>
      </c>
      <c r="B2489" t="s">
        <v>854</v>
      </c>
      <c r="C2489" t="s">
        <v>1464</v>
      </c>
      <c r="D2489" t="s">
        <v>1599</v>
      </c>
      <c r="E2489" t="s">
        <v>523</v>
      </c>
      <c r="F2489" t="s">
        <v>1612</v>
      </c>
      <c r="I2489" t="s">
        <v>1077</v>
      </c>
      <c r="K2489">
        <v>1907</v>
      </c>
      <c r="L2489">
        <v>1907</v>
      </c>
      <c r="M2489" t="s">
        <v>228</v>
      </c>
      <c r="N2489" t="s">
        <v>222</v>
      </c>
      <c r="O2489" t="s">
        <v>6530</v>
      </c>
      <c r="P2489" t="s">
        <v>7439</v>
      </c>
      <c r="Q2489" t="str">
        <f>IF($C2489="","",IFERROR(VLOOKUP($C2489,sources!$A$2:$N$200,2,FALSE()),"?"))</f>
        <v>Newspaper</v>
      </c>
      <c r="S2489" t="str">
        <f>IF($C2489="","",IFERROR(VLOOKUP($C2489,sources!$A$2:$N$200,9,FALSE()),"?"))</f>
        <v>Panamanian</v>
      </c>
    </row>
    <row r="2490" spans="1:19" x14ac:dyDescent="0.2">
      <c r="A2490" t="s">
        <v>7440</v>
      </c>
      <c r="B2490" t="s">
        <v>866</v>
      </c>
      <c r="C2490" t="s">
        <v>1464</v>
      </c>
      <c r="D2490" t="s">
        <v>1666</v>
      </c>
      <c r="E2490" t="s">
        <v>867</v>
      </c>
      <c r="F2490" t="s">
        <v>1612</v>
      </c>
      <c r="I2490" t="s">
        <v>1077</v>
      </c>
      <c r="M2490" t="s">
        <v>209</v>
      </c>
      <c r="N2490" t="s">
        <v>228</v>
      </c>
      <c r="O2490" t="s">
        <v>6530</v>
      </c>
      <c r="P2490" t="s">
        <v>7441</v>
      </c>
      <c r="Q2490" t="str">
        <f>IF($C2490="","",IFERROR(VLOOKUP($C2490,sources!$A$2:$N$200,2,FALSE()),"?"))</f>
        <v>Newspaper</v>
      </c>
      <c r="S2490" t="str">
        <f>IF($C2490="","",IFERROR(VLOOKUP($C2490,sources!$A$2:$N$200,9,FALSE()),"?"))</f>
        <v>Panamanian</v>
      </c>
    </row>
    <row r="2491" spans="1:19" x14ac:dyDescent="0.2">
      <c r="A2491" t="s">
        <v>7442</v>
      </c>
      <c r="B2491" t="s">
        <v>871</v>
      </c>
      <c r="C2491" t="s">
        <v>1464</v>
      </c>
      <c r="D2491" t="s">
        <v>1666</v>
      </c>
      <c r="E2491" t="s">
        <v>873</v>
      </c>
      <c r="F2491" t="s">
        <v>1612</v>
      </c>
      <c r="I2491" t="s">
        <v>1077</v>
      </c>
      <c r="M2491" t="s">
        <v>209</v>
      </c>
      <c r="N2491" t="s">
        <v>228</v>
      </c>
      <c r="O2491" t="s">
        <v>6530</v>
      </c>
      <c r="P2491" t="s">
        <v>7443</v>
      </c>
      <c r="Q2491" t="str">
        <f>IF($C2491="","",IFERROR(VLOOKUP($C2491,sources!$A$2:$N$200,2,FALSE()),"?"))</f>
        <v>Newspaper</v>
      </c>
      <c r="S2491" t="str">
        <f>IF($C2491="","",IFERROR(VLOOKUP($C2491,sources!$A$2:$N$200,9,FALSE()),"?"))</f>
        <v>Panamanian</v>
      </c>
    </row>
    <row r="2492" spans="1:19" x14ac:dyDescent="0.2">
      <c r="A2492" t="s">
        <v>7444</v>
      </c>
      <c r="B2492" t="s">
        <v>875</v>
      </c>
      <c r="C2492" t="s">
        <v>1464</v>
      </c>
      <c r="D2492" t="s">
        <v>1666</v>
      </c>
      <c r="E2492" t="s">
        <v>6686</v>
      </c>
      <c r="F2492" t="s">
        <v>1612</v>
      </c>
      <c r="I2492" t="s">
        <v>1077</v>
      </c>
      <c r="M2492" t="s">
        <v>209</v>
      </c>
      <c r="N2492" t="s">
        <v>228</v>
      </c>
      <c r="O2492" t="s">
        <v>6530</v>
      </c>
      <c r="P2492" t="s">
        <v>7445</v>
      </c>
      <c r="Q2492" t="str">
        <f>IF($C2492="","",IFERROR(VLOOKUP($C2492,sources!$A$2:$N$200,2,FALSE()),"?"))</f>
        <v>Newspaper</v>
      </c>
      <c r="S2492" t="str">
        <f>IF($C2492="","",IFERROR(VLOOKUP($C2492,sources!$A$2:$N$200,9,FALSE()),"?"))</f>
        <v>Panamanian</v>
      </c>
    </row>
    <row r="2493" spans="1:19" x14ac:dyDescent="0.2">
      <c r="A2493" t="s">
        <v>7446</v>
      </c>
      <c r="B2493" t="s">
        <v>879</v>
      </c>
      <c r="C2493" t="s">
        <v>1464</v>
      </c>
      <c r="D2493" t="s">
        <v>1599</v>
      </c>
      <c r="E2493" t="s">
        <v>4832</v>
      </c>
      <c r="F2493" t="s">
        <v>1612</v>
      </c>
      <c r="I2493" t="s">
        <v>1077</v>
      </c>
      <c r="K2493">
        <v>1913</v>
      </c>
      <c r="L2493">
        <v>1913</v>
      </c>
      <c r="M2493" t="s">
        <v>228</v>
      </c>
      <c r="N2493" t="s">
        <v>222</v>
      </c>
      <c r="O2493" t="s">
        <v>6530</v>
      </c>
      <c r="P2493" t="s">
        <v>7447</v>
      </c>
      <c r="Q2493" t="str">
        <f>IF($C2493="","",IFERROR(VLOOKUP($C2493,sources!$A$2:$N$200,2,FALSE()),"?"))</f>
        <v>Newspaper</v>
      </c>
      <c r="S2493" t="str">
        <f>IF($C2493="","",IFERROR(VLOOKUP($C2493,sources!$A$2:$N$200,9,FALSE()),"?"))</f>
        <v>Panamanian</v>
      </c>
    </row>
    <row r="2494" spans="1:19" x14ac:dyDescent="0.2">
      <c r="A2494" t="s">
        <v>7448</v>
      </c>
      <c r="B2494" t="s">
        <v>884</v>
      </c>
      <c r="C2494" t="s">
        <v>1464</v>
      </c>
      <c r="D2494" t="s">
        <v>1666</v>
      </c>
      <c r="E2494" t="s">
        <v>4835</v>
      </c>
      <c r="F2494" t="s">
        <v>1612</v>
      </c>
      <c r="I2494" t="s">
        <v>1077</v>
      </c>
      <c r="M2494" t="s">
        <v>209</v>
      </c>
      <c r="N2494" t="s">
        <v>228</v>
      </c>
      <c r="O2494" t="s">
        <v>6530</v>
      </c>
      <c r="P2494" t="s">
        <v>7449</v>
      </c>
      <c r="Q2494" t="str">
        <f>IF($C2494="","",IFERROR(VLOOKUP($C2494,sources!$A$2:$N$200,2,FALSE()),"?"))</f>
        <v>Newspaper</v>
      </c>
      <c r="S2494" t="str">
        <f>IF($C2494="","",IFERROR(VLOOKUP($C2494,sources!$A$2:$N$200,9,FALSE()),"?"))</f>
        <v>Panamanian</v>
      </c>
    </row>
    <row r="2495" spans="1:19" x14ac:dyDescent="0.2">
      <c r="A2495" t="s">
        <v>7450</v>
      </c>
      <c r="B2495" t="s">
        <v>888</v>
      </c>
      <c r="C2495" t="s">
        <v>1464</v>
      </c>
      <c r="D2495" t="s">
        <v>1599</v>
      </c>
      <c r="E2495" t="s">
        <v>6693</v>
      </c>
      <c r="F2495" t="s">
        <v>1612</v>
      </c>
      <c r="I2495" t="s">
        <v>1077</v>
      </c>
      <c r="K2495">
        <v>1906</v>
      </c>
      <c r="L2495">
        <v>1906</v>
      </c>
      <c r="M2495" t="s">
        <v>228</v>
      </c>
      <c r="N2495" t="s">
        <v>228</v>
      </c>
      <c r="O2495" t="s">
        <v>6530</v>
      </c>
      <c r="P2495" t="s">
        <v>7451</v>
      </c>
      <c r="Q2495" t="str">
        <f>IF($C2495="","",IFERROR(VLOOKUP($C2495,sources!$A$2:$N$200,2,FALSE()),"?"))</f>
        <v>Newspaper</v>
      </c>
      <c r="S2495" t="str">
        <f>IF($C2495="","",IFERROR(VLOOKUP($C2495,sources!$A$2:$N$200,9,FALSE()),"?"))</f>
        <v>Panamanian</v>
      </c>
    </row>
    <row r="2496" spans="1:19" x14ac:dyDescent="0.2">
      <c r="A2496" t="s">
        <v>7452</v>
      </c>
      <c r="B2496" t="s">
        <v>892</v>
      </c>
      <c r="C2496" t="s">
        <v>1464</v>
      </c>
      <c r="D2496" t="s">
        <v>1599</v>
      </c>
      <c r="E2496" t="s">
        <v>7117</v>
      </c>
      <c r="F2496" t="s">
        <v>1612</v>
      </c>
      <c r="I2496" t="s">
        <v>1077</v>
      </c>
      <c r="K2496">
        <v>1907</v>
      </c>
      <c r="L2496">
        <v>1907</v>
      </c>
      <c r="M2496" t="s">
        <v>228</v>
      </c>
      <c r="N2496" t="s">
        <v>228</v>
      </c>
      <c r="O2496" t="s">
        <v>6530</v>
      </c>
      <c r="P2496" t="s">
        <v>7453</v>
      </c>
      <c r="Q2496" t="str">
        <f>IF($C2496="","",IFERROR(VLOOKUP($C2496,sources!$A$2:$N$200,2,FALSE()),"?"))</f>
        <v>Newspaper</v>
      </c>
      <c r="S2496" t="str">
        <f>IF($C2496="","",IFERROR(VLOOKUP($C2496,sources!$A$2:$N$200,9,FALSE()),"?"))</f>
        <v>Panamanian</v>
      </c>
    </row>
    <row r="2497" spans="1:19" x14ac:dyDescent="0.2">
      <c r="A2497" t="s">
        <v>7454</v>
      </c>
      <c r="B2497" t="s">
        <v>895</v>
      </c>
      <c r="C2497" t="s">
        <v>1464</v>
      </c>
      <c r="D2497" t="s">
        <v>1599</v>
      </c>
      <c r="E2497" t="s">
        <v>7455</v>
      </c>
      <c r="F2497" t="s">
        <v>1612</v>
      </c>
      <c r="I2497" t="s">
        <v>1077</v>
      </c>
      <c r="K2497">
        <v>1908</v>
      </c>
      <c r="L2497">
        <v>1908</v>
      </c>
      <c r="M2497" t="s">
        <v>228</v>
      </c>
      <c r="N2497" t="s">
        <v>222</v>
      </c>
      <c r="O2497" t="s">
        <v>6530</v>
      </c>
      <c r="P2497" t="s">
        <v>7456</v>
      </c>
      <c r="Q2497" t="str">
        <f>IF($C2497="","",IFERROR(VLOOKUP($C2497,sources!$A$2:$N$200,2,FALSE()),"?"))</f>
        <v>Newspaper</v>
      </c>
      <c r="S2497" t="str">
        <f>IF($C2497="","",IFERROR(VLOOKUP($C2497,sources!$A$2:$N$200,9,FALSE()),"?"))</f>
        <v>Panamanian</v>
      </c>
    </row>
    <row r="2498" spans="1:19" x14ac:dyDescent="0.2">
      <c r="A2498" t="s">
        <v>7457</v>
      </c>
      <c r="B2498" t="s">
        <v>898</v>
      </c>
      <c r="C2498" t="s">
        <v>1464</v>
      </c>
      <c r="D2498" t="s">
        <v>1666</v>
      </c>
      <c r="E2498" t="s">
        <v>6647</v>
      </c>
      <c r="F2498" t="s">
        <v>1612</v>
      </c>
      <c r="I2498" t="s">
        <v>1077</v>
      </c>
      <c r="M2498" t="s">
        <v>209</v>
      </c>
      <c r="N2498" t="s">
        <v>228</v>
      </c>
      <c r="O2498" t="s">
        <v>6530</v>
      </c>
      <c r="P2498" t="s">
        <v>7458</v>
      </c>
      <c r="Q2498" t="str">
        <f>IF($C2498="","",IFERROR(VLOOKUP($C2498,sources!$A$2:$N$200,2,FALSE()),"?"))</f>
        <v>Newspaper</v>
      </c>
      <c r="S2498" t="str">
        <f>IF($C2498="","",IFERROR(VLOOKUP($C2498,sources!$A$2:$N$200,9,FALSE()),"?"))</f>
        <v>Panamanian</v>
      </c>
    </row>
    <row r="2499" spans="1:19" x14ac:dyDescent="0.2">
      <c r="A2499" t="s">
        <v>7459</v>
      </c>
      <c r="B2499" t="s">
        <v>902</v>
      </c>
      <c r="C2499" t="s">
        <v>1464</v>
      </c>
      <c r="D2499" t="s">
        <v>1666</v>
      </c>
      <c r="E2499" t="s">
        <v>903</v>
      </c>
      <c r="F2499" t="s">
        <v>1612</v>
      </c>
      <c r="I2499" t="s">
        <v>1077</v>
      </c>
      <c r="M2499" t="s">
        <v>209</v>
      </c>
      <c r="N2499" t="s">
        <v>228</v>
      </c>
      <c r="O2499" t="s">
        <v>6530</v>
      </c>
      <c r="P2499" t="s">
        <v>7460</v>
      </c>
      <c r="Q2499" t="str">
        <f>IF($C2499="","",IFERROR(VLOOKUP($C2499,sources!$A$2:$N$200,2,FALSE()),"?"))</f>
        <v>Newspaper</v>
      </c>
      <c r="S2499" t="str">
        <f>IF($C2499="","",IFERROR(VLOOKUP($C2499,sources!$A$2:$N$200,9,FALSE()),"?"))</f>
        <v>Panamanian</v>
      </c>
    </row>
    <row r="2500" spans="1:19" x14ac:dyDescent="0.2">
      <c r="A2500" t="s">
        <v>7461</v>
      </c>
      <c r="B2500" t="s">
        <v>907</v>
      </c>
      <c r="C2500" t="s">
        <v>1464</v>
      </c>
      <c r="D2500" t="s">
        <v>1599</v>
      </c>
      <c r="E2500" t="s">
        <v>6568</v>
      </c>
      <c r="F2500" t="s">
        <v>1612</v>
      </c>
      <c r="I2500" t="s">
        <v>1077</v>
      </c>
      <c r="K2500">
        <v>1908</v>
      </c>
      <c r="L2500">
        <v>1908</v>
      </c>
      <c r="M2500" t="s">
        <v>228</v>
      </c>
      <c r="N2500" t="s">
        <v>222</v>
      </c>
      <c r="O2500" t="s">
        <v>6530</v>
      </c>
      <c r="P2500" t="s">
        <v>7462</v>
      </c>
      <c r="Q2500" t="str">
        <f>IF($C2500="","",IFERROR(VLOOKUP($C2500,sources!$A$2:$N$200,2,FALSE()),"?"))</f>
        <v>Newspaper</v>
      </c>
      <c r="S2500" t="str">
        <f>IF($C2500="","",IFERROR(VLOOKUP($C2500,sources!$A$2:$N$200,9,FALSE()),"?"))</f>
        <v>Panamanian</v>
      </c>
    </row>
    <row r="2501" spans="1:19" x14ac:dyDescent="0.2">
      <c r="A2501" t="s">
        <v>7463</v>
      </c>
      <c r="B2501" t="s">
        <v>911</v>
      </c>
      <c r="C2501" t="s">
        <v>1464</v>
      </c>
      <c r="D2501" t="s">
        <v>1666</v>
      </c>
      <c r="E2501" t="s">
        <v>6706</v>
      </c>
      <c r="F2501" t="s">
        <v>1612</v>
      </c>
      <c r="I2501" t="s">
        <v>1077</v>
      </c>
      <c r="M2501" t="s">
        <v>209</v>
      </c>
      <c r="N2501" t="s">
        <v>228</v>
      </c>
      <c r="O2501" t="s">
        <v>6530</v>
      </c>
      <c r="P2501" t="s">
        <v>7464</v>
      </c>
      <c r="Q2501" t="str">
        <f>IF($C2501="","",IFERROR(VLOOKUP($C2501,sources!$A$2:$N$200,2,FALSE()),"?"))</f>
        <v>Newspaper</v>
      </c>
      <c r="S2501" t="str">
        <f>IF($C2501="","",IFERROR(VLOOKUP($C2501,sources!$A$2:$N$200,9,FALSE()),"?"))</f>
        <v>Panamanian</v>
      </c>
    </row>
    <row r="2502" spans="1:19" x14ac:dyDescent="0.2">
      <c r="A2502" t="s">
        <v>7465</v>
      </c>
      <c r="B2502" t="s">
        <v>915</v>
      </c>
      <c r="C2502" t="s">
        <v>1464</v>
      </c>
      <c r="D2502" t="s">
        <v>1666</v>
      </c>
      <c r="E2502" t="s">
        <v>916</v>
      </c>
      <c r="F2502" t="s">
        <v>1612</v>
      </c>
      <c r="I2502" t="s">
        <v>1077</v>
      </c>
      <c r="M2502" t="s">
        <v>209</v>
      </c>
      <c r="N2502" t="s">
        <v>228</v>
      </c>
      <c r="O2502" t="s">
        <v>6530</v>
      </c>
      <c r="P2502" t="s">
        <v>7466</v>
      </c>
      <c r="Q2502" t="str">
        <f>IF($C2502="","",IFERROR(VLOOKUP($C2502,sources!$A$2:$N$200,2,FALSE()),"?"))</f>
        <v>Newspaper</v>
      </c>
      <c r="S2502" t="str">
        <f>IF($C2502="","",IFERROR(VLOOKUP($C2502,sources!$A$2:$N$200,9,FALSE()),"?"))</f>
        <v>Panamanian</v>
      </c>
    </row>
    <row r="2503" spans="1:19" x14ac:dyDescent="0.2">
      <c r="A2503" t="s">
        <v>7467</v>
      </c>
      <c r="B2503" t="s">
        <v>918</v>
      </c>
      <c r="C2503" t="s">
        <v>1464</v>
      </c>
      <c r="D2503" t="s">
        <v>1599</v>
      </c>
      <c r="E2503" t="s">
        <v>7128</v>
      </c>
      <c r="F2503" t="s">
        <v>1612</v>
      </c>
      <c r="I2503" t="s">
        <v>1077</v>
      </c>
      <c r="K2503">
        <v>1908</v>
      </c>
      <c r="L2503">
        <v>1908</v>
      </c>
      <c r="M2503" t="s">
        <v>228</v>
      </c>
      <c r="N2503" t="s">
        <v>222</v>
      </c>
      <c r="O2503" t="s">
        <v>6530</v>
      </c>
      <c r="P2503" t="s">
        <v>7468</v>
      </c>
      <c r="Q2503" t="str">
        <f>IF($C2503="","",IFERROR(VLOOKUP($C2503,sources!$A$2:$N$200,2,FALSE()),"?"))</f>
        <v>Newspaper</v>
      </c>
      <c r="S2503" t="str">
        <f>IF($C2503="","",IFERROR(VLOOKUP($C2503,sources!$A$2:$N$200,9,FALSE()),"?"))</f>
        <v>Panamanian</v>
      </c>
    </row>
    <row r="2504" spans="1:19" x14ac:dyDescent="0.2">
      <c r="A2504" t="s">
        <v>7469</v>
      </c>
      <c r="B2504" t="s">
        <v>921</v>
      </c>
      <c r="C2504" t="s">
        <v>1464</v>
      </c>
      <c r="D2504" t="s">
        <v>1599</v>
      </c>
      <c r="E2504" t="s">
        <v>922</v>
      </c>
      <c r="F2504" t="s">
        <v>1612</v>
      </c>
      <c r="I2504" t="s">
        <v>1077</v>
      </c>
      <c r="K2504">
        <v>1908</v>
      </c>
      <c r="L2504">
        <v>1908</v>
      </c>
      <c r="M2504" t="s">
        <v>228</v>
      </c>
      <c r="N2504" t="s">
        <v>222</v>
      </c>
      <c r="O2504" t="s">
        <v>6530</v>
      </c>
      <c r="P2504" t="s">
        <v>7470</v>
      </c>
      <c r="Q2504" t="str">
        <f>IF($C2504="","",IFERROR(VLOOKUP($C2504,sources!$A$2:$N$200,2,FALSE()),"?"))</f>
        <v>Newspaper</v>
      </c>
      <c r="S2504" t="str">
        <f>IF($C2504="","",IFERROR(VLOOKUP($C2504,sources!$A$2:$N$200,9,FALSE()),"?"))</f>
        <v>Panamanian</v>
      </c>
    </row>
    <row r="2505" spans="1:19" x14ac:dyDescent="0.2">
      <c r="A2505" t="s">
        <v>7471</v>
      </c>
      <c r="B2505" t="s">
        <v>925</v>
      </c>
      <c r="C2505" t="s">
        <v>1464</v>
      </c>
      <c r="D2505" t="s">
        <v>1666</v>
      </c>
      <c r="E2505" t="s">
        <v>927</v>
      </c>
      <c r="F2505" t="s">
        <v>1612</v>
      </c>
      <c r="I2505" t="s">
        <v>1077</v>
      </c>
      <c r="M2505" t="s">
        <v>209</v>
      </c>
      <c r="N2505" t="s">
        <v>228</v>
      </c>
      <c r="O2505" t="s">
        <v>6530</v>
      </c>
      <c r="P2505" t="s">
        <v>7472</v>
      </c>
      <c r="Q2505" t="str">
        <f>IF($C2505="","",IFERROR(VLOOKUP($C2505,sources!$A$2:$N$200,2,FALSE()),"?"))</f>
        <v>Newspaper</v>
      </c>
      <c r="S2505" t="str">
        <f>IF($C2505="","",IFERROR(VLOOKUP($C2505,sources!$A$2:$N$200,9,FALSE()),"?"))</f>
        <v>Panamanian</v>
      </c>
    </row>
    <row r="2506" spans="1:19" x14ac:dyDescent="0.2">
      <c r="A2506" t="s">
        <v>7473</v>
      </c>
      <c r="B2506" t="s">
        <v>929</v>
      </c>
      <c r="C2506" t="s">
        <v>1464</v>
      </c>
      <c r="D2506" t="s">
        <v>1599</v>
      </c>
      <c r="E2506" t="s">
        <v>7474</v>
      </c>
      <c r="F2506" t="s">
        <v>1612</v>
      </c>
      <c r="I2506" t="s">
        <v>1077</v>
      </c>
      <c r="M2506" t="s">
        <v>209</v>
      </c>
      <c r="N2506" t="s">
        <v>209</v>
      </c>
      <c r="O2506" t="s">
        <v>6530</v>
      </c>
      <c r="P2506" t="s">
        <v>7475</v>
      </c>
      <c r="Q2506" t="str">
        <f>IF($C2506="","",IFERROR(VLOOKUP($C2506,sources!$A$2:$N$200,2,FALSE()),"?"))</f>
        <v>Newspaper</v>
      </c>
      <c r="S2506" t="str">
        <f>IF($C2506="","",IFERROR(VLOOKUP($C2506,sources!$A$2:$N$200,9,FALSE()),"?"))</f>
        <v>Panamanian</v>
      </c>
    </row>
    <row r="2507" spans="1:19" x14ac:dyDescent="0.2">
      <c r="A2507" t="s">
        <v>7476</v>
      </c>
      <c r="B2507" t="s">
        <v>933</v>
      </c>
      <c r="C2507" t="s">
        <v>1464</v>
      </c>
      <c r="D2507" t="s">
        <v>1666</v>
      </c>
      <c r="E2507" t="s">
        <v>934</v>
      </c>
      <c r="F2507" t="s">
        <v>1612</v>
      </c>
      <c r="I2507" t="s">
        <v>1077</v>
      </c>
      <c r="M2507" t="s">
        <v>209</v>
      </c>
      <c r="N2507" t="s">
        <v>228</v>
      </c>
      <c r="O2507" t="s">
        <v>6530</v>
      </c>
      <c r="P2507" t="s">
        <v>7477</v>
      </c>
      <c r="Q2507" t="str">
        <f>IF($C2507="","",IFERROR(VLOOKUP($C2507,sources!$A$2:$N$200,2,FALSE()),"?"))</f>
        <v>Newspaper</v>
      </c>
      <c r="S2507" t="str">
        <f>IF($C2507="","",IFERROR(VLOOKUP($C2507,sources!$A$2:$N$200,9,FALSE()),"?"))</f>
        <v>Panamanian</v>
      </c>
    </row>
    <row r="2508" spans="1:19" x14ac:dyDescent="0.2">
      <c r="A2508" t="s">
        <v>7478</v>
      </c>
      <c r="B2508" t="s">
        <v>936</v>
      </c>
      <c r="C2508" t="s">
        <v>1464</v>
      </c>
      <c r="D2508" t="s">
        <v>1599</v>
      </c>
      <c r="E2508" t="s">
        <v>937</v>
      </c>
      <c r="F2508" t="s">
        <v>1612</v>
      </c>
      <c r="I2508" t="s">
        <v>1077</v>
      </c>
      <c r="M2508" t="s">
        <v>209</v>
      </c>
      <c r="N2508" t="s">
        <v>209</v>
      </c>
      <c r="O2508" t="s">
        <v>6530</v>
      </c>
      <c r="P2508" t="s">
        <v>7479</v>
      </c>
      <c r="Q2508" t="str">
        <f>IF($C2508="","",IFERROR(VLOOKUP($C2508,sources!$A$2:$N$200,2,FALSE()),"?"))</f>
        <v>Newspaper</v>
      </c>
      <c r="S2508" t="str">
        <f>IF($C2508="","",IFERROR(VLOOKUP($C2508,sources!$A$2:$N$200,9,FALSE()),"?"))</f>
        <v>Panamanian</v>
      </c>
    </row>
    <row r="2509" spans="1:19" x14ac:dyDescent="0.2">
      <c r="A2509" t="s">
        <v>7480</v>
      </c>
      <c r="B2509" t="s">
        <v>939</v>
      </c>
      <c r="C2509" t="s">
        <v>1464</v>
      </c>
      <c r="D2509" t="s">
        <v>1599</v>
      </c>
      <c r="E2509" t="s">
        <v>940</v>
      </c>
      <c r="F2509" t="s">
        <v>1612</v>
      </c>
      <c r="I2509" t="s">
        <v>1077</v>
      </c>
      <c r="M2509" t="s">
        <v>209</v>
      </c>
      <c r="N2509" t="s">
        <v>209</v>
      </c>
      <c r="O2509" t="s">
        <v>6530</v>
      </c>
      <c r="P2509" t="s">
        <v>7481</v>
      </c>
      <c r="Q2509" t="str">
        <f>IF($C2509="","",IFERROR(VLOOKUP($C2509,sources!$A$2:$N$200,2,FALSE()),"?"))</f>
        <v>Newspaper</v>
      </c>
      <c r="S2509" t="str">
        <f>IF($C2509="","",IFERROR(VLOOKUP($C2509,sources!$A$2:$N$200,9,FALSE()),"?"))</f>
        <v>Panamanian</v>
      </c>
    </row>
    <row r="2510" spans="1:19" x14ac:dyDescent="0.2">
      <c r="A2510" t="s">
        <v>7482</v>
      </c>
      <c r="B2510" t="s">
        <v>943</v>
      </c>
      <c r="C2510" t="s">
        <v>1464</v>
      </c>
      <c r="D2510" t="s">
        <v>1599</v>
      </c>
      <c r="E2510" t="s">
        <v>7483</v>
      </c>
      <c r="F2510" t="s">
        <v>1612</v>
      </c>
      <c r="I2510" t="s">
        <v>1077</v>
      </c>
      <c r="M2510" t="s">
        <v>209</v>
      </c>
      <c r="N2510" t="s">
        <v>209</v>
      </c>
      <c r="O2510" t="s">
        <v>6530</v>
      </c>
      <c r="P2510" t="s">
        <v>7484</v>
      </c>
      <c r="Q2510" t="str">
        <f>IF($C2510="","",IFERROR(VLOOKUP($C2510,sources!$A$2:$N$200,2,FALSE()),"?"))</f>
        <v>Newspaper</v>
      </c>
      <c r="S2510" t="str">
        <f>IF($C2510="","",IFERROR(VLOOKUP($C2510,sources!$A$2:$N$200,9,FALSE()),"?"))</f>
        <v>Panamanian</v>
      </c>
    </row>
    <row r="2511" spans="1:19" x14ac:dyDescent="0.2">
      <c r="A2511" t="s">
        <v>7485</v>
      </c>
      <c r="B2511" t="s">
        <v>951</v>
      </c>
      <c r="C2511" t="s">
        <v>1464</v>
      </c>
      <c r="D2511" t="s">
        <v>1599</v>
      </c>
      <c r="E2511" t="s">
        <v>953</v>
      </c>
      <c r="F2511" t="s">
        <v>1612</v>
      </c>
      <c r="I2511" t="s">
        <v>1077</v>
      </c>
      <c r="K2511">
        <v>1905</v>
      </c>
      <c r="L2511">
        <v>1905</v>
      </c>
      <c r="M2511" t="s">
        <v>228</v>
      </c>
      <c r="N2511" t="s">
        <v>222</v>
      </c>
      <c r="O2511" t="s">
        <v>6530</v>
      </c>
      <c r="P2511" t="s">
        <v>7486</v>
      </c>
      <c r="Q2511" t="str">
        <f>IF($C2511="","",IFERROR(VLOOKUP($C2511,sources!$A$2:$N$200,2,FALSE()),"?"))</f>
        <v>Newspaper</v>
      </c>
      <c r="S2511" t="str">
        <f>IF($C2511="","",IFERROR(VLOOKUP($C2511,sources!$A$2:$N$200,9,FALSE()),"?"))</f>
        <v>Panamanian</v>
      </c>
    </row>
    <row r="2512" spans="1:19" x14ac:dyDescent="0.2">
      <c r="A2512" t="s">
        <v>7487</v>
      </c>
      <c r="B2512" t="s">
        <v>957</v>
      </c>
      <c r="C2512" t="s">
        <v>1464</v>
      </c>
      <c r="D2512" t="s">
        <v>1599</v>
      </c>
      <c r="E2512" t="s">
        <v>958</v>
      </c>
      <c r="F2512" t="s">
        <v>1612</v>
      </c>
      <c r="I2512" t="s">
        <v>1077</v>
      </c>
      <c r="K2512">
        <v>1905</v>
      </c>
      <c r="L2512">
        <v>1905</v>
      </c>
      <c r="M2512" t="s">
        <v>228</v>
      </c>
      <c r="N2512" t="s">
        <v>222</v>
      </c>
      <c r="O2512" t="s">
        <v>6530</v>
      </c>
      <c r="P2512" t="s">
        <v>7488</v>
      </c>
      <c r="Q2512" t="str">
        <f>IF($C2512="","",IFERROR(VLOOKUP($C2512,sources!$A$2:$N$200,2,FALSE()),"?"))</f>
        <v>Newspaper</v>
      </c>
      <c r="S2512" t="str">
        <f>IF($C2512="","",IFERROR(VLOOKUP($C2512,sources!$A$2:$N$200,9,FALSE()),"?"))</f>
        <v>Panamanian</v>
      </c>
    </row>
    <row r="2513" spans="1:19" x14ac:dyDescent="0.2">
      <c r="A2513" t="s">
        <v>7489</v>
      </c>
      <c r="B2513" t="s">
        <v>962</v>
      </c>
      <c r="C2513" t="s">
        <v>1464</v>
      </c>
      <c r="D2513" t="s">
        <v>1599</v>
      </c>
      <c r="E2513" t="s">
        <v>6160</v>
      </c>
      <c r="F2513" t="s">
        <v>1612</v>
      </c>
      <c r="I2513" t="s">
        <v>1077</v>
      </c>
      <c r="K2513">
        <v>1904</v>
      </c>
      <c r="L2513">
        <v>1904</v>
      </c>
      <c r="M2513" t="s">
        <v>228</v>
      </c>
      <c r="N2513" t="s">
        <v>222</v>
      </c>
      <c r="O2513" t="s">
        <v>6530</v>
      </c>
      <c r="P2513" t="s">
        <v>7490</v>
      </c>
      <c r="Q2513" t="str">
        <f>IF($C2513="","",IFERROR(VLOOKUP($C2513,sources!$A$2:$N$200,2,FALSE()),"?"))</f>
        <v>Newspaper</v>
      </c>
      <c r="S2513" t="str">
        <f>IF($C2513="","",IFERROR(VLOOKUP($C2513,sources!$A$2:$N$200,9,FALSE()),"?"))</f>
        <v>Panamanian</v>
      </c>
    </row>
    <row r="2514" spans="1:19" x14ac:dyDescent="0.2">
      <c r="A2514" t="s">
        <v>7491</v>
      </c>
      <c r="B2514" t="s">
        <v>966</v>
      </c>
      <c r="C2514" t="s">
        <v>1464</v>
      </c>
      <c r="D2514" t="s">
        <v>1599</v>
      </c>
      <c r="E2514" t="s">
        <v>7492</v>
      </c>
      <c r="F2514" t="s">
        <v>1612</v>
      </c>
      <c r="I2514" t="s">
        <v>1077</v>
      </c>
      <c r="K2514">
        <v>1906</v>
      </c>
      <c r="L2514">
        <v>1906</v>
      </c>
      <c r="M2514" t="s">
        <v>228</v>
      </c>
      <c r="N2514" t="s">
        <v>228</v>
      </c>
      <c r="O2514" t="s">
        <v>6530</v>
      </c>
      <c r="P2514" t="s">
        <v>7493</v>
      </c>
      <c r="Q2514" t="str">
        <f>IF($C2514="","",IFERROR(VLOOKUP($C2514,sources!$A$2:$N$200,2,FALSE()),"?"))</f>
        <v>Newspaper</v>
      </c>
      <c r="S2514" t="str">
        <f>IF($C2514="","",IFERROR(VLOOKUP($C2514,sources!$A$2:$N$200,9,FALSE()),"?"))</f>
        <v>Panamanian</v>
      </c>
    </row>
    <row r="2515" spans="1:19" x14ac:dyDescent="0.2">
      <c r="A2515" t="s">
        <v>7494</v>
      </c>
      <c r="B2515" t="s">
        <v>955</v>
      </c>
      <c r="C2515" t="s">
        <v>1464</v>
      </c>
      <c r="D2515" t="s">
        <v>1599</v>
      </c>
      <c r="E2515" t="s">
        <v>6737</v>
      </c>
      <c r="F2515" t="s">
        <v>1612</v>
      </c>
      <c r="I2515" t="s">
        <v>1077</v>
      </c>
      <c r="K2515">
        <v>1904</v>
      </c>
      <c r="L2515">
        <v>1904</v>
      </c>
      <c r="M2515" t="s">
        <v>228</v>
      </c>
      <c r="N2515" t="s">
        <v>222</v>
      </c>
      <c r="O2515" t="s">
        <v>6530</v>
      </c>
      <c r="P2515" t="s">
        <v>7495</v>
      </c>
      <c r="Q2515" t="str">
        <f>IF($C2515="","",IFERROR(VLOOKUP($C2515,sources!$A$2:$N$200,2,FALSE()),"?"))</f>
        <v>Newspaper</v>
      </c>
      <c r="S2515" t="str">
        <f>IF($C2515="","",IFERROR(VLOOKUP($C2515,sources!$A$2:$N$200,9,FALSE()),"?"))</f>
        <v>Panamanian</v>
      </c>
    </row>
    <row r="2516" spans="1:19" x14ac:dyDescent="0.2">
      <c r="A2516" t="s">
        <v>7496</v>
      </c>
      <c r="B2516" t="s">
        <v>974</v>
      </c>
      <c r="C2516" t="s">
        <v>1464</v>
      </c>
      <c r="D2516" t="s">
        <v>1599</v>
      </c>
      <c r="E2516" t="s">
        <v>7497</v>
      </c>
      <c r="F2516" t="s">
        <v>1612</v>
      </c>
      <c r="I2516" t="s">
        <v>1077</v>
      </c>
      <c r="K2516">
        <v>1904</v>
      </c>
      <c r="L2516">
        <v>1904</v>
      </c>
      <c r="M2516" t="s">
        <v>228</v>
      </c>
      <c r="N2516" t="s">
        <v>228</v>
      </c>
      <c r="O2516" t="s">
        <v>6530</v>
      </c>
      <c r="P2516" t="s">
        <v>7498</v>
      </c>
      <c r="Q2516" t="str">
        <f>IF($C2516="","",IFERROR(VLOOKUP($C2516,sources!$A$2:$N$200,2,FALSE()),"?"))</f>
        <v>Newspaper</v>
      </c>
      <c r="S2516" t="str">
        <f>IF($C2516="","",IFERROR(VLOOKUP($C2516,sources!$A$2:$N$200,9,FALSE()),"?"))</f>
        <v>Panamanian</v>
      </c>
    </row>
    <row r="2517" spans="1:19" x14ac:dyDescent="0.2">
      <c r="A2517" t="s">
        <v>7499</v>
      </c>
      <c r="B2517" t="s">
        <v>981</v>
      </c>
      <c r="C2517" t="s">
        <v>1464</v>
      </c>
      <c r="D2517" t="s">
        <v>1599</v>
      </c>
      <c r="E2517" t="s">
        <v>982</v>
      </c>
      <c r="F2517" t="s">
        <v>1612</v>
      </c>
      <c r="I2517" t="s">
        <v>1077</v>
      </c>
      <c r="K2517">
        <v>1904</v>
      </c>
      <c r="L2517">
        <v>1904</v>
      </c>
      <c r="M2517" t="s">
        <v>228</v>
      </c>
      <c r="N2517" t="s">
        <v>222</v>
      </c>
      <c r="O2517" t="s">
        <v>6530</v>
      </c>
      <c r="P2517" t="s">
        <v>7500</v>
      </c>
      <c r="Q2517" t="str">
        <f>IF($C2517="","",IFERROR(VLOOKUP($C2517,sources!$A$2:$N$200,2,FALSE()),"?"))</f>
        <v>Newspaper</v>
      </c>
      <c r="S2517" t="str">
        <f>IF($C2517="","",IFERROR(VLOOKUP($C2517,sources!$A$2:$N$200,9,FALSE()),"?"))</f>
        <v>Panamanian</v>
      </c>
    </row>
    <row r="2518" spans="1:19" x14ac:dyDescent="0.2">
      <c r="A2518" t="s">
        <v>7501</v>
      </c>
      <c r="B2518" t="s">
        <v>990</v>
      </c>
      <c r="C2518" t="s">
        <v>1464</v>
      </c>
      <c r="D2518" t="s">
        <v>1599</v>
      </c>
      <c r="E2518" t="s">
        <v>6619</v>
      </c>
      <c r="F2518" t="s">
        <v>1612</v>
      </c>
      <c r="I2518" t="s">
        <v>1077</v>
      </c>
      <c r="K2518">
        <v>1905</v>
      </c>
      <c r="L2518">
        <v>1905</v>
      </c>
      <c r="M2518" t="s">
        <v>228</v>
      </c>
      <c r="N2518" t="s">
        <v>222</v>
      </c>
      <c r="O2518" t="s">
        <v>6530</v>
      </c>
      <c r="P2518" t="s">
        <v>7502</v>
      </c>
      <c r="Q2518" t="str">
        <f>IF($C2518="","",IFERROR(VLOOKUP($C2518,sources!$A$2:$N$200,2,FALSE()),"?"))</f>
        <v>Newspaper</v>
      </c>
      <c r="S2518" t="str">
        <f>IF($C2518="","",IFERROR(VLOOKUP($C2518,sources!$A$2:$N$200,9,FALSE()),"?"))</f>
        <v>Panamanian</v>
      </c>
    </row>
    <row r="2519" spans="1:19" x14ac:dyDescent="0.2">
      <c r="A2519" t="s">
        <v>7503</v>
      </c>
      <c r="B2519" t="s">
        <v>993</v>
      </c>
      <c r="C2519" t="s">
        <v>1464</v>
      </c>
      <c r="D2519" t="s">
        <v>1666</v>
      </c>
      <c r="E2519" t="s">
        <v>6622</v>
      </c>
      <c r="F2519" t="s">
        <v>1612</v>
      </c>
      <c r="I2519" t="s">
        <v>1077</v>
      </c>
      <c r="M2519" t="s">
        <v>209</v>
      </c>
      <c r="N2519" t="s">
        <v>228</v>
      </c>
      <c r="O2519" t="s">
        <v>6530</v>
      </c>
      <c r="P2519" t="s">
        <v>7504</v>
      </c>
      <c r="Q2519" t="str">
        <f>IF($C2519="","",IFERROR(VLOOKUP($C2519,sources!$A$2:$N$200,2,FALSE()),"?"))</f>
        <v>Newspaper</v>
      </c>
      <c r="S2519" t="str">
        <f>IF($C2519="","",IFERROR(VLOOKUP($C2519,sources!$A$2:$N$200,9,FALSE()),"?"))</f>
        <v>Panamanian</v>
      </c>
    </row>
    <row r="2520" spans="1:19" x14ac:dyDescent="0.2">
      <c r="A2520" t="s">
        <v>7505</v>
      </c>
      <c r="B2520" t="s">
        <v>998</v>
      </c>
      <c r="C2520" t="s">
        <v>1464</v>
      </c>
      <c r="D2520" t="s">
        <v>1666</v>
      </c>
      <c r="E2520" t="s">
        <v>1000</v>
      </c>
      <c r="F2520" t="s">
        <v>1612</v>
      </c>
      <c r="I2520" t="s">
        <v>1077</v>
      </c>
      <c r="M2520" t="s">
        <v>209</v>
      </c>
      <c r="N2520" t="s">
        <v>228</v>
      </c>
      <c r="O2520" t="s">
        <v>6530</v>
      </c>
      <c r="P2520" t="s">
        <v>7506</v>
      </c>
      <c r="Q2520" t="str">
        <f>IF($C2520="","",IFERROR(VLOOKUP($C2520,sources!$A$2:$N$200,2,FALSE()),"?"))</f>
        <v>Newspaper</v>
      </c>
      <c r="S2520" t="str">
        <f>IF($C2520="","",IFERROR(VLOOKUP($C2520,sources!$A$2:$N$200,9,FALSE()),"?"))</f>
        <v>Panamanian</v>
      </c>
    </row>
    <row r="2521" spans="1:19" x14ac:dyDescent="0.2">
      <c r="A2521" t="s">
        <v>7507</v>
      </c>
      <c r="B2521" t="s">
        <v>1002</v>
      </c>
      <c r="C2521" t="s">
        <v>1464</v>
      </c>
      <c r="D2521" t="s">
        <v>1599</v>
      </c>
      <c r="E2521" t="s">
        <v>1004</v>
      </c>
      <c r="F2521" t="s">
        <v>1612</v>
      </c>
      <c r="I2521" t="s">
        <v>1077</v>
      </c>
      <c r="K2521">
        <v>1912</v>
      </c>
      <c r="L2521">
        <v>1912</v>
      </c>
      <c r="M2521" t="s">
        <v>228</v>
      </c>
      <c r="N2521" t="s">
        <v>222</v>
      </c>
      <c r="O2521" t="s">
        <v>6530</v>
      </c>
      <c r="P2521" t="s">
        <v>7508</v>
      </c>
      <c r="Q2521" t="str">
        <f>IF($C2521="","",IFERROR(VLOOKUP($C2521,sources!$A$2:$N$200,2,FALSE()),"?"))</f>
        <v>Newspaper</v>
      </c>
      <c r="S2521" t="str">
        <f>IF($C2521="","",IFERROR(VLOOKUP($C2521,sources!$A$2:$N$200,9,FALSE()),"?"))</f>
        <v>Panamanian</v>
      </c>
    </row>
    <row r="2522" spans="1:19" x14ac:dyDescent="0.2">
      <c r="A2522" t="s">
        <v>7509</v>
      </c>
      <c r="B2522" t="s">
        <v>1013</v>
      </c>
      <c r="C2522" t="s">
        <v>1464</v>
      </c>
      <c r="D2522" t="s">
        <v>1599</v>
      </c>
      <c r="E2522" t="s">
        <v>1014</v>
      </c>
      <c r="F2522" t="s">
        <v>1612</v>
      </c>
      <c r="I2522" t="s">
        <v>1077</v>
      </c>
      <c r="K2522">
        <v>1910</v>
      </c>
      <c r="L2522">
        <v>1910</v>
      </c>
      <c r="M2522" t="s">
        <v>228</v>
      </c>
      <c r="N2522" t="s">
        <v>222</v>
      </c>
      <c r="O2522" t="s">
        <v>6530</v>
      </c>
      <c r="P2522" t="s">
        <v>7510</v>
      </c>
      <c r="Q2522" t="str">
        <f>IF($C2522="","",IFERROR(VLOOKUP($C2522,sources!$A$2:$N$200,2,FALSE()),"?"))</f>
        <v>Newspaper</v>
      </c>
      <c r="S2522" t="str">
        <f>IF($C2522="","",IFERROR(VLOOKUP($C2522,sources!$A$2:$N$200,9,FALSE()),"?"))</f>
        <v>Panamanian</v>
      </c>
    </row>
    <row r="2523" spans="1:19" x14ac:dyDescent="0.2">
      <c r="A2523" t="s">
        <v>7511</v>
      </c>
      <c r="B2523" t="s">
        <v>1016</v>
      </c>
      <c r="C2523" t="s">
        <v>1464</v>
      </c>
      <c r="D2523" t="s">
        <v>1599</v>
      </c>
      <c r="E2523" t="s">
        <v>6634</v>
      </c>
      <c r="F2523" t="s">
        <v>1612</v>
      </c>
      <c r="I2523" t="s">
        <v>1077</v>
      </c>
      <c r="K2523">
        <v>1909</v>
      </c>
      <c r="L2523">
        <v>1909</v>
      </c>
      <c r="M2523" t="s">
        <v>228</v>
      </c>
      <c r="N2523" t="s">
        <v>222</v>
      </c>
      <c r="O2523" t="s">
        <v>6530</v>
      </c>
      <c r="P2523" t="s">
        <v>7512</v>
      </c>
      <c r="Q2523" t="str">
        <f>IF($C2523="","",IFERROR(VLOOKUP($C2523,sources!$A$2:$N$200,2,FALSE()),"?"))</f>
        <v>Newspaper</v>
      </c>
      <c r="S2523" t="str">
        <f>IF($C2523="","",IFERROR(VLOOKUP($C2523,sources!$A$2:$N$200,9,FALSE()),"?"))</f>
        <v>Panamanian</v>
      </c>
    </row>
    <row r="2524" spans="1:19" x14ac:dyDescent="0.2">
      <c r="A2524" t="s">
        <v>7513</v>
      </c>
      <c r="B2524" t="s">
        <v>1021</v>
      </c>
      <c r="C2524" t="s">
        <v>1464</v>
      </c>
      <c r="D2524" t="s">
        <v>1666</v>
      </c>
      <c r="E2524" t="s">
        <v>1022</v>
      </c>
      <c r="F2524" t="s">
        <v>1612</v>
      </c>
      <c r="I2524" t="s">
        <v>1077</v>
      </c>
      <c r="M2524" t="s">
        <v>209</v>
      </c>
      <c r="N2524" t="s">
        <v>228</v>
      </c>
      <c r="O2524" t="s">
        <v>6530</v>
      </c>
      <c r="P2524" t="s">
        <v>7514</v>
      </c>
      <c r="Q2524" t="str">
        <f>IF($C2524="","",IFERROR(VLOOKUP($C2524,sources!$A$2:$N$200,2,FALSE()),"?"))</f>
        <v>Newspaper</v>
      </c>
      <c r="S2524" t="str">
        <f>IF($C2524="","",IFERROR(VLOOKUP($C2524,sources!$A$2:$N$200,9,FALSE()),"?"))</f>
        <v>Panamanian</v>
      </c>
    </row>
    <row r="2525" spans="1:19" x14ac:dyDescent="0.2">
      <c r="A2525" t="s">
        <v>7515</v>
      </c>
      <c r="B2525" t="s">
        <v>1031</v>
      </c>
      <c r="C2525" t="s">
        <v>1464</v>
      </c>
      <c r="D2525" t="s">
        <v>1599</v>
      </c>
      <c r="E2525" t="s">
        <v>1032</v>
      </c>
      <c r="F2525" t="s">
        <v>1612</v>
      </c>
      <c r="I2525" t="s">
        <v>1077</v>
      </c>
      <c r="M2525" t="s">
        <v>228</v>
      </c>
      <c r="N2525" t="s">
        <v>209</v>
      </c>
      <c r="O2525" t="s">
        <v>6530</v>
      </c>
      <c r="P2525" t="s">
        <v>7516</v>
      </c>
      <c r="Q2525" t="str">
        <f>IF($C2525="","",IFERROR(VLOOKUP($C2525,sources!$A$2:$N$200,2,FALSE()),"?"))</f>
        <v>Newspaper</v>
      </c>
      <c r="S2525" t="str">
        <f>IF($C2525="","",IFERROR(VLOOKUP($C2525,sources!$A$2:$N$200,9,FALSE()),"?"))</f>
        <v>Panamanian</v>
      </c>
    </row>
    <row r="2526" spans="1:19" x14ac:dyDescent="0.2">
      <c r="A2526" t="s">
        <v>7517</v>
      </c>
      <c r="B2526" t="s">
        <v>1036</v>
      </c>
      <c r="C2526" t="s">
        <v>1464</v>
      </c>
      <c r="D2526" t="s">
        <v>1599</v>
      </c>
      <c r="E2526" t="s">
        <v>1037</v>
      </c>
      <c r="F2526" t="s">
        <v>1612</v>
      </c>
      <c r="I2526" t="s">
        <v>1077</v>
      </c>
      <c r="M2526" t="s">
        <v>209</v>
      </c>
      <c r="N2526" t="s">
        <v>209</v>
      </c>
      <c r="O2526" t="s">
        <v>6530</v>
      </c>
      <c r="P2526" t="s">
        <v>7518</v>
      </c>
      <c r="Q2526" t="str">
        <f>IF($C2526="","",IFERROR(VLOOKUP($C2526,sources!$A$2:$N$200,2,FALSE()),"?"))</f>
        <v>Newspaper</v>
      </c>
      <c r="S2526" t="str">
        <f>IF($C2526="","",IFERROR(VLOOKUP($C2526,sources!$A$2:$N$200,9,FALSE()),"?"))</f>
        <v>Panamanian</v>
      </c>
    </row>
    <row r="2527" spans="1:19" x14ac:dyDescent="0.2">
      <c r="A2527" t="s">
        <v>7519</v>
      </c>
      <c r="B2527" t="s">
        <v>1040</v>
      </c>
      <c r="C2527" t="s">
        <v>1464</v>
      </c>
      <c r="D2527" t="s">
        <v>1599</v>
      </c>
      <c r="E2527" t="s">
        <v>1041</v>
      </c>
      <c r="F2527" t="s">
        <v>1612</v>
      </c>
      <c r="I2527" t="s">
        <v>1077</v>
      </c>
      <c r="M2527" t="s">
        <v>228</v>
      </c>
      <c r="N2527" t="s">
        <v>209</v>
      </c>
      <c r="O2527" t="s">
        <v>6530</v>
      </c>
      <c r="P2527" t="s">
        <v>7520</v>
      </c>
      <c r="Q2527" t="str">
        <f>IF($C2527="","",IFERROR(VLOOKUP($C2527,sources!$A$2:$N$200,2,FALSE()),"?"))</f>
        <v>Newspaper</v>
      </c>
      <c r="S2527" t="str">
        <f>IF($C2527="","",IFERROR(VLOOKUP($C2527,sources!$A$2:$N$200,9,FALSE()),"?"))</f>
        <v>Panamanian</v>
      </c>
    </row>
    <row r="2528" spans="1:19" x14ac:dyDescent="0.2">
      <c r="A2528" t="s">
        <v>7521</v>
      </c>
      <c r="B2528" t="s">
        <v>802</v>
      </c>
      <c r="C2528" t="s">
        <v>1222</v>
      </c>
      <c r="D2528" t="s">
        <v>1666</v>
      </c>
      <c r="E2528" t="s">
        <v>803</v>
      </c>
      <c r="F2528" t="s">
        <v>1612</v>
      </c>
      <c r="I2528" t="s">
        <v>1077</v>
      </c>
      <c r="M2528" t="s">
        <v>209</v>
      </c>
      <c r="N2528" t="s">
        <v>228</v>
      </c>
      <c r="O2528" t="s">
        <v>6530</v>
      </c>
      <c r="P2528" t="s">
        <v>7522</v>
      </c>
      <c r="Q2528" t="str">
        <f>IF($C2528="","",IFERROR(VLOOKUP($C2528,sources!$A$2:$N$200,2,FALSE()),"?"))</f>
        <v>Newspaper</v>
      </c>
      <c r="S2528" t="str">
        <f>IF($C2528="","",IFERROR(VLOOKUP($C2528,sources!$A$2:$N$200,9,FALSE()),"?"))</f>
        <v>US press</v>
      </c>
    </row>
    <row r="2529" spans="1:19" x14ac:dyDescent="0.2">
      <c r="A2529" t="s">
        <v>7523</v>
      </c>
      <c r="B2529" t="s">
        <v>805</v>
      </c>
      <c r="C2529" t="s">
        <v>1222</v>
      </c>
      <c r="D2529" t="s">
        <v>1599</v>
      </c>
      <c r="E2529" t="s">
        <v>806</v>
      </c>
      <c r="F2529" t="s">
        <v>1612</v>
      </c>
      <c r="I2529" t="s">
        <v>1077</v>
      </c>
      <c r="M2529" t="s">
        <v>209</v>
      </c>
      <c r="N2529" t="s">
        <v>209</v>
      </c>
      <c r="O2529" t="s">
        <v>6530</v>
      </c>
      <c r="P2529" t="s">
        <v>7524</v>
      </c>
      <c r="Q2529" t="str">
        <f>IF($C2529="","",IFERROR(VLOOKUP($C2529,sources!$A$2:$N$200,2,FALSE()),"?"))</f>
        <v>Newspaper</v>
      </c>
      <c r="S2529" t="str">
        <f>IF($C2529="","",IFERROR(VLOOKUP($C2529,sources!$A$2:$N$200,9,FALSE()),"?"))</f>
        <v>US press</v>
      </c>
    </row>
    <row r="2530" spans="1:19" x14ac:dyDescent="0.2">
      <c r="A2530" t="s">
        <v>7525</v>
      </c>
      <c r="B2530" t="s">
        <v>810</v>
      </c>
      <c r="C2530" t="s">
        <v>1222</v>
      </c>
      <c r="D2530" t="s">
        <v>1599</v>
      </c>
      <c r="E2530" t="s">
        <v>7415</v>
      </c>
      <c r="F2530" t="s">
        <v>1612</v>
      </c>
      <c r="I2530" t="s">
        <v>1077</v>
      </c>
      <c r="M2530" t="s">
        <v>209</v>
      </c>
      <c r="N2530" t="s">
        <v>209</v>
      </c>
      <c r="O2530" t="s">
        <v>6530</v>
      </c>
      <c r="P2530" t="s">
        <v>7526</v>
      </c>
      <c r="Q2530" t="str">
        <f>IF($C2530="","",IFERROR(VLOOKUP($C2530,sources!$A$2:$N$200,2,FALSE()),"?"))</f>
        <v>Newspaper</v>
      </c>
      <c r="S2530" t="str">
        <f>IF($C2530="","",IFERROR(VLOOKUP($C2530,sources!$A$2:$N$200,9,FALSE()),"?"))</f>
        <v>US press</v>
      </c>
    </row>
    <row r="2531" spans="1:19" x14ac:dyDescent="0.2">
      <c r="A2531" t="s">
        <v>7527</v>
      </c>
      <c r="B2531" t="s">
        <v>815</v>
      </c>
      <c r="C2531" t="s">
        <v>1222</v>
      </c>
      <c r="D2531" t="s">
        <v>1599</v>
      </c>
      <c r="E2531" t="s">
        <v>7528</v>
      </c>
      <c r="F2531" t="s">
        <v>1612</v>
      </c>
      <c r="I2531" t="s">
        <v>1077</v>
      </c>
      <c r="M2531" t="s">
        <v>209</v>
      </c>
      <c r="N2531" t="s">
        <v>209</v>
      </c>
      <c r="O2531" t="s">
        <v>6530</v>
      </c>
      <c r="P2531" t="s">
        <v>7529</v>
      </c>
      <c r="Q2531" t="str">
        <f>IF($C2531="","",IFERROR(VLOOKUP($C2531,sources!$A$2:$N$200,2,FALSE()),"?"))</f>
        <v>Newspaper</v>
      </c>
      <c r="S2531" t="str">
        <f>IF($C2531="","",IFERROR(VLOOKUP($C2531,sources!$A$2:$N$200,9,FALSE()),"?"))</f>
        <v>US press</v>
      </c>
    </row>
    <row r="2532" spans="1:19" x14ac:dyDescent="0.2">
      <c r="A2532" t="s">
        <v>7530</v>
      </c>
      <c r="B2532" t="s">
        <v>820</v>
      </c>
      <c r="C2532" t="s">
        <v>1222</v>
      </c>
      <c r="D2532" t="s">
        <v>1599</v>
      </c>
      <c r="E2532" t="s">
        <v>821</v>
      </c>
      <c r="F2532" t="s">
        <v>1612</v>
      </c>
      <c r="I2532" t="s">
        <v>1077</v>
      </c>
      <c r="K2532">
        <v>1904</v>
      </c>
      <c r="L2532">
        <v>1904</v>
      </c>
      <c r="M2532" t="s">
        <v>228</v>
      </c>
      <c r="N2532" t="s">
        <v>222</v>
      </c>
      <c r="O2532" t="s">
        <v>6530</v>
      </c>
      <c r="P2532" t="s">
        <v>7531</v>
      </c>
      <c r="Q2532" t="str">
        <f>IF($C2532="","",IFERROR(VLOOKUP($C2532,sources!$A$2:$N$200,2,FALSE()),"?"))</f>
        <v>Newspaper</v>
      </c>
      <c r="S2532" t="str">
        <f>IF($C2532="","",IFERROR(VLOOKUP($C2532,sources!$A$2:$N$200,9,FALSE()),"?"))</f>
        <v>US press</v>
      </c>
    </row>
    <row r="2533" spans="1:19" x14ac:dyDescent="0.2">
      <c r="A2533" t="s">
        <v>7532</v>
      </c>
      <c r="B2533" t="s">
        <v>824</v>
      </c>
      <c r="C2533" t="s">
        <v>1222</v>
      </c>
      <c r="D2533" t="s">
        <v>1599</v>
      </c>
      <c r="E2533" t="s">
        <v>825</v>
      </c>
      <c r="F2533" t="s">
        <v>1612</v>
      </c>
      <c r="I2533" t="s">
        <v>1077</v>
      </c>
      <c r="K2533">
        <v>1906</v>
      </c>
      <c r="L2533">
        <v>1906</v>
      </c>
      <c r="M2533" t="s">
        <v>228</v>
      </c>
      <c r="N2533" t="s">
        <v>222</v>
      </c>
      <c r="O2533" t="s">
        <v>6530</v>
      </c>
      <c r="P2533" t="s">
        <v>7533</v>
      </c>
      <c r="Q2533" t="str">
        <f>IF($C2533="","",IFERROR(VLOOKUP($C2533,sources!$A$2:$N$200,2,FALSE()),"?"))</f>
        <v>Newspaper</v>
      </c>
      <c r="S2533" t="str">
        <f>IF($C2533="","",IFERROR(VLOOKUP($C2533,sources!$A$2:$N$200,9,FALSE()),"?"))</f>
        <v>US press</v>
      </c>
    </row>
    <row r="2534" spans="1:19" x14ac:dyDescent="0.2">
      <c r="A2534" t="s">
        <v>7534</v>
      </c>
      <c r="B2534" t="s">
        <v>827</v>
      </c>
      <c r="C2534" t="s">
        <v>1222</v>
      </c>
      <c r="D2534" t="s">
        <v>1599</v>
      </c>
      <c r="E2534" t="s">
        <v>4888</v>
      </c>
      <c r="F2534" t="s">
        <v>1612</v>
      </c>
      <c r="I2534" t="s">
        <v>1077</v>
      </c>
      <c r="M2534" t="s">
        <v>209</v>
      </c>
      <c r="N2534" t="s">
        <v>209</v>
      </c>
      <c r="O2534" t="s">
        <v>6530</v>
      </c>
      <c r="P2534" t="s">
        <v>7535</v>
      </c>
      <c r="Q2534" t="str">
        <f>IF($C2534="","",IFERROR(VLOOKUP($C2534,sources!$A$2:$N$200,2,FALSE()),"?"))</f>
        <v>Newspaper</v>
      </c>
      <c r="S2534" t="str">
        <f>IF($C2534="","",IFERROR(VLOOKUP($C2534,sources!$A$2:$N$200,9,FALSE()),"?"))</f>
        <v>US press</v>
      </c>
    </row>
    <row r="2535" spans="1:19" x14ac:dyDescent="0.2">
      <c r="A2535" t="s">
        <v>7536</v>
      </c>
      <c r="B2535" t="s">
        <v>830</v>
      </c>
      <c r="C2535" t="s">
        <v>1222</v>
      </c>
      <c r="D2535" t="s">
        <v>1599</v>
      </c>
      <c r="E2535" t="s">
        <v>831</v>
      </c>
      <c r="F2535" t="s">
        <v>1612</v>
      </c>
      <c r="I2535" t="s">
        <v>1077</v>
      </c>
      <c r="M2535" t="s">
        <v>209</v>
      </c>
      <c r="N2535" t="s">
        <v>209</v>
      </c>
      <c r="O2535" t="s">
        <v>6530</v>
      </c>
      <c r="P2535" t="s">
        <v>7537</v>
      </c>
      <c r="Q2535" t="str">
        <f>IF($C2535="","",IFERROR(VLOOKUP($C2535,sources!$A$2:$N$200,2,FALSE()),"?"))</f>
        <v>Newspaper</v>
      </c>
      <c r="S2535" t="str">
        <f>IF($C2535="","",IFERROR(VLOOKUP($C2535,sources!$A$2:$N$200,9,FALSE()),"?"))</f>
        <v>US press</v>
      </c>
    </row>
    <row r="2536" spans="1:19" x14ac:dyDescent="0.2">
      <c r="A2536" t="s">
        <v>7538</v>
      </c>
      <c r="B2536" t="s">
        <v>835</v>
      </c>
      <c r="C2536" t="s">
        <v>1222</v>
      </c>
      <c r="D2536" t="s">
        <v>1599</v>
      </c>
      <c r="E2536" t="s">
        <v>6544</v>
      </c>
      <c r="F2536" t="s">
        <v>1612</v>
      </c>
      <c r="I2536" t="s">
        <v>1077</v>
      </c>
      <c r="M2536" t="s">
        <v>209</v>
      </c>
      <c r="N2536" t="s">
        <v>209</v>
      </c>
      <c r="O2536" t="s">
        <v>6530</v>
      </c>
      <c r="P2536" t="s">
        <v>7539</v>
      </c>
      <c r="Q2536" t="str">
        <f>IF($C2536="","",IFERROR(VLOOKUP($C2536,sources!$A$2:$N$200,2,FALSE()),"?"))</f>
        <v>Newspaper</v>
      </c>
      <c r="S2536" t="str">
        <f>IF($C2536="","",IFERROR(VLOOKUP($C2536,sources!$A$2:$N$200,9,FALSE()),"?"))</f>
        <v>US press</v>
      </c>
    </row>
    <row r="2537" spans="1:19" x14ac:dyDescent="0.2">
      <c r="A2537" t="s">
        <v>7540</v>
      </c>
      <c r="B2537" t="s">
        <v>838</v>
      </c>
      <c r="C2537" t="s">
        <v>1222</v>
      </c>
      <c r="D2537" t="s">
        <v>1585</v>
      </c>
      <c r="E2537" t="s">
        <v>839</v>
      </c>
      <c r="F2537" t="s">
        <v>1612</v>
      </c>
      <c r="I2537" t="s">
        <v>1077</v>
      </c>
      <c r="K2537">
        <v>1913</v>
      </c>
      <c r="L2537">
        <v>1913</v>
      </c>
      <c r="M2537" t="s">
        <v>228</v>
      </c>
      <c r="N2537" t="s">
        <v>222</v>
      </c>
      <c r="O2537" t="s">
        <v>6530</v>
      </c>
      <c r="P2537" t="s">
        <v>7541</v>
      </c>
      <c r="Q2537" t="str">
        <f>IF($C2537="","",IFERROR(VLOOKUP($C2537,sources!$A$2:$N$200,2,FALSE()),"?"))</f>
        <v>Newspaper</v>
      </c>
      <c r="S2537" t="str">
        <f>IF($C2537="","",IFERROR(VLOOKUP($C2537,sources!$A$2:$N$200,9,FALSE()),"?"))</f>
        <v>US press</v>
      </c>
    </row>
    <row r="2538" spans="1:19" x14ac:dyDescent="0.2">
      <c r="A2538" t="s">
        <v>7542</v>
      </c>
      <c r="B2538" t="s">
        <v>843</v>
      </c>
      <c r="C2538" t="s">
        <v>1222</v>
      </c>
      <c r="D2538" t="s">
        <v>1666</v>
      </c>
      <c r="E2538" t="s">
        <v>844</v>
      </c>
      <c r="F2538" t="s">
        <v>1612</v>
      </c>
      <c r="I2538" t="s">
        <v>1077</v>
      </c>
      <c r="M2538" t="s">
        <v>209</v>
      </c>
      <c r="N2538" t="s">
        <v>228</v>
      </c>
      <c r="O2538" t="s">
        <v>6530</v>
      </c>
      <c r="P2538" t="s">
        <v>7543</v>
      </c>
      <c r="Q2538" t="str">
        <f>IF($C2538="","",IFERROR(VLOOKUP($C2538,sources!$A$2:$N$200,2,FALSE()),"?"))</f>
        <v>Newspaper</v>
      </c>
      <c r="S2538" t="str">
        <f>IF($C2538="","",IFERROR(VLOOKUP($C2538,sources!$A$2:$N$200,9,FALSE()),"?"))</f>
        <v>US press</v>
      </c>
    </row>
    <row r="2539" spans="1:19" x14ac:dyDescent="0.2">
      <c r="A2539" t="s">
        <v>7544</v>
      </c>
      <c r="B2539" t="s">
        <v>847</v>
      </c>
      <c r="C2539" t="s">
        <v>1222</v>
      </c>
      <c r="D2539" t="s">
        <v>1599</v>
      </c>
      <c r="E2539" t="s">
        <v>848</v>
      </c>
      <c r="F2539" t="s">
        <v>1612</v>
      </c>
      <c r="I2539" t="s">
        <v>1077</v>
      </c>
      <c r="K2539">
        <v>1914</v>
      </c>
      <c r="L2539">
        <v>1914</v>
      </c>
      <c r="M2539" t="s">
        <v>228</v>
      </c>
      <c r="N2539" t="s">
        <v>222</v>
      </c>
      <c r="O2539" t="s">
        <v>6530</v>
      </c>
      <c r="P2539" t="s">
        <v>7545</v>
      </c>
      <c r="Q2539" t="str">
        <f>IF($C2539="","",IFERROR(VLOOKUP($C2539,sources!$A$2:$N$200,2,FALSE()),"?"))</f>
        <v>Newspaper</v>
      </c>
      <c r="S2539" t="str">
        <f>IF($C2539="","",IFERROR(VLOOKUP($C2539,sources!$A$2:$N$200,9,FALSE()),"?"))</f>
        <v>US press</v>
      </c>
    </row>
    <row r="2540" spans="1:19" x14ac:dyDescent="0.2">
      <c r="A2540" t="s">
        <v>7546</v>
      </c>
      <c r="B2540" t="s">
        <v>851</v>
      </c>
      <c r="C2540" t="s">
        <v>1222</v>
      </c>
      <c r="D2540" t="s">
        <v>1599</v>
      </c>
      <c r="E2540" t="s">
        <v>852</v>
      </c>
      <c r="F2540" t="s">
        <v>1612</v>
      </c>
      <c r="I2540" t="s">
        <v>1077</v>
      </c>
      <c r="M2540" t="s">
        <v>209</v>
      </c>
      <c r="N2540" t="s">
        <v>209</v>
      </c>
      <c r="O2540" t="s">
        <v>6530</v>
      </c>
      <c r="P2540" t="s">
        <v>7547</v>
      </c>
      <c r="Q2540" t="str">
        <f>IF($C2540="","",IFERROR(VLOOKUP($C2540,sources!$A$2:$N$200,2,FALSE()),"?"))</f>
        <v>Newspaper</v>
      </c>
      <c r="S2540" t="str">
        <f>IF($C2540="","",IFERROR(VLOOKUP($C2540,sources!$A$2:$N$200,9,FALSE()),"?"))</f>
        <v>US press</v>
      </c>
    </row>
    <row r="2541" spans="1:19" x14ac:dyDescent="0.2">
      <c r="A2541" t="s">
        <v>7548</v>
      </c>
      <c r="B2541" t="s">
        <v>854</v>
      </c>
      <c r="C2541" t="s">
        <v>1222</v>
      </c>
      <c r="D2541" t="s">
        <v>1599</v>
      </c>
      <c r="E2541" t="s">
        <v>523</v>
      </c>
      <c r="F2541" t="s">
        <v>1612</v>
      </c>
      <c r="I2541" t="s">
        <v>1077</v>
      </c>
      <c r="K2541">
        <v>1908</v>
      </c>
      <c r="L2541">
        <v>1908</v>
      </c>
      <c r="M2541" t="s">
        <v>228</v>
      </c>
      <c r="N2541" t="s">
        <v>228</v>
      </c>
      <c r="O2541" t="s">
        <v>6530</v>
      </c>
      <c r="P2541" t="s">
        <v>7549</v>
      </c>
      <c r="Q2541" t="str">
        <f>IF($C2541="","",IFERROR(VLOOKUP($C2541,sources!$A$2:$N$200,2,FALSE()),"?"))</f>
        <v>Newspaper</v>
      </c>
      <c r="S2541" t="str">
        <f>IF($C2541="","",IFERROR(VLOOKUP($C2541,sources!$A$2:$N$200,9,FALSE()),"?"))</f>
        <v>US press</v>
      </c>
    </row>
    <row r="2542" spans="1:19" x14ac:dyDescent="0.2">
      <c r="A2542" t="s">
        <v>7550</v>
      </c>
      <c r="B2542" t="s">
        <v>866</v>
      </c>
      <c r="C2542" t="s">
        <v>1222</v>
      </c>
      <c r="D2542" t="s">
        <v>1666</v>
      </c>
      <c r="E2542" t="s">
        <v>867</v>
      </c>
      <c r="F2542" t="s">
        <v>1612</v>
      </c>
      <c r="I2542" t="s">
        <v>1077</v>
      </c>
      <c r="M2542" t="s">
        <v>209</v>
      </c>
      <c r="N2542" t="s">
        <v>228</v>
      </c>
      <c r="O2542" t="s">
        <v>6530</v>
      </c>
      <c r="P2542" t="s">
        <v>7551</v>
      </c>
      <c r="Q2542" t="str">
        <f>IF($C2542="","",IFERROR(VLOOKUP($C2542,sources!$A$2:$N$200,2,FALSE()),"?"))</f>
        <v>Newspaper</v>
      </c>
      <c r="S2542" t="str">
        <f>IF($C2542="","",IFERROR(VLOOKUP($C2542,sources!$A$2:$N$200,9,FALSE()),"?"))</f>
        <v>US press</v>
      </c>
    </row>
    <row r="2543" spans="1:19" x14ac:dyDescent="0.2">
      <c r="A2543" t="s">
        <v>7552</v>
      </c>
      <c r="B2543" t="s">
        <v>875</v>
      </c>
      <c r="C2543" t="s">
        <v>1222</v>
      </c>
      <c r="D2543" t="s">
        <v>1666</v>
      </c>
      <c r="E2543" t="s">
        <v>6686</v>
      </c>
      <c r="F2543" t="s">
        <v>1612</v>
      </c>
      <c r="I2543" t="s">
        <v>1077</v>
      </c>
      <c r="M2543" t="s">
        <v>209</v>
      </c>
      <c r="N2543" t="s">
        <v>228</v>
      </c>
      <c r="O2543" t="s">
        <v>6530</v>
      </c>
      <c r="P2543" t="s">
        <v>7553</v>
      </c>
      <c r="Q2543" t="str">
        <f>IF($C2543="","",IFERROR(VLOOKUP($C2543,sources!$A$2:$N$200,2,FALSE()),"?"))</f>
        <v>Newspaper</v>
      </c>
      <c r="S2543" t="str">
        <f>IF($C2543="","",IFERROR(VLOOKUP($C2543,sources!$A$2:$N$200,9,FALSE()),"?"))</f>
        <v>US press</v>
      </c>
    </row>
    <row r="2544" spans="1:19" x14ac:dyDescent="0.2">
      <c r="A2544" t="s">
        <v>7554</v>
      </c>
      <c r="B2544" t="s">
        <v>879</v>
      </c>
      <c r="C2544" t="s">
        <v>1222</v>
      </c>
      <c r="D2544" t="s">
        <v>1666</v>
      </c>
      <c r="E2544" t="s">
        <v>4832</v>
      </c>
      <c r="F2544" t="s">
        <v>1612</v>
      </c>
      <c r="I2544" t="s">
        <v>1077</v>
      </c>
      <c r="M2544" t="s">
        <v>209</v>
      </c>
      <c r="N2544" t="s">
        <v>228</v>
      </c>
      <c r="O2544" t="s">
        <v>6530</v>
      </c>
      <c r="P2544" t="s">
        <v>7555</v>
      </c>
      <c r="Q2544" t="str">
        <f>IF($C2544="","",IFERROR(VLOOKUP($C2544,sources!$A$2:$N$200,2,FALSE()),"?"))</f>
        <v>Newspaper</v>
      </c>
      <c r="S2544" t="str">
        <f>IF($C2544="","",IFERROR(VLOOKUP($C2544,sources!$A$2:$N$200,9,FALSE()),"?"))</f>
        <v>US press</v>
      </c>
    </row>
    <row r="2545" spans="1:19" x14ac:dyDescent="0.2">
      <c r="A2545" t="s">
        <v>7556</v>
      </c>
      <c r="B2545" t="s">
        <v>884</v>
      </c>
      <c r="C2545" t="s">
        <v>1222</v>
      </c>
      <c r="D2545" t="s">
        <v>1599</v>
      </c>
      <c r="E2545" t="s">
        <v>4835</v>
      </c>
      <c r="F2545" t="s">
        <v>1612</v>
      </c>
      <c r="I2545" t="s">
        <v>1077</v>
      </c>
      <c r="M2545" t="s">
        <v>209</v>
      </c>
      <c r="N2545" t="s">
        <v>209</v>
      </c>
      <c r="O2545" t="s">
        <v>6530</v>
      </c>
      <c r="P2545" t="s">
        <v>7557</v>
      </c>
      <c r="Q2545" t="str">
        <f>IF($C2545="","",IFERROR(VLOOKUP($C2545,sources!$A$2:$N$200,2,FALSE()),"?"))</f>
        <v>Newspaper</v>
      </c>
      <c r="S2545" t="str">
        <f>IF($C2545="","",IFERROR(VLOOKUP($C2545,sources!$A$2:$N$200,9,FALSE()),"?"))</f>
        <v>US press</v>
      </c>
    </row>
    <row r="2546" spans="1:19" x14ac:dyDescent="0.2">
      <c r="A2546" t="s">
        <v>7558</v>
      </c>
      <c r="B2546" t="s">
        <v>888</v>
      </c>
      <c r="C2546" t="s">
        <v>1222</v>
      </c>
      <c r="D2546" t="s">
        <v>1599</v>
      </c>
      <c r="E2546" t="s">
        <v>7559</v>
      </c>
      <c r="F2546" t="s">
        <v>1612</v>
      </c>
      <c r="I2546" t="s">
        <v>1077</v>
      </c>
      <c r="K2546">
        <v>1906</v>
      </c>
      <c r="L2546">
        <v>1906</v>
      </c>
      <c r="M2546" t="s">
        <v>209</v>
      </c>
      <c r="N2546" t="s">
        <v>222</v>
      </c>
      <c r="O2546" t="s">
        <v>6530</v>
      </c>
      <c r="P2546" t="s">
        <v>7560</v>
      </c>
      <c r="Q2546" t="str">
        <f>IF($C2546="","",IFERROR(VLOOKUP($C2546,sources!$A$2:$N$200,2,FALSE()),"?"))</f>
        <v>Newspaper</v>
      </c>
      <c r="S2546" t="str">
        <f>IF($C2546="","",IFERROR(VLOOKUP($C2546,sources!$A$2:$N$200,9,FALSE()),"?"))</f>
        <v>US press</v>
      </c>
    </row>
    <row r="2547" spans="1:19" x14ac:dyDescent="0.2">
      <c r="A2547" t="s">
        <v>7561</v>
      </c>
      <c r="B2547" t="s">
        <v>892</v>
      </c>
      <c r="C2547" t="s">
        <v>1222</v>
      </c>
      <c r="D2547" t="s">
        <v>1666</v>
      </c>
      <c r="E2547" t="s">
        <v>6644</v>
      </c>
      <c r="F2547" t="s">
        <v>1612</v>
      </c>
      <c r="I2547" t="s">
        <v>1077</v>
      </c>
      <c r="M2547" t="s">
        <v>209</v>
      </c>
      <c r="N2547" t="s">
        <v>228</v>
      </c>
      <c r="O2547" t="s">
        <v>6530</v>
      </c>
      <c r="P2547" t="s">
        <v>7562</v>
      </c>
      <c r="Q2547" t="str">
        <f>IF($C2547="","",IFERROR(VLOOKUP($C2547,sources!$A$2:$N$200,2,FALSE()),"?"))</f>
        <v>Newspaper</v>
      </c>
      <c r="S2547" t="str">
        <f>IF($C2547="","",IFERROR(VLOOKUP($C2547,sources!$A$2:$N$200,9,FALSE()),"?"))</f>
        <v>US press</v>
      </c>
    </row>
    <row r="2548" spans="1:19" x14ac:dyDescent="0.2">
      <c r="A2548" t="s">
        <v>7563</v>
      </c>
      <c r="B2548" t="s">
        <v>895</v>
      </c>
      <c r="C2548" t="s">
        <v>1222</v>
      </c>
      <c r="D2548" t="s">
        <v>1599</v>
      </c>
      <c r="E2548" t="s">
        <v>7564</v>
      </c>
      <c r="F2548" t="s">
        <v>1612</v>
      </c>
      <c r="I2548" t="s">
        <v>1077</v>
      </c>
      <c r="K2548">
        <v>1907</v>
      </c>
      <c r="L2548">
        <v>1907</v>
      </c>
      <c r="M2548" t="s">
        <v>228</v>
      </c>
      <c r="N2548" t="s">
        <v>222</v>
      </c>
      <c r="O2548" t="s">
        <v>6530</v>
      </c>
      <c r="P2548" t="s">
        <v>7565</v>
      </c>
      <c r="Q2548" t="str">
        <f>IF($C2548="","",IFERROR(VLOOKUP($C2548,sources!$A$2:$N$200,2,FALSE()),"?"))</f>
        <v>Newspaper</v>
      </c>
      <c r="S2548" t="str">
        <f>IF($C2548="","",IFERROR(VLOOKUP($C2548,sources!$A$2:$N$200,9,FALSE()),"?"))</f>
        <v>US press</v>
      </c>
    </row>
    <row r="2549" spans="1:19" x14ac:dyDescent="0.2">
      <c r="A2549" t="s">
        <v>7566</v>
      </c>
      <c r="B2549" t="s">
        <v>898</v>
      </c>
      <c r="C2549" t="s">
        <v>1222</v>
      </c>
      <c r="D2549" t="s">
        <v>1666</v>
      </c>
      <c r="E2549" t="s">
        <v>6647</v>
      </c>
      <c r="F2549" t="s">
        <v>1612</v>
      </c>
      <c r="I2549" t="s">
        <v>1077</v>
      </c>
      <c r="M2549" t="s">
        <v>209</v>
      </c>
      <c r="N2549" t="s">
        <v>228</v>
      </c>
      <c r="O2549" t="s">
        <v>6530</v>
      </c>
      <c r="P2549" t="s">
        <v>7567</v>
      </c>
      <c r="Q2549" t="str">
        <f>IF($C2549="","",IFERROR(VLOOKUP($C2549,sources!$A$2:$N$200,2,FALSE()),"?"))</f>
        <v>Newspaper</v>
      </c>
      <c r="S2549" t="str">
        <f>IF($C2549="","",IFERROR(VLOOKUP($C2549,sources!$A$2:$N$200,9,FALSE()),"?"))</f>
        <v>US press</v>
      </c>
    </row>
    <row r="2550" spans="1:19" x14ac:dyDescent="0.2">
      <c r="A2550" t="s">
        <v>7568</v>
      </c>
      <c r="B2550" t="s">
        <v>902</v>
      </c>
      <c r="C2550" t="s">
        <v>1222</v>
      </c>
      <c r="D2550" t="s">
        <v>1666</v>
      </c>
      <c r="E2550" t="s">
        <v>903</v>
      </c>
      <c r="F2550" t="s">
        <v>1612</v>
      </c>
      <c r="I2550" t="s">
        <v>1077</v>
      </c>
      <c r="M2550" t="s">
        <v>209</v>
      </c>
      <c r="N2550" t="s">
        <v>228</v>
      </c>
      <c r="O2550" t="s">
        <v>6530</v>
      </c>
      <c r="P2550" t="s">
        <v>7569</v>
      </c>
      <c r="Q2550" t="str">
        <f>IF($C2550="","",IFERROR(VLOOKUP($C2550,sources!$A$2:$N$200,2,FALSE()),"?"))</f>
        <v>Newspaper</v>
      </c>
      <c r="S2550" t="str">
        <f>IF($C2550="","",IFERROR(VLOOKUP($C2550,sources!$A$2:$N$200,9,FALSE()),"?"))</f>
        <v>US press</v>
      </c>
    </row>
    <row r="2551" spans="1:19" x14ac:dyDescent="0.2">
      <c r="A2551" t="s">
        <v>7570</v>
      </c>
      <c r="B2551" t="s">
        <v>907</v>
      </c>
      <c r="C2551" t="s">
        <v>1222</v>
      </c>
      <c r="D2551" t="s">
        <v>1666</v>
      </c>
      <c r="E2551" t="s">
        <v>6568</v>
      </c>
      <c r="F2551" t="s">
        <v>1612</v>
      </c>
      <c r="I2551" t="s">
        <v>1077</v>
      </c>
      <c r="M2551" t="s">
        <v>209</v>
      </c>
      <c r="N2551" t="s">
        <v>228</v>
      </c>
      <c r="O2551" t="s">
        <v>6530</v>
      </c>
      <c r="P2551" t="s">
        <v>7571</v>
      </c>
      <c r="Q2551" t="str">
        <f>IF($C2551="","",IFERROR(VLOOKUP($C2551,sources!$A$2:$N$200,2,FALSE()),"?"))</f>
        <v>Newspaper</v>
      </c>
      <c r="S2551" t="str">
        <f>IF($C2551="","",IFERROR(VLOOKUP($C2551,sources!$A$2:$N$200,9,FALSE()),"?"))</f>
        <v>US press</v>
      </c>
    </row>
    <row r="2552" spans="1:19" x14ac:dyDescent="0.2">
      <c r="A2552" t="s">
        <v>7572</v>
      </c>
      <c r="B2552" t="s">
        <v>911</v>
      </c>
      <c r="C2552" t="s">
        <v>1222</v>
      </c>
      <c r="D2552" t="s">
        <v>1666</v>
      </c>
      <c r="E2552" t="s">
        <v>6706</v>
      </c>
      <c r="F2552" t="s">
        <v>1612</v>
      </c>
      <c r="I2552" t="s">
        <v>1077</v>
      </c>
      <c r="M2552" t="s">
        <v>209</v>
      </c>
      <c r="N2552" t="s">
        <v>228</v>
      </c>
      <c r="O2552" t="s">
        <v>6530</v>
      </c>
      <c r="P2552" t="s">
        <v>7573</v>
      </c>
      <c r="Q2552" t="str">
        <f>IF($C2552="","",IFERROR(VLOOKUP($C2552,sources!$A$2:$N$200,2,FALSE()),"?"))</f>
        <v>Newspaper</v>
      </c>
      <c r="S2552" t="str">
        <f>IF($C2552="","",IFERROR(VLOOKUP($C2552,sources!$A$2:$N$200,9,FALSE()),"?"))</f>
        <v>US press</v>
      </c>
    </row>
    <row r="2553" spans="1:19" x14ac:dyDescent="0.2">
      <c r="A2553" t="s">
        <v>7574</v>
      </c>
      <c r="B2553" t="s">
        <v>915</v>
      </c>
      <c r="C2553" t="s">
        <v>1222</v>
      </c>
      <c r="D2553" t="s">
        <v>1666</v>
      </c>
      <c r="E2553" t="s">
        <v>916</v>
      </c>
      <c r="F2553" t="s">
        <v>1612</v>
      </c>
      <c r="I2553" t="s">
        <v>1077</v>
      </c>
      <c r="M2553" t="s">
        <v>209</v>
      </c>
      <c r="N2553" t="s">
        <v>228</v>
      </c>
      <c r="O2553" t="s">
        <v>6530</v>
      </c>
      <c r="P2553" t="s">
        <v>7575</v>
      </c>
      <c r="Q2553" t="str">
        <f>IF($C2553="","",IFERROR(VLOOKUP($C2553,sources!$A$2:$N$200,2,FALSE()),"?"))</f>
        <v>Newspaper</v>
      </c>
      <c r="S2553" t="str">
        <f>IF($C2553="","",IFERROR(VLOOKUP($C2553,sources!$A$2:$N$200,9,FALSE()),"?"))</f>
        <v>US press</v>
      </c>
    </row>
    <row r="2554" spans="1:19" x14ac:dyDescent="0.2">
      <c r="A2554" t="s">
        <v>7576</v>
      </c>
      <c r="B2554" t="s">
        <v>918</v>
      </c>
      <c r="C2554" t="s">
        <v>1222</v>
      </c>
      <c r="D2554" t="s">
        <v>1599</v>
      </c>
      <c r="E2554" t="s">
        <v>7128</v>
      </c>
      <c r="F2554" t="s">
        <v>1612</v>
      </c>
      <c r="I2554" t="s">
        <v>1077</v>
      </c>
      <c r="K2554">
        <v>1914</v>
      </c>
      <c r="L2554">
        <v>1914</v>
      </c>
      <c r="M2554" t="s">
        <v>228</v>
      </c>
      <c r="N2554" t="s">
        <v>228</v>
      </c>
      <c r="O2554" t="s">
        <v>6530</v>
      </c>
      <c r="P2554" t="s">
        <v>7577</v>
      </c>
      <c r="Q2554" t="str">
        <f>IF($C2554="","",IFERROR(VLOOKUP($C2554,sources!$A$2:$N$200,2,FALSE()),"?"))</f>
        <v>Newspaper</v>
      </c>
      <c r="S2554" t="str">
        <f>IF($C2554="","",IFERROR(VLOOKUP($C2554,sources!$A$2:$N$200,9,FALSE()),"?"))</f>
        <v>US press</v>
      </c>
    </row>
    <row r="2555" spans="1:19" x14ac:dyDescent="0.2">
      <c r="A2555" t="s">
        <v>7578</v>
      </c>
      <c r="B2555" t="s">
        <v>921</v>
      </c>
      <c r="C2555" t="s">
        <v>1222</v>
      </c>
      <c r="D2555" t="s">
        <v>1599</v>
      </c>
      <c r="E2555" t="s">
        <v>922</v>
      </c>
      <c r="F2555" t="s">
        <v>1612</v>
      </c>
      <c r="I2555" t="s">
        <v>1077</v>
      </c>
      <c r="K2555">
        <v>1913</v>
      </c>
      <c r="L2555">
        <v>1913</v>
      </c>
      <c r="M2555" t="s">
        <v>228</v>
      </c>
      <c r="N2555" t="s">
        <v>228</v>
      </c>
      <c r="O2555" t="s">
        <v>6530</v>
      </c>
      <c r="P2555" t="s">
        <v>7579</v>
      </c>
      <c r="Q2555" t="str">
        <f>IF($C2555="","",IFERROR(VLOOKUP($C2555,sources!$A$2:$N$200,2,FALSE()),"?"))</f>
        <v>Newspaper</v>
      </c>
      <c r="S2555" t="str">
        <f>IF($C2555="","",IFERROR(VLOOKUP($C2555,sources!$A$2:$N$200,9,FALSE()),"?"))</f>
        <v>US press</v>
      </c>
    </row>
    <row r="2556" spans="1:19" x14ac:dyDescent="0.2">
      <c r="A2556" t="s">
        <v>7580</v>
      </c>
      <c r="B2556" t="s">
        <v>925</v>
      </c>
      <c r="C2556" t="s">
        <v>1222</v>
      </c>
      <c r="D2556" t="s">
        <v>1599</v>
      </c>
      <c r="E2556" t="s">
        <v>927</v>
      </c>
      <c r="F2556" t="s">
        <v>1612</v>
      </c>
      <c r="I2556" t="s">
        <v>1077</v>
      </c>
      <c r="M2556" t="s">
        <v>209</v>
      </c>
      <c r="N2556" t="s">
        <v>209</v>
      </c>
      <c r="O2556" t="s">
        <v>6530</v>
      </c>
      <c r="P2556" t="s">
        <v>7581</v>
      </c>
      <c r="Q2556" t="str">
        <f>IF($C2556="","",IFERROR(VLOOKUP($C2556,sources!$A$2:$N$200,2,FALSE()),"?"))</f>
        <v>Newspaper</v>
      </c>
      <c r="S2556" t="str">
        <f>IF($C2556="","",IFERROR(VLOOKUP($C2556,sources!$A$2:$N$200,9,FALSE()),"?"))</f>
        <v>US press</v>
      </c>
    </row>
    <row r="2557" spans="1:19" x14ac:dyDescent="0.2">
      <c r="A2557" t="s">
        <v>7582</v>
      </c>
      <c r="B2557" t="s">
        <v>929</v>
      </c>
      <c r="C2557" t="s">
        <v>1222</v>
      </c>
      <c r="D2557" t="s">
        <v>1599</v>
      </c>
      <c r="E2557" t="s">
        <v>7474</v>
      </c>
      <c r="F2557" t="s">
        <v>1612</v>
      </c>
      <c r="I2557" t="s">
        <v>1077</v>
      </c>
      <c r="M2557" t="s">
        <v>209</v>
      </c>
      <c r="N2557" t="s">
        <v>209</v>
      </c>
      <c r="O2557" t="s">
        <v>6530</v>
      </c>
      <c r="P2557" t="s">
        <v>7583</v>
      </c>
      <c r="Q2557" t="str">
        <f>IF($C2557="","",IFERROR(VLOOKUP($C2557,sources!$A$2:$N$200,2,FALSE()),"?"))</f>
        <v>Newspaper</v>
      </c>
      <c r="S2557" t="str">
        <f>IF($C2557="","",IFERROR(VLOOKUP($C2557,sources!$A$2:$N$200,9,FALSE()),"?"))</f>
        <v>US press</v>
      </c>
    </row>
    <row r="2558" spans="1:19" x14ac:dyDescent="0.2">
      <c r="A2558" t="s">
        <v>7584</v>
      </c>
      <c r="B2558" t="s">
        <v>933</v>
      </c>
      <c r="C2558" t="s">
        <v>1222</v>
      </c>
      <c r="D2558" t="s">
        <v>1666</v>
      </c>
      <c r="E2558" t="s">
        <v>934</v>
      </c>
      <c r="F2558" t="s">
        <v>1612</v>
      </c>
      <c r="I2558" t="s">
        <v>1077</v>
      </c>
      <c r="M2558" t="s">
        <v>209</v>
      </c>
      <c r="N2558" t="s">
        <v>228</v>
      </c>
      <c r="O2558" t="s">
        <v>6530</v>
      </c>
      <c r="P2558" t="s">
        <v>7585</v>
      </c>
      <c r="Q2558" t="str">
        <f>IF($C2558="","",IFERROR(VLOOKUP($C2558,sources!$A$2:$N$200,2,FALSE()),"?"))</f>
        <v>Newspaper</v>
      </c>
      <c r="S2558" t="str">
        <f>IF($C2558="","",IFERROR(VLOOKUP($C2558,sources!$A$2:$N$200,9,FALSE()),"?"))</f>
        <v>US press</v>
      </c>
    </row>
    <row r="2559" spans="1:19" x14ac:dyDescent="0.2">
      <c r="A2559" t="s">
        <v>7586</v>
      </c>
      <c r="B2559" t="s">
        <v>936</v>
      </c>
      <c r="C2559" t="s">
        <v>1222</v>
      </c>
      <c r="D2559" t="s">
        <v>1599</v>
      </c>
      <c r="E2559" t="s">
        <v>937</v>
      </c>
      <c r="F2559" t="s">
        <v>1612</v>
      </c>
      <c r="I2559" t="s">
        <v>1077</v>
      </c>
      <c r="M2559" t="s">
        <v>209</v>
      </c>
      <c r="N2559" t="s">
        <v>209</v>
      </c>
      <c r="O2559" t="s">
        <v>6530</v>
      </c>
      <c r="P2559" t="s">
        <v>7587</v>
      </c>
      <c r="Q2559" t="str">
        <f>IF($C2559="","",IFERROR(VLOOKUP($C2559,sources!$A$2:$N$200,2,FALSE()),"?"))</f>
        <v>Newspaper</v>
      </c>
      <c r="S2559" t="str">
        <f>IF($C2559="","",IFERROR(VLOOKUP($C2559,sources!$A$2:$N$200,9,FALSE()),"?"))</f>
        <v>US press</v>
      </c>
    </row>
    <row r="2560" spans="1:19" x14ac:dyDescent="0.2">
      <c r="A2560" t="s">
        <v>7588</v>
      </c>
      <c r="B2560" t="s">
        <v>939</v>
      </c>
      <c r="C2560" t="s">
        <v>1222</v>
      </c>
      <c r="D2560" t="s">
        <v>1599</v>
      </c>
      <c r="E2560" t="s">
        <v>940</v>
      </c>
      <c r="F2560" t="s">
        <v>1612</v>
      </c>
      <c r="I2560" t="s">
        <v>1077</v>
      </c>
      <c r="M2560" t="s">
        <v>209</v>
      </c>
      <c r="N2560" t="s">
        <v>209</v>
      </c>
      <c r="O2560" t="s">
        <v>6530</v>
      </c>
      <c r="P2560" t="s">
        <v>7589</v>
      </c>
      <c r="Q2560" t="str">
        <f>IF($C2560="","",IFERROR(VLOOKUP($C2560,sources!$A$2:$N$200,2,FALSE()),"?"))</f>
        <v>Newspaper</v>
      </c>
      <c r="S2560" t="str">
        <f>IF($C2560="","",IFERROR(VLOOKUP($C2560,sources!$A$2:$N$200,9,FALSE()),"?"))</f>
        <v>US press</v>
      </c>
    </row>
    <row r="2561" spans="1:19" x14ac:dyDescent="0.2">
      <c r="A2561" t="s">
        <v>7590</v>
      </c>
      <c r="B2561" t="s">
        <v>943</v>
      </c>
      <c r="C2561" t="s">
        <v>1222</v>
      </c>
      <c r="D2561" t="s">
        <v>1599</v>
      </c>
      <c r="E2561" t="s">
        <v>7483</v>
      </c>
      <c r="F2561" t="s">
        <v>1612</v>
      </c>
      <c r="I2561" t="s">
        <v>1077</v>
      </c>
      <c r="M2561" t="s">
        <v>209</v>
      </c>
      <c r="N2561" t="s">
        <v>209</v>
      </c>
      <c r="O2561" t="s">
        <v>6530</v>
      </c>
      <c r="P2561" t="s">
        <v>7591</v>
      </c>
      <c r="Q2561" t="str">
        <f>IF($C2561="","",IFERROR(VLOOKUP($C2561,sources!$A$2:$N$200,2,FALSE()),"?"))</f>
        <v>Newspaper</v>
      </c>
      <c r="S2561" t="str">
        <f>IF($C2561="","",IFERROR(VLOOKUP($C2561,sources!$A$2:$N$200,9,FALSE()),"?"))</f>
        <v>US press</v>
      </c>
    </row>
    <row r="2562" spans="1:19" x14ac:dyDescent="0.2">
      <c r="A2562" t="s">
        <v>7592</v>
      </c>
      <c r="B2562" t="s">
        <v>951</v>
      </c>
      <c r="C2562" t="s">
        <v>1222</v>
      </c>
      <c r="D2562" t="s">
        <v>1599</v>
      </c>
      <c r="E2562" t="s">
        <v>953</v>
      </c>
      <c r="F2562" t="s">
        <v>1612</v>
      </c>
      <c r="I2562" t="s">
        <v>1077</v>
      </c>
      <c r="M2562" t="s">
        <v>209</v>
      </c>
      <c r="N2562" t="s">
        <v>209</v>
      </c>
      <c r="O2562" t="s">
        <v>6530</v>
      </c>
      <c r="P2562" t="s">
        <v>7593</v>
      </c>
      <c r="Q2562" t="str">
        <f>IF($C2562="","",IFERROR(VLOOKUP($C2562,sources!$A$2:$N$200,2,FALSE()),"?"))</f>
        <v>Newspaper</v>
      </c>
      <c r="S2562" t="str">
        <f>IF($C2562="","",IFERROR(VLOOKUP($C2562,sources!$A$2:$N$200,9,FALSE()),"?"))</f>
        <v>US press</v>
      </c>
    </row>
    <row r="2563" spans="1:19" x14ac:dyDescent="0.2">
      <c r="A2563" t="s">
        <v>7594</v>
      </c>
      <c r="B2563" t="s">
        <v>957</v>
      </c>
      <c r="C2563" t="s">
        <v>1222</v>
      </c>
      <c r="D2563" t="s">
        <v>1599</v>
      </c>
      <c r="E2563" t="s">
        <v>958</v>
      </c>
      <c r="F2563" t="s">
        <v>1612</v>
      </c>
      <c r="I2563" t="s">
        <v>1077</v>
      </c>
      <c r="M2563" t="s">
        <v>209</v>
      </c>
      <c r="N2563" t="s">
        <v>209</v>
      </c>
      <c r="O2563" t="s">
        <v>6530</v>
      </c>
      <c r="P2563" t="s">
        <v>7595</v>
      </c>
      <c r="Q2563" t="str">
        <f>IF($C2563="","",IFERROR(VLOOKUP($C2563,sources!$A$2:$N$200,2,FALSE()),"?"))</f>
        <v>Newspaper</v>
      </c>
      <c r="S2563" t="str">
        <f>IF($C2563="","",IFERROR(VLOOKUP($C2563,sources!$A$2:$N$200,9,FALSE()),"?"))</f>
        <v>US press</v>
      </c>
    </row>
    <row r="2564" spans="1:19" x14ac:dyDescent="0.2">
      <c r="A2564" t="s">
        <v>7596</v>
      </c>
      <c r="B2564" t="s">
        <v>962</v>
      </c>
      <c r="C2564" t="s">
        <v>1222</v>
      </c>
      <c r="D2564" t="s">
        <v>1599</v>
      </c>
      <c r="E2564" t="s">
        <v>6160</v>
      </c>
      <c r="F2564" t="s">
        <v>1612</v>
      </c>
      <c r="I2564" t="s">
        <v>1077</v>
      </c>
      <c r="M2564" t="s">
        <v>209</v>
      </c>
      <c r="N2564" t="s">
        <v>209</v>
      </c>
      <c r="O2564" t="s">
        <v>6530</v>
      </c>
      <c r="P2564" t="s">
        <v>7597</v>
      </c>
      <c r="Q2564" t="str">
        <f>IF($C2564="","",IFERROR(VLOOKUP($C2564,sources!$A$2:$N$200,2,FALSE()),"?"))</f>
        <v>Newspaper</v>
      </c>
      <c r="S2564" t="str">
        <f>IF($C2564="","",IFERROR(VLOOKUP($C2564,sources!$A$2:$N$200,9,FALSE()),"?"))</f>
        <v>US press</v>
      </c>
    </row>
    <row r="2565" spans="1:19" x14ac:dyDescent="0.2">
      <c r="A2565" t="s">
        <v>7598</v>
      </c>
      <c r="B2565" t="s">
        <v>966</v>
      </c>
      <c r="C2565" t="s">
        <v>1222</v>
      </c>
      <c r="D2565" t="s">
        <v>1599</v>
      </c>
      <c r="E2565" t="s">
        <v>6734</v>
      </c>
      <c r="F2565" t="s">
        <v>1612</v>
      </c>
      <c r="I2565" t="s">
        <v>1077</v>
      </c>
      <c r="M2565" t="s">
        <v>209</v>
      </c>
      <c r="N2565" t="s">
        <v>209</v>
      </c>
      <c r="O2565" t="s">
        <v>6530</v>
      </c>
      <c r="P2565" t="s">
        <v>7599</v>
      </c>
      <c r="Q2565" t="str">
        <f>IF($C2565="","",IFERROR(VLOOKUP($C2565,sources!$A$2:$N$200,2,FALSE()),"?"))</f>
        <v>Newspaper</v>
      </c>
      <c r="S2565" t="str">
        <f>IF($C2565="","",IFERROR(VLOOKUP($C2565,sources!$A$2:$N$200,9,FALSE()),"?"))</f>
        <v>US press</v>
      </c>
    </row>
    <row r="2566" spans="1:19" x14ac:dyDescent="0.2">
      <c r="A2566" t="s">
        <v>7600</v>
      </c>
      <c r="B2566" t="s">
        <v>955</v>
      </c>
      <c r="C2566" t="s">
        <v>1222</v>
      </c>
      <c r="D2566" t="s">
        <v>1599</v>
      </c>
      <c r="E2566" t="s">
        <v>6737</v>
      </c>
      <c r="F2566" t="s">
        <v>1612</v>
      </c>
      <c r="I2566" t="s">
        <v>1077</v>
      </c>
      <c r="M2566" t="s">
        <v>209</v>
      </c>
      <c r="N2566" t="s">
        <v>209</v>
      </c>
      <c r="O2566" t="s">
        <v>6530</v>
      </c>
      <c r="P2566" t="s">
        <v>7601</v>
      </c>
      <c r="Q2566" t="str">
        <f>IF($C2566="","",IFERROR(VLOOKUP($C2566,sources!$A$2:$N$200,2,FALSE()),"?"))</f>
        <v>Newspaper</v>
      </c>
      <c r="S2566" t="str">
        <f>IF($C2566="","",IFERROR(VLOOKUP($C2566,sources!$A$2:$N$200,9,FALSE()),"?"))</f>
        <v>US press</v>
      </c>
    </row>
    <row r="2567" spans="1:19" x14ac:dyDescent="0.2">
      <c r="A2567" t="s">
        <v>7602</v>
      </c>
      <c r="B2567" t="s">
        <v>974</v>
      </c>
      <c r="C2567" t="s">
        <v>1222</v>
      </c>
      <c r="D2567" t="s">
        <v>1599</v>
      </c>
      <c r="E2567" t="s">
        <v>6609</v>
      </c>
      <c r="F2567" t="s">
        <v>1612</v>
      </c>
      <c r="I2567" t="s">
        <v>1077</v>
      </c>
      <c r="M2567" t="s">
        <v>209</v>
      </c>
      <c r="N2567" t="s">
        <v>209</v>
      </c>
      <c r="O2567" t="s">
        <v>6530</v>
      </c>
      <c r="P2567" t="s">
        <v>7603</v>
      </c>
      <c r="Q2567" t="str">
        <f>IF($C2567="","",IFERROR(VLOOKUP($C2567,sources!$A$2:$N$200,2,FALSE()),"?"))</f>
        <v>Newspaper</v>
      </c>
      <c r="S2567" t="str">
        <f>IF($C2567="","",IFERROR(VLOOKUP($C2567,sources!$A$2:$N$200,9,FALSE()),"?"))</f>
        <v>US press</v>
      </c>
    </row>
    <row r="2568" spans="1:19" x14ac:dyDescent="0.2">
      <c r="A2568" t="s">
        <v>7604</v>
      </c>
      <c r="B2568" t="s">
        <v>978</v>
      </c>
      <c r="C2568" t="s">
        <v>1222</v>
      </c>
      <c r="D2568" t="s">
        <v>1599</v>
      </c>
      <c r="E2568" t="s">
        <v>979</v>
      </c>
      <c r="F2568" t="s">
        <v>1612</v>
      </c>
      <c r="I2568" t="s">
        <v>1077</v>
      </c>
      <c r="M2568" t="s">
        <v>209</v>
      </c>
      <c r="N2568" t="s">
        <v>209</v>
      </c>
      <c r="O2568" t="s">
        <v>6530</v>
      </c>
      <c r="P2568" t="s">
        <v>7605</v>
      </c>
      <c r="Q2568" t="str">
        <f>IF($C2568="","",IFERROR(VLOOKUP($C2568,sources!$A$2:$N$200,2,FALSE()),"?"))</f>
        <v>Newspaper</v>
      </c>
      <c r="S2568" t="str">
        <f>IF($C2568="","",IFERROR(VLOOKUP($C2568,sources!$A$2:$N$200,9,FALSE()),"?"))</f>
        <v>US press</v>
      </c>
    </row>
    <row r="2569" spans="1:19" x14ac:dyDescent="0.2">
      <c r="A2569" t="s">
        <v>7606</v>
      </c>
      <c r="B2569" t="s">
        <v>981</v>
      </c>
      <c r="C2569" t="s">
        <v>1222</v>
      </c>
      <c r="D2569" t="s">
        <v>1599</v>
      </c>
      <c r="E2569" t="s">
        <v>982</v>
      </c>
      <c r="F2569" t="s">
        <v>1612</v>
      </c>
      <c r="I2569" t="s">
        <v>1077</v>
      </c>
      <c r="M2569" t="s">
        <v>209</v>
      </c>
      <c r="N2569" t="s">
        <v>209</v>
      </c>
      <c r="O2569" t="s">
        <v>6530</v>
      </c>
      <c r="P2569" t="s">
        <v>7607</v>
      </c>
      <c r="Q2569" t="str">
        <f>IF($C2569="","",IFERROR(VLOOKUP($C2569,sources!$A$2:$N$200,2,FALSE()),"?"))</f>
        <v>Newspaper</v>
      </c>
      <c r="S2569" t="str">
        <f>IF($C2569="","",IFERROR(VLOOKUP($C2569,sources!$A$2:$N$200,9,FALSE()),"?"))</f>
        <v>US press</v>
      </c>
    </row>
    <row r="2570" spans="1:19" x14ac:dyDescent="0.2">
      <c r="A2570" t="s">
        <v>7608</v>
      </c>
      <c r="B2570" t="s">
        <v>990</v>
      </c>
      <c r="C2570" t="s">
        <v>1222</v>
      </c>
      <c r="D2570" t="s">
        <v>1599</v>
      </c>
      <c r="E2570" t="s">
        <v>6619</v>
      </c>
      <c r="F2570" t="s">
        <v>1612</v>
      </c>
      <c r="I2570" t="s">
        <v>1077</v>
      </c>
      <c r="M2570" t="s">
        <v>209</v>
      </c>
      <c r="N2570" t="s">
        <v>209</v>
      </c>
      <c r="O2570" t="s">
        <v>6530</v>
      </c>
      <c r="P2570" t="s">
        <v>7609</v>
      </c>
      <c r="Q2570" t="str">
        <f>IF($C2570="","",IFERROR(VLOOKUP($C2570,sources!$A$2:$N$200,2,FALSE()),"?"))</f>
        <v>Newspaper</v>
      </c>
      <c r="S2570" t="str">
        <f>IF($C2570="","",IFERROR(VLOOKUP($C2570,sources!$A$2:$N$200,9,FALSE()),"?"))</f>
        <v>US press</v>
      </c>
    </row>
    <row r="2571" spans="1:19" x14ac:dyDescent="0.2">
      <c r="A2571" t="s">
        <v>7610</v>
      </c>
      <c r="B2571" t="s">
        <v>993</v>
      </c>
      <c r="C2571" t="s">
        <v>1222</v>
      </c>
      <c r="D2571" t="s">
        <v>1666</v>
      </c>
      <c r="E2571" t="s">
        <v>6622</v>
      </c>
      <c r="F2571" t="s">
        <v>1612</v>
      </c>
      <c r="I2571" t="s">
        <v>1077</v>
      </c>
      <c r="M2571" t="s">
        <v>209</v>
      </c>
      <c r="N2571" t="s">
        <v>228</v>
      </c>
      <c r="O2571" t="s">
        <v>6530</v>
      </c>
      <c r="P2571" t="s">
        <v>7611</v>
      </c>
      <c r="Q2571" t="str">
        <f>IF($C2571="","",IFERROR(VLOOKUP($C2571,sources!$A$2:$N$200,2,FALSE()),"?"))</f>
        <v>Newspaper</v>
      </c>
      <c r="S2571" t="str">
        <f>IF($C2571="","",IFERROR(VLOOKUP($C2571,sources!$A$2:$N$200,9,FALSE()),"?"))</f>
        <v>US press</v>
      </c>
    </row>
    <row r="2572" spans="1:19" x14ac:dyDescent="0.2">
      <c r="A2572" t="s">
        <v>7612</v>
      </c>
      <c r="B2572" t="s">
        <v>998</v>
      </c>
      <c r="C2572" t="s">
        <v>1222</v>
      </c>
      <c r="D2572" t="s">
        <v>1666</v>
      </c>
      <c r="E2572" t="s">
        <v>1000</v>
      </c>
      <c r="F2572" t="s">
        <v>1612</v>
      </c>
      <c r="I2572" t="s">
        <v>1077</v>
      </c>
      <c r="M2572" t="s">
        <v>209</v>
      </c>
      <c r="N2572" t="s">
        <v>228</v>
      </c>
      <c r="O2572" t="s">
        <v>6530</v>
      </c>
      <c r="P2572" t="s">
        <v>7613</v>
      </c>
      <c r="Q2572" t="str">
        <f>IF($C2572="","",IFERROR(VLOOKUP($C2572,sources!$A$2:$N$200,2,FALSE()),"?"))</f>
        <v>Newspaper</v>
      </c>
      <c r="S2572" t="str">
        <f>IF($C2572="","",IFERROR(VLOOKUP($C2572,sources!$A$2:$N$200,9,FALSE()),"?"))</f>
        <v>US press</v>
      </c>
    </row>
    <row r="2573" spans="1:19" x14ac:dyDescent="0.2">
      <c r="A2573" t="s">
        <v>7614</v>
      </c>
      <c r="B2573" t="s">
        <v>1002</v>
      </c>
      <c r="C2573" t="s">
        <v>1222</v>
      </c>
      <c r="D2573" t="s">
        <v>1599</v>
      </c>
      <c r="E2573" t="s">
        <v>1004</v>
      </c>
      <c r="F2573" t="s">
        <v>1612</v>
      </c>
      <c r="I2573" t="s">
        <v>1077</v>
      </c>
      <c r="K2573">
        <v>1908</v>
      </c>
      <c r="L2573">
        <v>1908</v>
      </c>
      <c r="M2573" t="s">
        <v>228</v>
      </c>
      <c r="N2573" t="s">
        <v>228</v>
      </c>
      <c r="O2573" t="s">
        <v>6530</v>
      </c>
      <c r="P2573" t="s">
        <v>7615</v>
      </c>
      <c r="Q2573" t="str">
        <f>IF($C2573="","",IFERROR(VLOOKUP($C2573,sources!$A$2:$N$200,2,FALSE()),"?"))</f>
        <v>Newspaper</v>
      </c>
      <c r="S2573" t="str">
        <f>IF($C2573="","",IFERROR(VLOOKUP($C2573,sources!$A$2:$N$200,9,FALSE()),"?"))</f>
        <v>US press</v>
      </c>
    </row>
    <row r="2574" spans="1:19" x14ac:dyDescent="0.2">
      <c r="A2574" t="s">
        <v>7616</v>
      </c>
      <c r="B2574" t="s">
        <v>1013</v>
      </c>
      <c r="C2574" t="s">
        <v>1222</v>
      </c>
      <c r="D2574" t="s">
        <v>1666</v>
      </c>
      <c r="E2574" t="s">
        <v>1014</v>
      </c>
      <c r="F2574" t="s">
        <v>1612</v>
      </c>
      <c r="I2574" t="s">
        <v>1077</v>
      </c>
      <c r="M2574" t="s">
        <v>209</v>
      </c>
      <c r="N2574" t="s">
        <v>228</v>
      </c>
      <c r="O2574" t="s">
        <v>6530</v>
      </c>
      <c r="P2574" t="s">
        <v>7617</v>
      </c>
      <c r="Q2574" t="str">
        <f>IF($C2574="","",IFERROR(VLOOKUP($C2574,sources!$A$2:$N$200,2,FALSE()),"?"))</f>
        <v>Newspaper</v>
      </c>
      <c r="S2574" t="str">
        <f>IF($C2574="","",IFERROR(VLOOKUP($C2574,sources!$A$2:$N$200,9,FALSE()),"?"))</f>
        <v>US press</v>
      </c>
    </row>
    <row r="2575" spans="1:19" x14ac:dyDescent="0.2">
      <c r="A2575" t="s">
        <v>7618</v>
      </c>
      <c r="B2575" t="s">
        <v>1016</v>
      </c>
      <c r="C2575" t="s">
        <v>1222</v>
      </c>
      <c r="D2575" t="s">
        <v>1599</v>
      </c>
      <c r="E2575" t="s">
        <v>6634</v>
      </c>
      <c r="F2575" t="s">
        <v>1612</v>
      </c>
      <c r="I2575" t="s">
        <v>1077</v>
      </c>
      <c r="K2575">
        <v>1886</v>
      </c>
      <c r="L2575">
        <v>1886</v>
      </c>
      <c r="M2575" t="s">
        <v>228</v>
      </c>
      <c r="N2575" t="s">
        <v>228</v>
      </c>
      <c r="O2575" t="s">
        <v>6530</v>
      </c>
      <c r="P2575" t="s">
        <v>7619</v>
      </c>
      <c r="Q2575" t="str">
        <f>IF($C2575="","",IFERROR(VLOOKUP($C2575,sources!$A$2:$N$200,2,FALSE()),"?"))</f>
        <v>Newspaper</v>
      </c>
      <c r="S2575" t="str">
        <f>IF($C2575="","",IFERROR(VLOOKUP($C2575,sources!$A$2:$N$200,9,FALSE()),"?"))</f>
        <v>US press</v>
      </c>
    </row>
    <row r="2576" spans="1:19" x14ac:dyDescent="0.2">
      <c r="A2576" t="s">
        <v>7620</v>
      </c>
      <c r="B2576" t="s">
        <v>1021</v>
      </c>
      <c r="C2576" t="s">
        <v>1222</v>
      </c>
      <c r="D2576" t="s">
        <v>1599</v>
      </c>
      <c r="E2576" t="s">
        <v>7621</v>
      </c>
      <c r="F2576" t="s">
        <v>1612</v>
      </c>
      <c r="I2576" t="s">
        <v>1077</v>
      </c>
      <c r="K2576">
        <v>1911</v>
      </c>
      <c r="L2576">
        <v>1911</v>
      </c>
      <c r="M2576" t="s">
        <v>228</v>
      </c>
      <c r="N2576" t="s">
        <v>222</v>
      </c>
      <c r="O2576" t="s">
        <v>6530</v>
      </c>
      <c r="P2576" t="s">
        <v>7622</v>
      </c>
      <c r="Q2576" t="str">
        <f>IF($C2576="","",IFERROR(VLOOKUP($C2576,sources!$A$2:$N$200,2,FALSE()),"?"))</f>
        <v>Newspaper</v>
      </c>
      <c r="S2576" t="str">
        <f>IF($C2576="","",IFERROR(VLOOKUP($C2576,sources!$A$2:$N$200,9,FALSE()),"?"))</f>
        <v>US press</v>
      </c>
    </row>
    <row r="2577" spans="1:19" x14ac:dyDescent="0.2">
      <c r="A2577" t="s">
        <v>7623</v>
      </c>
      <c r="B2577" t="s">
        <v>1027</v>
      </c>
      <c r="C2577" t="s">
        <v>1222</v>
      </c>
      <c r="D2577" t="s">
        <v>1599</v>
      </c>
      <c r="E2577" t="s">
        <v>873</v>
      </c>
      <c r="F2577" t="s">
        <v>1612</v>
      </c>
      <c r="I2577" t="s">
        <v>1077</v>
      </c>
      <c r="M2577" t="s">
        <v>209</v>
      </c>
      <c r="N2577" t="s">
        <v>209</v>
      </c>
      <c r="O2577" t="s">
        <v>6530</v>
      </c>
      <c r="P2577" t="s">
        <v>7624</v>
      </c>
      <c r="Q2577" t="str">
        <f>IF($C2577="","",IFERROR(VLOOKUP($C2577,sources!$A$2:$N$200,2,FALSE()),"?"))</f>
        <v>Newspaper</v>
      </c>
      <c r="S2577" t="str">
        <f>IF($C2577="","",IFERROR(VLOOKUP($C2577,sources!$A$2:$N$200,9,FALSE()),"?"))</f>
        <v>US press</v>
      </c>
    </row>
    <row r="2578" spans="1:19" x14ac:dyDescent="0.2">
      <c r="A2578" t="s">
        <v>7625</v>
      </c>
      <c r="B2578" t="s">
        <v>1031</v>
      </c>
      <c r="C2578" t="s">
        <v>1222</v>
      </c>
      <c r="D2578" t="s">
        <v>1599</v>
      </c>
      <c r="E2578" t="s">
        <v>7626</v>
      </c>
      <c r="F2578" t="s">
        <v>1612</v>
      </c>
      <c r="I2578" t="s">
        <v>1077</v>
      </c>
      <c r="M2578" t="s">
        <v>209</v>
      </c>
      <c r="N2578" t="s">
        <v>209</v>
      </c>
      <c r="O2578" t="s">
        <v>6530</v>
      </c>
      <c r="P2578" t="s">
        <v>7627</v>
      </c>
      <c r="Q2578" t="str">
        <f>IF($C2578="","",IFERROR(VLOOKUP($C2578,sources!$A$2:$N$200,2,FALSE()),"?"))</f>
        <v>Newspaper</v>
      </c>
      <c r="S2578" t="str">
        <f>IF($C2578="","",IFERROR(VLOOKUP($C2578,sources!$A$2:$N$200,9,FALSE()),"?"))</f>
        <v>US press</v>
      </c>
    </row>
    <row r="2579" spans="1:19" x14ac:dyDescent="0.2">
      <c r="A2579" t="s">
        <v>7628</v>
      </c>
      <c r="B2579" t="s">
        <v>1036</v>
      </c>
      <c r="C2579" t="s">
        <v>1222</v>
      </c>
      <c r="D2579" t="s">
        <v>1599</v>
      </c>
      <c r="E2579" t="s">
        <v>1037</v>
      </c>
      <c r="F2579" t="s">
        <v>1612</v>
      </c>
      <c r="I2579" t="s">
        <v>1077</v>
      </c>
      <c r="M2579" t="s">
        <v>209</v>
      </c>
      <c r="N2579" t="s">
        <v>209</v>
      </c>
      <c r="O2579" t="s">
        <v>6530</v>
      </c>
      <c r="P2579" t="s">
        <v>7629</v>
      </c>
      <c r="Q2579" t="str">
        <f>IF($C2579="","",IFERROR(VLOOKUP($C2579,sources!$A$2:$N$200,2,FALSE()),"?"))</f>
        <v>Newspaper</v>
      </c>
      <c r="S2579" t="str">
        <f>IF($C2579="","",IFERROR(VLOOKUP($C2579,sources!$A$2:$N$200,9,FALSE()),"?"))</f>
        <v>US press</v>
      </c>
    </row>
    <row r="2580" spans="1:19" x14ac:dyDescent="0.2">
      <c r="A2580" t="s">
        <v>7630</v>
      </c>
      <c r="B2580" t="s">
        <v>1040</v>
      </c>
      <c r="C2580" t="s">
        <v>1222</v>
      </c>
      <c r="D2580" t="s">
        <v>1599</v>
      </c>
      <c r="E2580" t="s">
        <v>1041</v>
      </c>
      <c r="F2580" t="s">
        <v>1612</v>
      </c>
      <c r="I2580" t="s">
        <v>1077</v>
      </c>
      <c r="M2580" t="s">
        <v>209</v>
      </c>
      <c r="N2580" t="s">
        <v>209</v>
      </c>
      <c r="O2580" t="s">
        <v>6530</v>
      </c>
      <c r="P2580" t="s">
        <v>7631</v>
      </c>
      <c r="Q2580" t="str">
        <f>IF($C2580="","",IFERROR(VLOOKUP($C2580,sources!$A$2:$N$200,2,FALSE()),"?"))</f>
        <v>Newspaper</v>
      </c>
      <c r="S2580" t="str">
        <f>IF($C2580="","",IFERROR(VLOOKUP($C2580,sources!$A$2:$N$200,9,FALSE()),"?"))</f>
        <v>US press</v>
      </c>
    </row>
    <row r="2581" spans="1:19" x14ac:dyDescent="0.2">
      <c r="A2581" t="s">
        <v>7632</v>
      </c>
      <c r="B2581" t="s">
        <v>1045</v>
      </c>
      <c r="C2581" t="s">
        <v>1222</v>
      </c>
      <c r="D2581" t="s">
        <v>1666</v>
      </c>
      <c r="E2581" t="s">
        <v>873</v>
      </c>
      <c r="F2581" t="s">
        <v>1612</v>
      </c>
      <c r="I2581" t="s">
        <v>1077</v>
      </c>
      <c r="M2581" t="s">
        <v>209</v>
      </c>
      <c r="N2581" t="s">
        <v>228</v>
      </c>
      <c r="O2581" t="s">
        <v>6530</v>
      </c>
      <c r="P2581" t="s">
        <v>7633</v>
      </c>
      <c r="Q2581" t="str">
        <f>IF($C2581="","",IFERROR(VLOOKUP($C2581,sources!$A$2:$N$200,2,FALSE()),"?"))</f>
        <v>Newspaper</v>
      </c>
      <c r="S2581" t="str">
        <f>IF($C2581="","",IFERROR(VLOOKUP($C2581,sources!$A$2:$N$200,9,FALSE()),"?"))</f>
        <v>US press</v>
      </c>
    </row>
    <row r="2582" spans="1:19" x14ac:dyDescent="0.2">
      <c r="A2582" t="s">
        <v>7634</v>
      </c>
      <c r="B2582" t="s">
        <v>1045</v>
      </c>
      <c r="C2582" t="s">
        <v>1464</v>
      </c>
      <c r="D2582" t="s">
        <v>1666</v>
      </c>
      <c r="E2582" t="s">
        <v>873</v>
      </c>
      <c r="F2582" t="s">
        <v>1612</v>
      </c>
      <c r="I2582" t="s">
        <v>1077</v>
      </c>
      <c r="M2582" t="s">
        <v>209</v>
      </c>
      <c r="N2582" t="s">
        <v>228</v>
      </c>
      <c r="O2582" t="s">
        <v>6530</v>
      </c>
      <c r="P2582" t="s">
        <v>7635</v>
      </c>
      <c r="Q2582" t="str">
        <f>IF($C2582="","",IFERROR(VLOOKUP($C2582,sources!$A$2:$N$200,2,FALSE()),"?"))</f>
        <v>Newspaper</v>
      </c>
      <c r="S2582" t="str">
        <f>IF($C2582="","",IFERROR(VLOOKUP($C2582,sources!$A$2:$N$200,9,FALSE()),"?"))</f>
        <v>Panamanian</v>
      </c>
    </row>
    <row r="2583" spans="1:19" x14ac:dyDescent="0.2">
      <c r="A2583" t="s">
        <v>7636</v>
      </c>
      <c r="B2583" t="s">
        <v>1027</v>
      </c>
      <c r="C2583" t="s">
        <v>1464</v>
      </c>
      <c r="D2583" t="s">
        <v>1666</v>
      </c>
      <c r="E2583" t="s">
        <v>873</v>
      </c>
      <c r="F2583" t="s">
        <v>1612</v>
      </c>
      <c r="I2583" t="s">
        <v>1077</v>
      </c>
      <c r="M2583" t="s">
        <v>209</v>
      </c>
      <c r="N2583" t="s">
        <v>228</v>
      </c>
      <c r="O2583" t="s">
        <v>6530</v>
      </c>
      <c r="P2583" t="s">
        <v>7637</v>
      </c>
      <c r="Q2583" t="str">
        <f>IF($C2583="","",IFERROR(VLOOKUP($C2583,sources!$A$2:$N$200,2,FALSE()),"?"))</f>
        <v>Newspaper</v>
      </c>
      <c r="S2583" t="str">
        <f>IF($C2583="","",IFERROR(VLOOKUP($C2583,sources!$A$2:$N$200,9,FALSE()),"?"))</f>
        <v>Panamanian</v>
      </c>
    </row>
    <row r="2584" spans="1:19" x14ac:dyDescent="0.2">
      <c r="A2584" t="s">
        <v>7638</v>
      </c>
      <c r="B2584" t="s">
        <v>1045</v>
      </c>
      <c r="C2584" t="s">
        <v>1277</v>
      </c>
      <c r="D2584" t="s">
        <v>1666</v>
      </c>
      <c r="E2584" t="s">
        <v>873</v>
      </c>
      <c r="F2584" t="s">
        <v>1612</v>
      </c>
      <c r="I2584" t="s">
        <v>1077</v>
      </c>
      <c r="M2584" t="s">
        <v>209</v>
      </c>
      <c r="N2584" t="s">
        <v>228</v>
      </c>
      <c r="O2584" t="s">
        <v>6530</v>
      </c>
      <c r="P2584" t="s">
        <v>7639</v>
      </c>
      <c r="Q2584" t="str">
        <f>IF($C2584="","",IFERROR(VLOOKUP($C2584,sources!$A$2:$N$200,2,FALSE()),"?"))</f>
        <v>Administrative</v>
      </c>
      <c r="S2584" t="str">
        <f>IF($C2584="","",IFERROR(VLOOKUP($C2584,sources!$A$2:$N$200,9,FALSE()),"?"))</f>
        <v>US official</v>
      </c>
    </row>
    <row r="2585" spans="1:19" x14ac:dyDescent="0.2">
      <c r="A2585" t="s">
        <v>7640</v>
      </c>
      <c r="B2585" t="s">
        <v>1045</v>
      </c>
      <c r="C2585" t="s">
        <v>1412</v>
      </c>
      <c r="D2585" t="s">
        <v>1666</v>
      </c>
      <c r="E2585" t="s">
        <v>873</v>
      </c>
      <c r="F2585" t="s">
        <v>1612</v>
      </c>
      <c r="I2585" t="s">
        <v>1077</v>
      </c>
      <c r="M2585" t="s">
        <v>209</v>
      </c>
      <c r="N2585" t="s">
        <v>228</v>
      </c>
      <c r="O2585" t="s">
        <v>6530</v>
      </c>
      <c r="P2585" t="s">
        <v>7641</v>
      </c>
      <c r="Q2585" t="str">
        <f>IF($C2585="","",IFERROR(VLOOKUP($C2585,sources!$A$2:$N$200,2,FALSE()),"?"))</f>
        <v>Web compilation</v>
      </c>
      <c r="S2585" t="str">
        <f>IF($C2585="","",IFERROR(VLOOKUP($C2585,sources!$A$2:$N$200,9,FALSE()),"?"))</f>
        <v>Caribbean community</v>
      </c>
    </row>
    <row r="2586" spans="1:19" x14ac:dyDescent="0.2">
      <c r="A2586" t="s">
        <v>7642</v>
      </c>
      <c r="B2586" t="s">
        <v>349</v>
      </c>
      <c r="C2586" t="s">
        <v>1389</v>
      </c>
      <c r="D2586" t="s">
        <v>1594</v>
      </c>
      <c r="E2586" t="s">
        <v>7643</v>
      </c>
      <c r="F2586" t="s">
        <v>1612</v>
      </c>
      <c r="G2586">
        <v>9.3635789999999997</v>
      </c>
      <c r="H2586">
        <v>-79.908794</v>
      </c>
      <c r="I2586" t="s">
        <v>4813</v>
      </c>
      <c r="J2586">
        <v>300</v>
      </c>
      <c r="K2586">
        <v>1940</v>
      </c>
      <c r="L2586">
        <v>1940</v>
      </c>
      <c r="M2586" t="s">
        <v>222</v>
      </c>
      <c r="N2586" t="s">
        <v>222</v>
      </c>
      <c r="O2586" t="s">
        <v>7644</v>
      </c>
      <c r="P2586" t="s">
        <v>7645</v>
      </c>
      <c r="Q2586" t="str">
        <f>IF($C2586="","",IFERROR(VLOOKUP($C2586,sources!$A$2:$N$200,2,FALSE()),"?"))</f>
        <v>Map</v>
      </c>
      <c r="S2586" t="str">
        <f>IF($C2586="","",IFERROR(VLOOKUP($C2586,sources!$A$2:$N$200,9,FALSE()),"?"))</f>
        <v>US official</v>
      </c>
    </row>
    <row r="2587" spans="1:19" x14ac:dyDescent="0.2">
      <c r="A2587" t="s">
        <v>7646</v>
      </c>
      <c r="B2587" t="s">
        <v>1021</v>
      </c>
      <c r="C2587" t="s">
        <v>1389</v>
      </c>
      <c r="D2587" t="s">
        <v>1594</v>
      </c>
      <c r="E2587" t="s">
        <v>7647</v>
      </c>
      <c r="F2587" t="s">
        <v>1612</v>
      </c>
      <c r="G2587">
        <v>9.3649290000000001</v>
      </c>
      <c r="H2587">
        <v>-79.910781</v>
      </c>
      <c r="I2587" t="s">
        <v>4813</v>
      </c>
      <c r="J2587">
        <v>200</v>
      </c>
      <c r="K2587">
        <v>1940</v>
      </c>
      <c r="L2587">
        <v>1940</v>
      </c>
      <c r="M2587" t="s">
        <v>222</v>
      </c>
      <c r="N2587" t="s">
        <v>222</v>
      </c>
      <c r="O2587" t="s">
        <v>7644</v>
      </c>
      <c r="P2587" t="s">
        <v>7648</v>
      </c>
      <c r="Q2587" t="str">
        <f>IF($C2587="","",IFERROR(VLOOKUP($C2587,sources!$A$2:$N$200,2,FALSE()),"?"))</f>
        <v>Map</v>
      </c>
      <c r="S2587" t="str">
        <f>IF($C2587="","",IFERROR(VLOOKUP($C2587,sources!$A$2:$N$200,9,FALSE()),"?"))</f>
        <v>US official</v>
      </c>
    </row>
    <row r="2588" spans="1:19" x14ac:dyDescent="0.2">
      <c r="A2588" t="s">
        <v>7649</v>
      </c>
      <c r="B2588" t="s">
        <v>349</v>
      </c>
      <c r="C2588" t="s">
        <v>1389</v>
      </c>
      <c r="D2588" t="s">
        <v>1594</v>
      </c>
      <c r="E2588" t="s">
        <v>7650</v>
      </c>
      <c r="F2588" t="s">
        <v>1612</v>
      </c>
      <c r="G2588">
        <v>9.3629770000000008</v>
      </c>
      <c r="H2588">
        <v>-79.898173999999997</v>
      </c>
      <c r="I2588" t="s">
        <v>4813</v>
      </c>
      <c r="J2588">
        <v>300</v>
      </c>
      <c r="K2588">
        <v>1940</v>
      </c>
      <c r="L2588">
        <v>1940</v>
      </c>
      <c r="M2588" t="s">
        <v>222</v>
      </c>
      <c r="N2588" t="s">
        <v>222</v>
      </c>
      <c r="O2588" t="s">
        <v>7651</v>
      </c>
      <c r="P2588" t="s">
        <v>7652</v>
      </c>
      <c r="Q2588" t="str">
        <f>IF($C2588="","",IFERROR(VLOOKUP($C2588,sources!$A$2:$N$200,2,FALSE()),"?"))</f>
        <v>Map</v>
      </c>
      <c r="S2588" t="str">
        <f>IF($C2588="","",IFERROR(VLOOKUP($C2588,sources!$A$2:$N$200,9,FALSE()),"?"))</f>
        <v>US official</v>
      </c>
    </row>
    <row r="2589" spans="1:19" x14ac:dyDescent="0.2">
      <c r="A2589" t="s">
        <v>7653</v>
      </c>
      <c r="B2589" t="s">
        <v>544</v>
      </c>
      <c r="C2589" t="s">
        <v>1389</v>
      </c>
      <c r="D2589" t="s">
        <v>1594</v>
      </c>
      <c r="E2589" t="s">
        <v>7654</v>
      </c>
      <c r="F2589" t="s">
        <v>1612</v>
      </c>
      <c r="G2589">
        <v>9.0024639999999998</v>
      </c>
      <c r="H2589">
        <v>-79.584598</v>
      </c>
      <c r="I2589" t="s">
        <v>4813</v>
      </c>
      <c r="J2589">
        <v>800</v>
      </c>
      <c r="K2589">
        <v>1940</v>
      </c>
      <c r="L2589">
        <v>1940</v>
      </c>
      <c r="M2589" t="s">
        <v>222</v>
      </c>
      <c r="N2589" t="s">
        <v>228</v>
      </c>
      <c r="O2589" t="s">
        <v>7655</v>
      </c>
      <c r="P2589" t="s">
        <v>7656</v>
      </c>
      <c r="Q2589" t="str">
        <f>IF($C2589="","",IFERROR(VLOOKUP($C2589,sources!$A$2:$N$200,2,FALSE()),"?"))</f>
        <v>Map</v>
      </c>
      <c r="S2589" t="str">
        <f>IF($C2589="","",IFERROR(VLOOKUP($C2589,sources!$A$2:$N$200,9,FALSE()),"?"))</f>
        <v>US official</v>
      </c>
    </row>
    <row r="2590" spans="1:19" x14ac:dyDescent="0.2">
      <c r="A2590" t="s">
        <v>7657</v>
      </c>
      <c r="B2590" t="s">
        <v>370</v>
      </c>
      <c r="C2590" t="s">
        <v>1389</v>
      </c>
      <c r="D2590" t="s">
        <v>1594</v>
      </c>
      <c r="E2590" t="s">
        <v>7658</v>
      </c>
      <c r="F2590" t="s">
        <v>1612</v>
      </c>
      <c r="G2590">
        <v>8.9820340000000005</v>
      </c>
      <c r="H2590">
        <v>-79.570077999999995</v>
      </c>
      <c r="I2590" t="s">
        <v>4813</v>
      </c>
      <c r="J2590">
        <v>400</v>
      </c>
      <c r="K2590">
        <v>1940</v>
      </c>
      <c r="L2590">
        <v>1940</v>
      </c>
      <c r="M2590" t="s">
        <v>222</v>
      </c>
      <c r="N2590" t="s">
        <v>222</v>
      </c>
      <c r="O2590" t="s">
        <v>7655</v>
      </c>
      <c r="P2590" t="s">
        <v>7659</v>
      </c>
      <c r="Q2590" t="str">
        <f>IF($C2590="","",IFERROR(VLOOKUP($C2590,sources!$A$2:$N$200,2,FALSE()),"?"))</f>
        <v>Map</v>
      </c>
      <c r="S2590" t="str">
        <f>IF($C2590="","",IFERROR(VLOOKUP($C2590,sources!$A$2:$N$200,9,FALSE()),"?"))</f>
        <v>US official</v>
      </c>
    </row>
    <row r="2591" spans="1:19" x14ac:dyDescent="0.2">
      <c r="A2591" t="s">
        <v>7660</v>
      </c>
      <c r="B2591" t="s">
        <v>966</v>
      </c>
      <c r="C2591" t="s">
        <v>1222</v>
      </c>
      <c r="D2591" t="s">
        <v>1599</v>
      </c>
      <c r="E2591" t="s">
        <v>7661</v>
      </c>
      <c r="F2591" t="s">
        <v>1612</v>
      </c>
      <c r="I2591" t="s">
        <v>1077</v>
      </c>
      <c r="K2591">
        <v>1889</v>
      </c>
      <c r="L2591">
        <v>1889</v>
      </c>
      <c r="M2591" t="s">
        <v>228</v>
      </c>
      <c r="N2591" t="s">
        <v>222</v>
      </c>
      <c r="O2591" t="s">
        <v>7662</v>
      </c>
      <c r="P2591" t="s">
        <v>7663</v>
      </c>
      <c r="Q2591" t="str">
        <f>IF($C2591="","",IFERROR(VLOOKUP($C2591,sources!$A$2:$N$200,2,FALSE()),"?"))</f>
        <v>Newspaper</v>
      </c>
      <c r="S2591" t="str">
        <f>IF($C2591="","",IFERROR(VLOOKUP($C2591,sources!$A$2:$N$200,9,FALSE()),"?"))</f>
        <v>US press</v>
      </c>
    </row>
    <row r="2592" spans="1:19" x14ac:dyDescent="0.2">
      <c r="A2592" t="s">
        <v>7664</v>
      </c>
      <c r="B2592" t="s">
        <v>957</v>
      </c>
      <c r="C2592" t="s">
        <v>1222</v>
      </c>
      <c r="D2592" t="s">
        <v>1599</v>
      </c>
      <c r="E2592" t="s">
        <v>958</v>
      </c>
      <c r="F2592" t="s">
        <v>1612</v>
      </c>
      <c r="I2592" t="s">
        <v>1077</v>
      </c>
      <c r="K2592">
        <v>1889</v>
      </c>
      <c r="L2592">
        <v>1889</v>
      </c>
      <c r="M2592" t="s">
        <v>228</v>
      </c>
      <c r="N2592" t="s">
        <v>222</v>
      </c>
      <c r="O2592" t="s">
        <v>7662</v>
      </c>
      <c r="P2592" t="s">
        <v>7665</v>
      </c>
      <c r="Q2592" t="str">
        <f>IF($C2592="","",IFERROR(VLOOKUP($C2592,sources!$A$2:$N$200,2,FALSE()),"?"))</f>
        <v>Newspaper</v>
      </c>
      <c r="S2592" t="str">
        <f>IF($C2592="","",IFERROR(VLOOKUP($C2592,sources!$A$2:$N$200,9,FALSE()),"?"))</f>
        <v>US press</v>
      </c>
    </row>
    <row r="2593" spans="1:19" x14ac:dyDescent="0.2">
      <c r="A2593" t="s">
        <v>7666</v>
      </c>
      <c r="B2593" t="s">
        <v>466</v>
      </c>
      <c r="C2593" t="s">
        <v>1389</v>
      </c>
      <c r="D2593" t="s">
        <v>1594</v>
      </c>
      <c r="E2593" t="s">
        <v>7667</v>
      </c>
      <c r="F2593" t="s">
        <v>1612</v>
      </c>
      <c r="G2593">
        <v>8.9142919999999997</v>
      </c>
      <c r="H2593">
        <v>-79.570660000000004</v>
      </c>
      <c r="I2593" t="s">
        <v>4813</v>
      </c>
      <c r="J2593">
        <v>400</v>
      </c>
      <c r="K2593">
        <v>1940</v>
      </c>
      <c r="L2593">
        <v>1940</v>
      </c>
      <c r="M2593" t="s">
        <v>222</v>
      </c>
      <c r="N2593" t="s">
        <v>222</v>
      </c>
      <c r="O2593" t="s">
        <v>7668</v>
      </c>
      <c r="P2593" t="s">
        <v>7669</v>
      </c>
      <c r="Q2593" t="str">
        <f>IF($C2593="","",IFERROR(VLOOKUP($C2593,sources!$A$2:$N$200,2,FALSE()),"?"))</f>
        <v>Map</v>
      </c>
      <c r="S2593" t="str">
        <f>IF($C2593="","",IFERROR(VLOOKUP($C2593,sources!$A$2:$N$200,9,FALSE()),"?"))</f>
        <v>US official</v>
      </c>
    </row>
    <row r="2594" spans="1:19" x14ac:dyDescent="0.2">
      <c r="A2594" t="s">
        <v>7670</v>
      </c>
      <c r="B2594" t="s">
        <v>835</v>
      </c>
      <c r="C2594" t="s">
        <v>1403</v>
      </c>
      <c r="D2594" t="s">
        <v>1599</v>
      </c>
      <c r="E2594" t="s">
        <v>6544</v>
      </c>
      <c r="F2594" t="s">
        <v>1612</v>
      </c>
      <c r="I2594" t="s">
        <v>1077</v>
      </c>
      <c r="M2594" t="s">
        <v>209</v>
      </c>
      <c r="N2594" t="s">
        <v>209</v>
      </c>
      <c r="O2594" t="s">
        <v>6530</v>
      </c>
      <c r="P2594" t="s">
        <v>7671</v>
      </c>
      <c r="Q2594" t="str">
        <f>IF($C2594="","",IFERROR(VLOOKUP($C2594,sources!$A$2:$N$200,2,FALSE()),"?"))</f>
        <v>Newspaper</v>
      </c>
      <c r="S2594" t="str">
        <f>IF($C2594="","",IFERROR(VLOOKUP($C2594,sources!$A$2:$N$200,9,FALSE()),"?"))</f>
        <v>Caribbean community</v>
      </c>
    </row>
    <row r="2595" spans="1:19" x14ac:dyDescent="0.2">
      <c r="A2595" t="s">
        <v>7672</v>
      </c>
      <c r="B2595" t="s">
        <v>871</v>
      </c>
      <c r="C2595" t="s">
        <v>1403</v>
      </c>
      <c r="D2595" t="s">
        <v>1666</v>
      </c>
      <c r="E2595" t="s">
        <v>873</v>
      </c>
      <c r="F2595" t="s">
        <v>1612</v>
      </c>
      <c r="I2595" t="s">
        <v>1077</v>
      </c>
      <c r="N2595" t="s">
        <v>228</v>
      </c>
      <c r="O2595" t="s">
        <v>6530</v>
      </c>
      <c r="P2595" t="s">
        <v>7673</v>
      </c>
      <c r="Q2595" t="str">
        <f>IF($C2595="","",IFERROR(VLOOKUP($C2595,sources!$A$2:$N$200,2,FALSE()),"?"))</f>
        <v>Newspaper</v>
      </c>
      <c r="S2595" t="str">
        <f>IF($C2595="","",IFERROR(VLOOKUP($C2595,sources!$A$2:$N$200,9,FALSE()),"?"))</f>
        <v>Caribbean community</v>
      </c>
    </row>
    <row r="2596" spans="1:19" x14ac:dyDescent="0.2">
      <c r="A2596" t="s">
        <v>7674</v>
      </c>
      <c r="B2596" t="s">
        <v>1027</v>
      </c>
      <c r="C2596" t="s">
        <v>1403</v>
      </c>
      <c r="D2596" t="s">
        <v>1666</v>
      </c>
      <c r="E2596" t="s">
        <v>873</v>
      </c>
      <c r="F2596" t="s">
        <v>1612</v>
      </c>
      <c r="I2596" t="s">
        <v>1077</v>
      </c>
      <c r="N2596" t="s">
        <v>228</v>
      </c>
      <c r="O2596" t="s">
        <v>6530</v>
      </c>
      <c r="P2596" t="s">
        <v>7675</v>
      </c>
      <c r="Q2596" t="str">
        <f>IF($C2596="","",IFERROR(VLOOKUP($C2596,sources!$A$2:$N$200,2,FALSE()),"?"))</f>
        <v>Newspaper</v>
      </c>
      <c r="S2596" t="str">
        <f>IF($C2596="","",IFERROR(VLOOKUP($C2596,sources!$A$2:$N$200,9,FALSE()),"?"))</f>
        <v>Caribbean community</v>
      </c>
    </row>
    <row r="2597" spans="1:19" x14ac:dyDescent="0.2">
      <c r="A2597" t="s">
        <v>7676</v>
      </c>
      <c r="B2597" t="s">
        <v>1045</v>
      </c>
      <c r="C2597" t="s">
        <v>1403</v>
      </c>
      <c r="D2597" t="s">
        <v>1666</v>
      </c>
      <c r="E2597" t="s">
        <v>873</v>
      </c>
      <c r="F2597" t="s">
        <v>1612</v>
      </c>
      <c r="I2597" t="s">
        <v>1077</v>
      </c>
      <c r="N2597" t="s">
        <v>228</v>
      </c>
      <c r="O2597" t="s">
        <v>6530</v>
      </c>
      <c r="P2597" t="s">
        <v>7677</v>
      </c>
      <c r="Q2597" t="str">
        <f>IF($C2597="","",IFERROR(VLOOKUP($C2597,sources!$A$2:$N$200,2,FALSE()),"?"))</f>
        <v>Newspaper</v>
      </c>
      <c r="S2597" t="str">
        <f>IF($C2597="","",IFERROR(VLOOKUP($C2597,sources!$A$2:$N$200,9,FALSE()),"?"))</f>
        <v>Caribbean community</v>
      </c>
    </row>
    <row r="2598" spans="1:19" x14ac:dyDescent="0.2">
      <c r="A2598" t="s">
        <v>7678</v>
      </c>
      <c r="B2598" t="s">
        <v>936</v>
      </c>
      <c r="C2598" t="s">
        <v>1403</v>
      </c>
      <c r="D2598" t="s">
        <v>1666</v>
      </c>
      <c r="E2598" t="s">
        <v>937</v>
      </c>
      <c r="F2598" t="s">
        <v>1612</v>
      </c>
      <c r="I2598" t="s">
        <v>1077</v>
      </c>
      <c r="N2598" t="s">
        <v>228</v>
      </c>
      <c r="O2598" t="s">
        <v>6530</v>
      </c>
      <c r="P2598" t="s">
        <v>7679</v>
      </c>
      <c r="Q2598" t="str">
        <f>IF($C2598="","",IFERROR(VLOOKUP($C2598,sources!$A$2:$N$200,2,FALSE()),"?"))</f>
        <v>Newspaper</v>
      </c>
      <c r="S2598" t="str">
        <f>IF($C2598="","",IFERROR(VLOOKUP($C2598,sources!$A$2:$N$200,9,FALSE()),"?"))</f>
        <v>Caribbean community</v>
      </c>
    </row>
    <row r="2599" spans="1:19" x14ac:dyDescent="0.2">
      <c r="A2599" t="s">
        <v>7680</v>
      </c>
      <c r="B2599" t="s">
        <v>939</v>
      </c>
      <c r="C2599" t="s">
        <v>1403</v>
      </c>
      <c r="D2599" t="s">
        <v>1599</v>
      </c>
      <c r="E2599" t="s">
        <v>940</v>
      </c>
      <c r="F2599" t="s">
        <v>1612</v>
      </c>
      <c r="I2599" t="s">
        <v>1077</v>
      </c>
      <c r="M2599" t="s">
        <v>209</v>
      </c>
      <c r="N2599" t="s">
        <v>209</v>
      </c>
      <c r="O2599" t="s">
        <v>6530</v>
      </c>
      <c r="P2599" t="s">
        <v>7681</v>
      </c>
      <c r="Q2599" t="str">
        <f>IF($C2599="","",IFERROR(VLOOKUP($C2599,sources!$A$2:$N$200,2,FALSE()),"?"))</f>
        <v>Newspaper</v>
      </c>
      <c r="S2599" t="str">
        <f>IF($C2599="","",IFERROR(VLOOKUP($C2599,sources!$A$2:$N$200,9,FALSE()),"?"))</f>
        <v>Caribbean community</v>
      </c>
    </row>
    <row r="2600" spans="1:19" x14ac:dyDescent="0.2">
      <c r="A2600" t="s">
        <v>7682</v>
      </c>
      <c r="B2600" t="s">
        <v>947</v>
      </c>
      <c r="C2600" t="s">
        <v>1403</v>
      </c>
      <c r="D2600" t="s">
        <v>1599</v>
      </c>
      <c r="E2600" t="s">
        <v>394</v>
      </c>
      <c r="F2600" t="s">
        <v>1612</v>
      </c>
      <c r="I2600" t="s">
        <v>1077</v>
      </c>
      <c r="M2600" t="s">
        <v>209</v>
      </c>
      <c r="N2600" t="s">
        <v>209</v>
      </c>
      <c r="O2600" t="s">
        <v>6530</v>
      </c>
      <c r="P2600" t="s">
        <v>7683</v>
      </c>
      <c r="Q2600" t="str">
        <f>IF($C2600="","",IFERROR(VLOOKUP($C2600,sources!$A$2:$N$200,2,FALSE()),"?"))</f>
        <v>Newspaper</v>
      </c>
      <c r="S2600" t="str">
        <f>IF($C2600="","",IFERROR(VLOOKUP($C2600,sources!$A$2:$N$200,9,FALSE()),"?"))</f>
        <v>Caribbean community</v>
      </c>
    </row>
    <row r="2601" spans="1:19" x14ac:dyDescent="0.2">
      <c r="A2601" t="s">
        <v>7684</v>
      </c>
      <c r="B2601" t="s">
        <v>962</v>
      </c>
      <c r="C2601" t="s">
        <v>1403</v>
      </c>
      <c r="D2601" t="s">
        <v>1599</v>
      </c>
      <c r="E2601" t="s">
        <v>6160</v>
      </c>
      <c r="F2601" t="s">
        <v>1612</v>
      </c>
      <c r="I2601" t="s">
        <v>1077</v>
      </c>
      <c r="M2601" t="s">
        <v>209</v>
      </c>
      <c r="N2601" t="s">
        <v>209</v>
      </c>
      <c r="O2601" t="s">
        <v>6530</v>
      </c>
      <c r="P2601" t="s">
        <v>7685</v>
      </c>
      <c r="Q2601" t="str">
        <f>IF($C2601="","",IFERROR(VLOOKUP($C2601,sources!$A$2:$N$200,2,FALSE()),"?"))</f>
        <v>Newspaper</v>
      </c>
      <c r="S2601" t="str">
        <f>IF($C2601="","",IFERROR(VLOOKUP($C2601,sources!$A$2:$N$200,9,FALSE()),"?"))</f>
        <v>Caribbean community</v>
      </c>
    </row>
    <row r="2602" spans="1:19" x14ac:dyDescent="0.2">
      <c r="A2602" t="s">
        <v>7686</v>
      </c>
      <c r="B2602" t="s">
        <v>966</v>
      </c>
      <c r="C2602" t="s">
        <v>1403</v>
      </c>
      <c r="D2602" t="s">
        <v>1599</v>
      </c>
      <c r="E2602" t="s">
        <v>7687</v>
      </c>
      <c r="F2602" t="s">
        <v>1612</v>
      </c>
      <c r="I2602" t="s">
        <v>1077</v>
      </c>
      <c r="M2602" t="s">
        <v>209</v>
      </c>
      <c r="N2602" t="s">
        <v>209</v>
      </c>
      <c r="O2602" t="s">
        <v>6530</v>
      </c>
      <c r="P2602" t="s">
        <v>7688</v>
      </c>
      <c r="Q2602" t="str">
        <f>IF($C2602="","",IFERROR(VLOOKUP($C2602,sources!$A$2:$N$200,2,FALSE()),"?"))</f>
        <v>Newspaper</v>
      </c>
      <c r="S2602" t="str">
        <f>IF($C2602="","",IFERROR(VLOOKUP($C2602,sources!$A$2:$N$200,9,FALSE()),"?"))</f>
        <v>Caribbean community</v>
      </c>
    </row>
    <row r="2603" spans="1:19" x14ac:dyDescent="0.2">
      <c r="A2603" t="s">
        <v>7689</v>
      </c>
      <c r="B2603" t="s">
        <v>955</v>
      </c>
      <c r="C2603" t="s">
        <v>1403</v>
      </c>
      <c r="D2603" t="s">
        <v>1599</v>
      </c>
      <c r="E2603" t="s">
        <v>6737</v>
      </c>
      <c r="F2603" t="s">
        <v>1612</v>
      </c>
      <c r="I2603" t="s">
        <v>1077</v>
      </c>
      <c r="M2603" t="s">
        <v>209</v>
      </c>
      <c r="N2603" t="s">
        <v>209</v>
      </c>
      <c r="O2603" t="s">
        <v>6530</v>
      </c>
      <c r="P2603" t="s">
        <v>7690</v>
      </c>
      <c r="Q2603" t="str">
        <f>IF($C2603="","",IFERROR(VLOOKUP($C2603,sources!$A$2:$N$200,2,FALSE()),"?"))</f>
        <v>Newspaper</v>
      </c>
      <c r="S2603" t="str">
        <f>IF($C2603="","",IFERROR(VLOOKUP($C2603,sources!$A$2:$N$200,9,FALSE()),"?"))</f>
        <v>Caribbean community</v>
      </c>
    </row>
    <row r="2604" spans="1:19" x14ac:dyDescent="0.2">
      <c r="A2604" t="s">
        <v>7691</v>
      </c>
      <c r="B2604" t="s">
        <v>1031</v>
      </c>
      <c r="C2604" t="s">
        <v>1403</v>
      </c>
      <c r="D2604" t="s">
        <v>1666</v>
      </c>
      <c r="E2604" t="s">
        <v>1032</v>
      </c>
      <c r="F2604" t="s">
        <v>1612</v>
      </c>
      <c r="I2604" t="s">
        <v>1077</v>
      </c>
      <c r="N2604" t="s">
        <v>228</v>
      </c>
      <c r="O2604" t="s">
        <v>6530</v>
      </c>
      <c r="P2604" t="s">
        <v>7692</v>
      </c>
      <c r="Q2604" t="str">
        <f>IF($C2604="","",IFERROR(VLOOKUP($C2604,sources!$A$2:$N$200,2,FALSE()),"?"))</f>
        <v>Newspaper</v>
      </c>
      <c r="S2604" t="str">
        <f>IF($C2604="","",IFERROR(VLOOKUP($C2604,sources!$A$2:$N$200,9,FALSE()),"?"))</f>
        <v>Caribbean community</v>
      </c>
    </row>
    <row r="2605" spans="1:19" x14ac:dyDescent="0.2">
      <c r="A2605" t="s">
        <v>7693</v>
      </c>
      <c r="B2605" t="s">
        <v>858</v>
      </c>
      <c r="C2605" t="s">
        <v>1403</v>
      </c>
      <c r="D2605" t="s">
        <v>1599</v>
      </c>
      <c r="E2605" t="s">
        <v>530</v>
      </c>
      <c r="F2605" t="s">
        <v>1612</v>
      </c>
      <c r="I2605" t="s">
        <v>1077</v>
      </c>
      <c r="M2605" t="s">
        <v>209</v>
      </c>
      <c r="N2605" t="s">
        <v>209</v>
      </c>
      <c r="O2605" t="s">
        <v>6530</v>
      </c>
      <c r="P2605" t="s">
        <v>7694</v>
      </c>
      <c r="Q2605" t="str">
        <f>IF($C2605="","",IFERROR(VLOOKUP($C2605,sources!$A$2:$N$200,2,FALSE()),"?"))</f>
        <v>Newspaper</v>
      </c>
      <c r="S2605" t="str">
        <f>IF($C2605="","",IFERROR(VLOOKUP($C2605,sources!$A$2:$N$200,9,FALSE()),"?"))</f>
        <v>Caribbean community</v>
      </c>
    </row>
    <row r="2606" spans="1:19" x14ac:dyDescent="0.2">
      <c r="A2606" t="s">
        <v>7695</v>
      </c>
      <c r="B2606" t="s">
        <v>863</v>
      </c>
      <c r="C2606" t="s">
        <v>1403</v>
      </c>
      <c r="D2606" t="s">
        <v>1599</v>
      </c>
      <c r="E2606" t="s">
        <v>364</v>
      </c>
      <c r="F2606" t="s">
        <v>1612</v>
      </c>
      <c r="I2606" t="s">
        <v>1077</v>
      </c>
      <c r="M2606" t="s">
        <v>209</v>
      </c>
      <c r="N2606" t="s">
        <v>209</v>
      </c>
      <c r="O2606" t="s">
        <v>6530</v>
      </c>
      <c r="P2606" t="s">
        <v>7696</v>
      </c>
      <c r="Q2606" t="str">
        <f>IF($C2606="","",IFERROR(VLOOKUP($C2606,sources!$A$2:$N$200,2,FALSE()),"?"))</f>
        <v>Newspaper</v>
      </c>
      <c r="S2606" t="str">
        <f>IF($C2606="","",IFERROR(VLOOKUP($C2606,sources!$A$2:$N$200,9,FALSE()),"?"))</f>
        <v>Caribbean community</v>
      </c>
    </row>
    <row r="2607" spans="1:19" x14ac:dyDescent="0.2">
      <c r="A2607" t="s">
        <v>7697</v>
      </c>
      <c r="B2607" t="s">
        <v>978</v>
      </c>
      <c r="C2607" t="s">
        <v>1464</v>
      </c>
      <c r="D2607" t="s">
        <v>1599</v>
      </c>
      <c r="E2607" t="s">
        <v>979</v>
      </c>
      <c r="F2607" t="s">
        <v>1612</v>
      </c>
      <c r="I2607" t="s">
        <v>1077</v>
      </c>
      <c r="K2607">
        <v>1904</v>
      </c>
      <c r="L2607">
        <v>1904</v>
      </c>
      <c r="M2607" t="s">
        <v>228</v>
      </c>
      <c r="N2607" t="s">
        <v>228</v>
      </c>
      <c r="O2607" t="s">
        <v>6530</v>
      </c>
      <c r="P2607" t="s">
        <v>7698</v>
      </c>
      <c r="Q2607" t="str">
        <f>IF($C2607="","",IFERROR(VLOOKUP($C2607,sources!$A$2:$N$200,2,FALSE()),"?"))</f>
        <v>Newspaper</v>
      </c>
      <c r="S2607" t="str">
        <f>IF($C2607="","",IFERROR(VLOOKUP($C2607,sources!$A$2:$N$200,9,FALSE()),"?"))</f>
        <v>Panamanian</v>
      </c>
    </row>
    <row r="2608" spans="1:19" x14ac:dyDescent="0.2">
      <c r="A2608" t="s">
        <v>7699</v>
      </c>
      <c r="B2608" t="s">
        <v>805</v>
      </c>
      <c r="C2608" t="s">
        <v>1464</v>
      </c>
      <c r="D2608" t="s">
        <v>1666</v>
      </c>
      <c r="E2608" t="s">
        <v>806</v>
      </c>
      <c r="F2608" t="s">
        <v>1612</v>
      </c>
      <c r="I2608" t="s">
        <v>1077</v>
      </c>
      <c r="N2608" t="s">
        <v>228</v>
      </c>
      <c r="O2608" t="s">
        <v>6530</v>
      </c>
      <c r="P2608" t="s">
        <v>7700</v>
      </c>
      <c r="Q2608" t="str">
        <f>IF($C2608="","",IFERROR(VLOOKUP($C2608,sources!$A$2:$N$200,2,FALSE()),"?"))</f>
        <v>Newspaper</v>
      </c>
      <c r="S2608" t="str">
        <f>IF($C2608="","",IFERROR(VLOOKUP($C2608,sources!$A$2:$N$200,9,FALSE()),"?"))</f>
        <v>Panamanian</v>
      </c>
    </row>
    <row r="2609" spans="1:19" x14ac:dyDescent="0.2">
      <c r="A2609" t="s">
        <v>7701</v>
      </c>
      <c r="B2609" t="s">
        <v>671</v>
      </c>
      <c r="C2609" t="s">
        <v>1412</v>
      </c>
      <c r="D2609" t="s">
        <v>1666</v>
      </c>
      <c r="E2609" t="s">
        <v>4048</v>
      </c>
      <c r="F2609" t="s">
        <v>1612</v>
      </c>
      <c r="I2609" t="s">
        <v>1077</v>
      </c>
      <c r="M2609" t="s">
        <v>209</v>
      </c>
      <c r="N2609" t="s">
        <v>209</v>
      </c>
      <c r="O2609" t="s">
        <v>7702</v>
      </c>
      <c r="P2609" t="s">
        <v>7703</v>
      </c>
      <c r="Q2609" t="str">
        <f>IF($C2609="","",IFERROR(VLOOKUP($C2609,sources!$A$2:$N$200,2,FALSE()),"?"))</f>
        <v>Web compilation</v>
      </c>
      <c r="S2609" t="str">
        <f>IF($C2609="","",IFERROR(VLOOKUP($C2609,sources!$A$2:$N$200,9,FALSE()),"?"))</f>
        <v>Caribbean community</v>
      </c>
    </row>
    <row r="2610" spans="1:19" x14ac:dyDescent="0.2">
      <c r="A2610" t="s">
        <v>7704</v>
      </c>
      <c r="B2610" t="s">
        <v>675</v>
      </c>
      <c r="C2610" t="s">
        <v>1412</v>
      </c>
      <c r="D2610" t="s">
        <v>1666</v>
      </c>
      <c r="E2610" t="s">
        <v>4051</v>
      </c>
      <c r="F2610" t="s">
        <v>1612</v>
      </c>
      <c r="I2610" t="s">
        <v>1077</v>
      </c>
      <c r="M2610" t="s">
        <v>209</v>
      </c>
      <c r="N2610" t="s">
        <v>209</v>
      </c>
      <c r="O2610" t="s">
        <v>7702</v>
      </c>
      <c r="P2610" t="s">
        <v>7705</v>
      </c>
      <c r="Q2610" t="str">
        <f>IF($C2610="","",IFERROR(VLOOKUP($C2610,sources!$A$2:$N$200,2,FALSE()),"?"))</f>
        <v>Web compilation</v>
      </c>
      <c r="S2610" t="str">
        <f>IF($C2610="","",IFERROR(VLOOKUP($C2610,sources!$A$2:$N$200,9,FALSE()),"?"))</f>
        <v>Caribbean community</v>
      </c>
    </row>
    <row r="2611" spans="1:19" x14ac:dyDescent="0.2">
      <c r="A2611" t="s">
        <v>7706</v>
      </c>
      <c r="B2611" t="s">
        <v>679</v>
      </c>
      <c r="C2611" t="s">
        <v>1412</v>
      </c>
      <c r="D2611" t="s">
        <v>1666</v>
      </c>
      <c r="E2611" t="s">
        <v>7707</v>
      </c>
      <c r="F2611" t="s">
        <v>1612</v>
      </c>
      <c r="I2611" t="s">
        <v>1077</v>
      </c>
      <c r="M2611" t="s">
        <v>209</v>
      </c>
      <c r="N2611" t="s">
        <v>209</v>
      </c>
      <c r="O2611" t="s">
        <v>7702</v>
      </c>
      <c r="P2611" t="s">
        <v>7708</v>
      </c>
      <c r="Q2611" t="str">
        <f>IF($C2611="","",IFERROR(VLOOKUP($C2611,sources!$A$2:$N$200,2,FALSE()),"?"))</f>
        <v>Web compilation</v>
      </c>
      <c r="S2611" t="str">
        <f>IF($C2611="","",IFERROR(VLOOKUP($C2611,sources!$A$2:$N$200,9,FALSE()),"?"))</f>
        <v>Caribbean community</v>
      </c>
    </row>
    <row r="2612" spans="1:19" x14ac:dyDescent="0.2">
      <c r="A2612" t="s">
        <v>7709</v>
      </c>
      <c r="B2612" t="s">
        <v>682</v>
      </c>
      <c r="C2612" t="s">
        <v>1412</v>
      </c>
      <c r="D2612" t="s">
        <v>1599</v>
      </c>
      <c r="E2612" t="s">
        <v>4057</v>
      </c>
      <c r="F2612" t="s">
        <v>1612</v>
      </c>
      <c r="I2612" t="s">
        <v>1077</v>
      </c>
      <c r="K2612">
        <v>1906</v>
      </c>
      <c r="L2612">
        <v>1907</v>
      </c>
      <c r="M2612" t="s">
        <v>209</v>
      </c>
      <c r="N2612" t="s">
        <v>222</v>
      </c>
      <c r="O2612" t="s">
        <v>7702</v>
      </c>
      <c r="P2612" t="s">
        <v>7710</v>
      </c>
      <c r="Q2612" t="str">
        <f>IF($C2612="","",IFERROR(VLOOKUP($C2612,sources!$A$2:$N$200,2,FALSE()),"?"))</f>
        <v>Web compilation</v>
      </c>
      <c r="S2612" t="str">
        <f>IF($C2612="","",IFERROR(VLOOKUP($C2612,sources!$A$2:$N$200,9,FALSE()),"?"))</f>
        <v>Caribbean community</v>
      </c>
    </row>
    <row r="2613" spans="1:19" x14ac:dyDescent="0.2">
      <c r="A2613" t="s">
        <v>7711</v>
      </c>
      <c r="B2613" t="s">
        <v>686</v>
      </c>
      <c r="C2613" t="s">
        <v>1412</v>
      </c>
      <c r="D2613" t="s">
        <v>1666</v>
      </c>
      <c r="E2613" t="s">
        <v>7712</v>
      </c>
      <c r="F2613" t="s">
        <v>1612</v>
      </c>
      <c r="I2613" t="s">
        <v>1077</v>
      </c>
      <c r="M2613" t="s">
        <v>209</v>
      </c>
      <c r="N2613" t="s">
        <v>209</v>
      </c>
      <c r="O2613" t="s">
        <v>7702</v>
      </c>
      <c r="P2613" t="s">
        <v>7713</v>
      </c>
      <c r="Q2613" t="str">
        <f>IF($C2613="","",IFERROR(VLOOKUP($C2613,sources!$A$2:$N$200,2,FALSE()),"?"))</f>
        <v>Web compilation</v>
      </c>
      <c r="S2613" t="str">
        <f>IF($C2613="","",IFERROR(VLOOKUP($C2613,sources!$A$2:$N$200,9,FALSE()),"?"))</f>
        <v>Caribbean community</v>
      </c>
    </row>
    <row r="2614" spans="1:19" x14ac:dyDescent="0.2">
      <c r="A2614" t="s">
        <v>7714</v>
      </c>
      <c r="B2614" t="s">
        <v>689</v>
      </c>
      <c r="C2614" t="s">
        <v>1412</v>
      </c>
      <c r="D2614" t="s">
        <v>1666</v>
      </c>
      <c r="E2614" t="s">
        <v>7715</v>
      </c>
      <c r="F2614" t="s">
        <v>1612</v>
      </c>
      <c r="I2614" t="s">
        <v>1077</v>
      </c>
      <c r="M2614" t="s">
        <v>209</v>
      </c>
      <c r="N2614" t="s">
        <v>209</v>
      </c>
      <c r="O2614" t="s">
        <v>7702</v>
      </c>
      <c r="P2614" t="s">
        <v>7716</v>
      </c>
      <c r="Q2614" t="str">
        <f>IF($C2614="","",IFERROR(VLOOKUP($C2614,sources!$A$2:$N$200,2,FALSE()),"?"))</f>
        <v>Web compilation</v>
      </c>
      <c r="S2614" t="str">
        <f>IF($C2614="","",IFERROR(VLOOKUP($C2614,sources!$A$2:$N$200,9,FALSE()),"?"))</f>
        <v>Caribbean community</v>
      </c>
    </row>
    <row r="2615" spans="1:19" x14ac:dyDescent="0.2">
      <c r="A2615" t="s">
        <v>7717</v>
      </c>
      <c r="B2615" t="s">
        <v>692</v>
      </c>
      <c r="C2615" t="s">
        <v>1412</v>
      </c>
      <c r="D2615" t="s">
        <v>1666</v>
      </c>
      <c r="E2615" t="s">
        <v>7718</v>
      </c>
      <c r="F2615" t="s">
        <v>1612</v>
      </c>
      <c r="I2615" t="s">
        <v>1077</v>
      </c>
      <c r="M2615" t="s">
        <v>209</v>
      </c>
      <c r="N2615" t="s">
        <v>209</v>
      </c>
      <c r="O2615" t="s">
        <v>7702</v>
      </c>
      <c r="P2615" t="s">
        <v>7719</v>
      </c>
      <c r="Q2615" t="str">
        <f>IF($C2615="","",IFERROR(VLOOKUP($C2615,sources!$A$2:$N$200,2,FALSE()),"?"))</f>
        <v>Web compilation</v>
      </c>
      <c r="S2615" t="str">
        <f>IF($C2615="","",IFERROR(VLOOKUP($C2615,sources!$A$2:$N$200,9,FALSE()),"?"))</f>
        <v>Caribbean community</v>
      </c>
    </row>
    <row r="2616" spans="1:19" x14ac:dyDescent="0.2">
      <c r="A2616" t="s">
        <v>7720</v>
      </c>
      <c r="B2616" t="s">
        <v>696</v>
      </c>
      <c r="C2616" t="s">
        <v>1412</v>
      </c>
      <c r="D2616" t="s">
        <v>1666</v>
      </c>
      <c r="E2616" t="s">
        <v>7721</v>
      </c>
      <c r="F2616" t="s">
        <v>1612</v>
      </c>
      <c r="I2616" t="s">
        <v>1077</v>
      </c>
      <c r="M2616" t="s">
        <v>209</v>
      </c>
      <c r="N2616" t="s">
        <v>209</v>
      </c>
      <c r="O2616" t="s">
        <v>7702</v>
      </c>
      <c r="P2616" t="s">
        <v>7722</v>
      </c>
      <c r="Q2616" t="str">
        <f>IF($C2616="","",IFERROR(VLOOKUP($C2616,sources!$A$2:$N$200,2,FALSE()),"?"))</f>
        <v>Web compilation</v>
      </c>
      <c r="S2616" t="str">
        <f>IF($C2616="","",IFERROR(VLOOKUP($C2616,sources!$A$2:$N$200,9,FALSE()),"?"))</f>
        <v>Caribbean community</v>
      </c>
    </row>
    <row r="2617" spans="1:19" x14ac:dyDescent="0.2">
      <c r="A2617" t="s">
        <v>7723</v>
      </c>
      <c r="B2617" t="s">
        <v>699</v>
      </c>
      <c r="C2617" t="s">
        <v>1412</v>
      </c>
      <c r="D2617" t="s">
        <v>1666</v>
      </c>
      <c r="E2617" t="s">
        <v>7724</v>
      </c>
      <c r="F2617" t="s">
        <v>1612</v>
      </c>
      <c r="I2617" t="s">
        <v>1077</v>
      </c>
      <c r="M2617" t="s">
        <v>209</v>
      </c>
      <c r="N2617" t="s">
        <v>209</v>
      </c>
      <c r="O2617" t="s">
        <v>7702</v>
      </c>
      <c r="P2617" t="s">
        <v>7725</v>
      </c>
      <c r="Q2617" t="str">
        <f>IF($C2617="","",IFERROR(VLOOKUP($C2617,sources!$A$2:$N$200,2,FALSE()),"?"))</f>
        <v>Web compilation</v>
      </c>
      <c r="S2617" t="str">
        <f>IF($C2617="","",IFERROR(VLOOKUP($C2617,sources!$A$2:$N$200,9,FALSE()),"?"))</f>
        <v>Caribbean community</v>
      </c>
    </row>
    <row r="2618" spans="1:19" x14ac:dyDescent="0.2">
      <c r="A2618" t="s">
        <v>7726</v>
      </c>
      <c r="B2618" t="s">
        <v>702</v>
      </c>
      <c r="C2618" t="s">
        <v>1412</v>
      </c>
      <c r="D2618" t="s">
        <v>1599</v>
      </c>
      <c r="E2618" t="s">
        <v>4075</v>
      </c>
      <c r="F2618" t="s">
        <v>1612</v>
      </c>
      <c r="I2618" t="s">
        <v>1077</v>
      </c>
      <c r="N2618" t="s">
        <v>228</v>
      </c>
      <c r="O2618" t="s">
        <v>7702</v>
      </c>
      <c r="P2618" t="s">
        <v>7727</v>
      </c>
      <c r="Q2618" t="str">
        <f>IF($C2618="","",IFERROR(VLOOKUP($C2618,sources!$A$2:$N$200,2,FALSE()),"?"))</f>
        <v>Web compilation</v>
      </c>
      <c r="S2618" t="str">
        <f>IF($C2618="","",IFERROR(VLOOKUP($C2618,sources!$A$2:$N$200,9,FALSE()),"?"))</f>
        <v>Caribbean community</v>
      </c>
    </row>
    <row r="2619" spans="1:19" x14ac:dyDescent="0.2">
      <c r="A2619" t="s">
        <v>7728</v>
      </c>
      <c r="B2619" t="s">
        <v>705</v>
      </c>
      <c r="C2619" t="s">
        <v>1412</v>
      </c>
      <c r="D2619" t="s">
        <v>1666</v>
      </c>
      <c r="E2619" t="s">
        <v>4576</v>
      </c>
      <c r="F2619" t="s">
        <v>1612</v>
      </c>
      <c r="I2619" t="s">
        <v>1077</v>
      </c>
      <c r="M2619" t="s">
        <v>209</v>
      </c>
      <c r="N2619" t="s">
        <v>209</v>
      </c>
      <c r="O2619" t="s">
        <v>7702</v>
      </c>
      <c r="P2619" t="s">
        <v>7729</v>
      </c>
      <c r="Q2619" t="str">
        <f>IF($C2619="","",IFERROR(VLOOKUP($C2619,sources!$A$2:$N$200,2,FALSE()),"?"))</f>
        <v>Web compilation</v>
      </c>
      <c r="S2619" t="str">
        <f>IF($C2619="","",IFERROR(VLOOKUP($C2619,sources!$A$2:$N$200,9,FALSE()),"?"))</f>
        <v>Caribbean community</v>
      </c>
    </row>
    <row r="2620" spans="1:19" x14ac:dyDescent="0.2">
      <c r="A2620" t="s">
        <v>7730</v>
      </c>
      <c r="B2620" t="s">
        <v>708</v>
      </c>
      <c r="C2620" t="s">
        <v>1412</v>
      </c>
      <c r="D2620" t="s">
        <v>1599</v>
      </c>
      <c r="E2620" t="s">
        <v>7731</v>
      </c>
      <c r="F2620" t="s">
        <v>1612</v>
      </c>
      <c r="I2620" t="s">
        <v>1077</v>
      </c>
      <c r="K2620">
        <v>1905</v>
      </c>
      <c r="L2620">
        <v>1906</v>
      </c>
      <c r="M2620" t="s">
        <v>209</v>
      </c>
      <c r="N2620" t="s">
        <v>228</v>
      </c>
      <c r="O2620" t="s">
        <v>7702</v>
      </c>
      <c r="P2620" t="s">
        <v>7732</v>
      </c>
      <c r="Q2620" t="str">
        <f>IF($C2620="","",IFERROR(VLOOKUP($C2620,sources!$A$2:$N$200,2,FALSE()),"?"))</f>
        <v>Web compilation</v>
      </c>
      <c r="S2620" t="str">
        <f>IF($C2620="","",IFERROR(VLOOKUP($C2620,sources!$A$2:$N$200,9,FALSE()),"?"))</f>
        <v>Caribbean community</v>
      </c>
    </row>
    <row r="2621" spans="1:19" x14ac:dyDescent="0.2">
      <c r="A2621" t="s">
        <v>7733</v>
      </c>
      <c r="B2621" t="s">
        <v>712</v>
      </c>
      <c r="C2621" t="s">
        <v>1412</v>
      </c>
      <c r="D2621" t="s">
        <v>1666</v>
      </c>
      <c r="E2621" t="s">
        <v>4582</v>
      </c>
      <c r="F2621" t="s">
        <v>1612</v>
      </c>
      <c r="I2621" t="s">
        <v>1077</v>
      </c>
      <c r="M2621" t="s">
        <v>209</v>
      </c>
      <c r="N2621" t="s">
        <v>209</v>
      </c>
      <c r="O2621" t="s">
        <v>7702</v>
      </c>
      <c r="P2621" t="s">
        <v>7734</v>
      </c>
      <c r="Q2621" t="str">
        <f>IF($C2621="","",IFERROR(VLOOKUP($C2621,sources!$A$2:$N$200,2,FALSE()),"?"))</f>
        <v>Web compilation</v>
      </c>
      <c r="S2621" t="str">
        <f>IF($C2621="","",IFERROR(VLOOKUP($C2621,sources!$A$2:$N$200,9,FALSE()),"?"))</f>
        <v>Caribbean community</v>
      </c>
    </row>
    <row r="2622" spans="1:19" x14ac:dyDescent="0.2">
      <c r="A2622" t="s">
        <v>7735</v>
      </c>
      <c r="B2622" t="s">
        <v>717</v>
      </c>
      <c r="C2622" t="s">
        <v>1412</v>
      </c>
      <c r="D2622" t="s">
        <v>1599</v>
      </c>
      <c r="E2622" t="s">
        <v>7736</v>
      </c>
      <c r="F2622" t="s">
        <v>1612</v>
      </c>
      <c r="I2622" t="s">
        <v>1077</v>
      </c>
      <c r="N2622" t="s">
        <v>222</v>
      </c>
      <c r="O2622" t="s">
        <v>7702</v>
      </c>
      <c r="P2622" t="s">
        <v>7737</v>
      </c>
      <c r="Q2622" t="str">
        <f>IF($C2622="","",IFERROR(VLOOKUP($C2622,sources!$A$2:$N$200,2,FALSE()),"?"))</f>
        <v>Web compilation</v>
      </c>
      <c r="S2622" t="str">
        <f>IF($C2622="","",IFERROR(VLOOKUP($C2622,sources!$A$2:$N$200,9,FALSE()),"?"))</f>
        <v>Caribbean community</v>
      </c>
    </row>
    <row r="2623" spans="1:19" x14ac:dyDescent="0.2">
      <c r="A2623" t="s">
        <v>7738</v>
      </c>
      <c r="B2623" t="s">
        <v>720</v>
      </c>
      <c r="C2623" t="s">
        <v>1412</v>
      </c>
      <c r="D2623" t="s">
        <v>1666</v>
      </c>
      <c r="E2623" t="s">
        <v>7739</v>
      </c>
      <c r="F2623" t="s">
        <v>1612</v>
      </c>
      <c r="I2623" t="s">
        <v>1077</v>
      </c>
      <c r="M2623" t="s">
        <v>209</v>
      </c>
      <c r="N2623" t="s">
        <v>209</v>
      </c>
      <c r="O2623" t="s">
        <v>7702</v>
      </c>
      <c r="P2623" t="s">
        <v>7740</v>
      </c>
      <c r="Q2623" t="str">
        <f>IF($C2623="","",IFERROR(VLOOKUP($C2623,sources!$A$2:$N$200,2,FALSE()),"?"))</f>
        <v>Web compilation</v>
      </c>
      <c r="S2623" t="str">
        <f>IF($C2623="","",IFERROR(VLOOKUP($C2623,sources!$A$2:$N$200,9,FALSE()),"?"))</f>
        <v>Caribbean community</v>
      </c>
    </row>
    <row r="2624" spans="1:19" x14ac:dyDescent="0.2">
      <c r="A2624" t="s">
        <v>7741</v>
      </c>
      <c r="B2624" t="s">
        <v>723</v>
      </c>
      <c r="C2624" t="s">
        <v>1412</v>
      </c>
      <c r="D2624" t="s">
        <v>1599</v>
      </c>
      <c r="E2624" t="s">
        <v>7742</v>
      </c>
      <c r="F2624" t="s">
        <v>1612</v>
      </c>
      <c r="I2624" t="s">
        <v>1077</v>
      </c>
      <c r="K2624">
        <v>1913</v>
      </c>
      <c r="L2624">
        <v>1913</v>
      </c>
      <c r="M2624" t="s">
        <v>222</v>
      </c>
      <c r="N2624" t="s">
        <v>222</v>
      </c>
      <c r="O2624" t="s">
        <v>7702</v>
      </c>
      <c r="P2624" t="s">
        <v>7743</v>
      </c>
      <c r="Q2624" t="str">
        <f>IF($C2624="","",IFERROR(VLOOKUP($C2624,sources!$A$2:$N$200,2,FALSE()),"?"))</f>
        <v>Web compilation</v>
      </c>
      <c r="S2624" t="str">
        <f>IF($C2624="","",IFERROR(VLOOKUP($C2624,sources!$A$2:$N$200,9,FALSE()),"?"))</f>
        <v>Caribbean community</v>
      </c>
    </row>
    <row r="2625" spans="1:19" x14ac:dyDescent="0.2">
      <c r="A2625" t="s">
        <v>7744</v>
      </c>
      <c r="B2625" t="s">
        <v>730</v>
      </c>
      <c r="C2625" t="s">
        <v>1412</v>
      </c>
      <c r="D2625" t="s">
        <v>1666</v>
      </c>
      <c r="E2625" t="s">
        <v>7745</v>
      </c>
      <c r="F2625" t="s">
        <v>1612</v>
      </c>
      <c r="I2625" t="s">
        <v>1077</v>
      </c>
      <c r="M2625" t="s">
        <v>209</v>
      </c>
      <c r="N2625" t="s">
        <v>209</v>
      </c>
      <c r="O2625" t="s">
        <v>7702</v>
      </c>
      <c r="P2625" t="s">
        <v>7746</v>
      </c>
      <c r="Q2625" t="str">
        <f>IF($C2625="","",IFERROR(VLOOKUP($C2625,sources!$A$2:$N$200,2,FALSE()),"?"))</f>
        <v>Web compilation</v>
      </c>
      <c r="S2625" t="str">
        <f>IF($C2625="","",IFERROR(VLOOKUP($C2625,sources!$A$2:$N$200,9,FALSE()),"?"))</f>
        <v>Caribbean community</v>
      </c>
    </row>
    <row r="2626" spans="1:19" x14ac:dyDescent="0.2">
      <c r="A2626" t="s">
        <v>7747</v>
      </c>
      <c r="B2626" t="s">
        <v>733</v>
      </c>
      <c r="C2626" t="s">
        <v>1412</v>
      </c>
      <c r="D2626" t="s">
        <v>1599</v>
      </c>
      <c r="E2626" t="s">
        <v>734</v>
      </c>
      <c r="F2626" t="s">
        <v>1612</v>
      </c>
      <c r="I2626" t="s">
        <v>1077</v>
      </c>
      <c r="N2626" t="s">
        <v>228</v>
      </c>
      <c r="O2626" t="s">
        <v>7702</v>
      </c>
      <c r="P2626" t="s">
        <v>7748</v>
      </c>
      <c r="Q2626" t="str">
        <f>IF($C2626="","",IFERROR(VLOOKUP($C2626,sources!$A$2:$N$200,2,FALSE()),"?"))</f>
        <v>Web compilation</v>
      </c>
      <c r="S2626" t="str">
        <f>IF($C2626="","",IFERROR(VLOOKUP($C2626,sources!$A$2:$N$200,9,FALSE()),"?"))</f>
        <v>Caribbean community</v>
      </c>
    </row>
    <row r="2627" spans="1:19" x14ac:dyDescent="0.2">
      <c r="A2627" t="s">
        <v>7749</v>
      </c>
      <c r="B2627" t="s">
        <v>736</v>
      </c>
      <c r="C2627" t="s">
        <v>1412</v>
      </c>
      <c r="D2627" t="s">
        <v>1656</v>
      </c>
      <c r="E2627" t="s">
        <v>4596</v>
      </c>
      <c r="F2627" t="s">
        <v>1612</v>
      </c>
      <c r="I2627" t="s">
        <v>1077</v>
      </c>
      <c r="N2627" t="s">
        <v>209</v>
      </c>
      <c r="O2627" t="s">
        <v>7702</v>
      </c>
      <c r="P2627" t="s">
        <v>7750</v>
      </c>
      <c r="Q2627" t="str">
        <f>IF($C2627="","",IFERROR(VLOOKUP($C2627,sources!$A$2:$N$200,2,FALSE()),"?"))</f>
        <v>Web compilation</v>
      </c>
      <c r="S2627" t="str">
        <f>IF($C2627="","",IFERROR(VLOOKUP($C2627,sources!$A$2:$N$200,9,FALSE()),"?"))</f>
        <v>Caribbean community</v>
      </c>
    </row>
    <row r="2628" spans="1:19" x14ac:dyDescent="0.2">
      <c r="A2628" t="s">
        <v>7751</v>
      </c>
      <c r="B2628" t="s">
        <v>739</v>
      </c>
      <c r="C2628" t="s">
        <v>1412</v>
      </c>
      <c r="D2628" t="s">
        <v>1666</v>
      </c>
      <c r="E2628" t="s">
        <v>4599</v>
      </c>
      <c r="F2628" t="s">
        <v>1612</v>
      </c>
      <c r="I2628" t="s">
        <v>1077</v>
      </c>
      <c r="M2628" t="s">
        <v>209</v>
      </c>
      <c r="N2628" t="s">
        <v>209</v>
      </c>
      <c r="O2628" t="s">
        <v>7702</v>
      </c>
      <c r="P2628" t="s">
        <v>7752</v>
      </c>
      <c r="Q2628" t="str">
        <f>IF($C2628="","",IFERROR(VLOOKUP($C2628,sources!$A$2:$N$200,2,FALSE()),"?"))</f>
        <v>Web compilation</v>
      </c>
      <c r="S2628" t="str">
        <f>IF($C2628="","",IFERROR(VLOOKUP($C2628,sources!$A$2:$N$200,9,FALSE()),"?"))</f>
        <v>Caribbean community</v>
      </c>
    </row>
    <row r="2629" spans="1:19" x14ac:dyDescent="0.2">
      <c r="A2629" t="s">
        <v>7753</v>
      </c>
      <c r="B2629" t="s">
        <v>742</v>
      </c>
      <c r="C2629" t="s">
        <v>1412</v>
      </c>
      <c r="D2629" t="s">
        <v>1666</v>
      </c>
      <c r="E2629" t="s">
        <v>7754</v>
      </c>
      <c r="F2629" t="s">
        <v>1612</v>
      </c>
      <c r="I2629" t="s">
        <v>1077</v>
      </c>
      <c r="M2629" t="s">
        <v>209</v>
      </c>
      <c r="N2629" t="s">
        <v>228</v>
      </c>
      <c r="O2629" t="s">
        <v>7702</v>
      </c>
      <c r="P2629" t="s">
        <v>7755</v>
      </c>
      <c r="Q2629" t="str">
        <f>IF($C2629="","",IFERROR(VLOOKUP($C2629,sources!$A$2:$N$200,2,FALSE()),"?"))</f>
        <v>Web compilation</v>
      </c>
      <c r="S2629" t="str">
        <f>IF($C2629="","",IFERROR(VLOOKUP($C2629,sources!$A$2:$N$200,9,FALSE()),"?"))</f>
        <v>Caribbean community</v>
      </c>
    </row>
    <row r="2630" spans="1:19" x14ac:dyDescent="0.2">
      <c r="A2630" t="s">
        <v>7756</v>
      </c>
      <c r="B2630" t="s">
        <v>746</v>
      </c>
      <c r="C2630" t="s">
        <v>1412</v>
      </c>
      <c r="D2630" t="s">
        <v>1599</v>
      </c>
      <c r="E2630" t="s">
        <v>7757</v>
      </c>
      <c r="F2630" t="s">
        <v>1612</v>
      </c>
      <c r="I2630" t="s">
        <v>1077</v>
      </c>
      <c r="K2630">
        <v>1909</v>
      </c>
      <c r="L2630">
        <v>1909</v>
      </c>
      <c r="M2630" t="s">
        <v>222</v>
      </c>
      <c r="N2630" t="s">
        <v>222</v>
      </c>
      <c r="O2630" t="s">
        <v>7702</v>
      </c>
      <c r="P2630" t="s">
        <v>7758</v>
      </c>
      <c r="Q2630" t="str">
        <f>IF($C2630="","",IFERROR(VLOOKUP($C2630,sources!$A$2:$N$200,2,FALSE()),"?"))</f>
        <v>Web compilation</v>
      </c>
      <c r="S2630" t="str">
        <f>IF($C2630="","",IFERROR(VLOOKUP($C2630,sources!$A$2:$N$200,9,FALSE()),"?"))</f>
        <v>Caribbean community</v>
      </c>
    </row>
    <row r="2631" spans="1:19" x14ac:dyDescent="0.2">
      <c r="A2631" t="s">
        <v>7759</v>
      </c>
      <c r="B2631" t="s">
        <v>749</v>
      </c>
      <c r="C2631" t="s">
        <v>1412</v>
      </c>
      <c r="D2631" t="s">
        <v>1666</v>
      </c>
      <c r="E2631" t="s">
        <v>7760</v>
      </c>
      <c r="F2631" t="s">
        <v>1612</v>
      </c>
      <c r="I2631" t="s">
        <v>1077</v>
      </c>
      <c r="M2631" t="s">
        <v>209</v>
      </c>
      <c r="N2631" t="s">
        <v>209</v>
      </c>
      <c r="O2631" t="s">
        <v>7702</v>
      </c>
      <c r="P2631" t="s">
        <v>7725</v>
      </c>
      <c r="Q2631" t="str">
        <f>IF($C2631="","",IFERROR(VLOOKUP($C2631,sources!$A$2:$N$200,2,FALSE()),"?"))</f>
        <v>Web compilation</v>
      </c>
      <c r="S2631" t="str">
        <f>IF($C2631="","",IFERROR(VLOOKUP($C2631,sources!$A$2:$N$200,9,FALSE()),"?"))</f>
        <v>Caribbean community</v>
      </c>
    </row>
    <row r="2632" spans="1:19" x14ac:dyDescent="0.2">
      <c r="A2632" t="s">
        <v>7761</v>
      </c>
      <c r="B2632" t="s">
        <v>752</v>
      </c>
      <c r="C2632" t="s">
        <v>1412</v>
      </c>
      <c r="D2632" t="s">
        <v>1599</v>
      </c>
      <c r="E2632" t="s">
        <v>7762</v>
      </c>
      <c r="F2632" t="s">
        <v>1612</v>
      </c>
      <c r="I2632" t="s">
        <v>1077</v>
      </c>
      <c r="K2632">
        <v>1905</v>
      </c>
      <c r="L2632">
        <v>1906</v>
      </c>
      <c r="M2632" t="s">
        <v>209</v>
      </c>
      <c r="N2632" t="s">
        <v>222</v>
      </c>
      <c r="O2632" t="s">
        <v>7702</v>
      </c>
      <c r="P2632" t="s">
        <v>7763</v>
      </c>
      <c r="Q2632" t="str">
        <f>IF($C2632="","",IFERROR(VLOOKUP($C2632,sources!$A$2:$N$200,2,FALSE()),"?"))</f>
        <v>Web compilation</v>
      </c>
      <c r="S2632" t="str">
        <f>IF($C2632="","",IFERROR(VLOOKUP($C2632,sources!$A$2:$N$200,9,FALSE()),"?"))</f>
        <v>Caribbean community</v>
      </c>
    </row>
    <row r="2633" spans="1:19" x14ac:dyDescent="0.2">
      <c r="A2633" t="s">
        <v>7764</v>
      </c>
      <c r="B2633" t="s">
        <v>756</v>
      </c>
      <c r="C2633" t="s">
        <v>1412</v>
      </c>
      <c r="D2633" t="s">
        <v>1666</v>
      </c>
      <c r="E2633" t="s">
        <v>7765</v>
      </c>
      <c r="F2633" t="s">
        <v>1612</v>
      </c>
      <c r="I2633" t="s">
        <v>1077</v>
      </c>
      <c r="M2633" t="s">
        <v>209</v>
      </c>
      <c r="N2633" t="s">
        <v>209</v>
      </c>
      <c r="O2633" t="s">
        <v>7702</v>
      </c>
      <c r="P2633" t="s">
        <v>7766</v>
      </c>
      <c r="Q2633" t="str">
        <f>IF($C2633="","",IFERROR(VLOOKUP($C2633,sources!$A$2:$N$200,2,FALSE()),"?"))</f>
        <v>Web compilation</v>
      </c>
      <c r="S2633" t="str">
        <f>IF($C2633="","",IFERROR(VLOOKUP($C2633,sources!$A$2:$N$200,9,FALSE()),"?"))</f>
        <v>Caribbean community</v>
      </c>
    </row>
    <row r="2634" spans="1:19" x14ac:dyDescent="0.2">
      <c r="A2634" t="s">
        <v>7767</v>
      </c>
      <c r="B2634" t="s">
        <v>759</v>
      </c>
      <c r="C2634" t="s">
        <v>1412</v>
      </c>
      <c r="D2634" t="s">
        <v>1666</v>
      </c>
      <c r="E2634" t="s">
        <v>7768</v>
      </c>
      <c r="F2634" t="s">
        <v>1612</v>
      </c>
      <c r="I2634" t="s">
        <v>1077</v>
      </c>
      <c r="M2634" t="s">
        <v>209</v>
      </c>
      <c r="N2634" t="s">
        <v>209</v>
      </c>
      <c r="O2634" t="s">
        <v>7702</v>
      </c>
      <c r="P2634" t="s">
        <v>7769</v>
      </c>
      <c r="Q2634" t="str">
        <f>IF($C2634="","",IFERROR(VLOOKUP($C2634,sources!$A$2:$N$200,2,FALSE()),"?"))</f>
        <v>Web compilation</v>
      </c>
      <c r="S2634" t="str">
        <f>IF($C2634="","",IFERROR(VLOOKUP($C2634,sources!$A$2:$N$200,9,FALSE()),"?"))</f>
        <v>Caribbean community</v>
      </c>
    </row>
    <row r="2635" spans="1:19" x14ac:dyDescent="0.2">
      <c r="A2635" t="s">
        <v>7770</v>
      </c>
      <c r="B2635" t="s">
        <v>762</v>
      </c>
      <c r="C2635" t="s">
        <v>1412</v>
      </c>
      <c r="D2635" t="s">
        <v>1599</v>
      </c>
      <c r="E2635" t="s">
        <v>7771</v>
      </c>
      <c r="F2635" t="s">
        <v>1612</v>
      </c>
      <c r="I2635" t="s">
        <v>1077</v>
      </c>
      <c r="K2635">
        <v>1905</v>
      </c>
      <c r="L2635">
        <v>1905</v>
      </c>
      <c r="M2635" t="s">
        <v>222</v>
      </c>
      <c r="N2635" t="s">
        <v>222</v>
      </c>
      <c r="O2635" t="s">
        <v>7702</v>
      </c>
      <c r="P2635" t="s">
        <v>7772</v>
      </c>
      <c r="Q2635" t="str">
        <f>IF($C2635="","",IFERROR(VLOOKUP($C2635,sources!$A$2:$N$200,2,FALSE()),"?"))</f>
        <v>Web compilation</v>
      </c>
      <c r="S2635" t="str">
        <f>IF($C2635="","",IFERROR(VLOOKUP($C2635,sources!$A$2:$N$200,9,FALSE()),"?"))</f>
        <v>Caribbean community</v>
      </c>
    </row>
    <row r="2636" spans="1:19" x14ac:dyDescent="0.2">
      <c r="A2636" t="s">
        <v>7773</v>
      </c>
      <c r="B2636" t="s">
        <v>765</v>
      </c>
      <c r="C2636" t="s">
        <v>1412</v>
      </c>
      <c r="D2636" t="s">
        <v>1599</v>
      </c>
      <c r="E2636" t="s">
        <v>7774</v>
      </c>
      <c r="F2636" t="s">
        <v>1612</v>
      </c>
      <c r="I2636" t="s">
        <v>1077</v>
      </c>
      <c r="N2636" t="s">
        <v>222</v>
      </c>
      <c r="O2636" t="s">
        <v>7702</v>
      </c>
      <c r="P2636" t="s">
        <v>7775</v>
      </c>
      <c r="Q2636" t="str">
        <f>IF($C2636="","",IFERROR(VLOOKUP($C2636,sources!$A$2:$N$200,2,FALSE()),"?"))</f>
        <v>Web compilation</v>
      </c>
      <c r="S2636" t="str">
        <f>IF($C2636="","",IFERROR(VLOOKUP($C2636,sources!$A$2:$N$200,9,FALSE()),"?"))</f>
        <v>Caribbean community</v>
      </c>
    </row>
    <row r="2637" spans="1:19" x14ac:dyDescent="0.2">
      <c r="A2637" t="s">
        <v>7776</v>
      </c>
      <c r="B2637" t="s">
        <v>768</v>
      </c>
      <c r="C2637" t="s">
        <v>1412</v>
      </c>
      <c r="D2637" t="s">
        <v>1666</v>
      </c>
      <c r="E2637" t="s">
        <v>7777</v>
      </c>
      <c r="F2637" t="s">
        <v>1612</v>
      </c>
      <c r="I2637" t="s">
        <v>1077</v>
      </c>
      <c r="M2637" t="s">
        <v>209</v>
      </c>
      <c r="N2637" t="s">
        <v>209</v>
      </c>
      <c r="O2637" t="s">
        <v>7702</v>
      </c>
      <c r="P2637" t="s">
        <v>7725</v>
      </c>
      <c r="Q2637" t="str">
        <f>IF($C2637="","",IFERROR(VLOOKUP($C2637,sources!$A$2:$N$200,2,FALSE()),"?"))</f>
        <v>Web compilation</v>
      </c>
      <c r="S2637" t="str">
        <f>IF($C2637="","",IFERROR(VLOOKUP($C2637,sources!$A$2:$N$200,9,FALSE()),"?"))</f>
        <v>Caribbean community</v>
      </c>
    </row>
    <row r="2638" spans="1:19" x14ac:dyDescent="0.2">
      <c r="A2638" t="s">
        <v>7778</v>
      </c>
      <c r="B2638" t="s">
        <v>771</v>
      </c>
      <c r="C2638" t="s">
        <v>1412</v>
      </c>
      <c r="D2638" t="s">
        <v>1666</v>
      </c>
      <c r="E2638" t="s">
        <v>7779</v>
      </c>
      <c r="F2638" t="s">
        <v>1612</v>
      </c>
      <c r="I2638" t="s">
        <v>1077</v>
      </c>
      <c r="M2638" t="s">
        <v>209</v>
      </c>
      <c r="N2638" t="s">
        <v>209</v>
      </c>
      <c r="O2638" t="s">
        <v>7702</v>
      </c>
      <c r="P2638" t="s">
        <v>7780</v>
      </c>
      <c r="Q2638" t="str">
        <f>IF($C2638="","",IFERROR(VLOOKUP($C2638,sources!$A$2:$N$200,2,FALSE()),"?"))</f>
        <v>Web compilation</v>
      </c>
      <c r="S2638" t="str">
        <f>IF($C2638="","",IFERROR(VLOOKUP($C2638,sources!$A$2:$N$200,9,FALSE()),"?"))</f>
        <v>Caribbean community</v>
      </c>
    </row>
    <row r="2639" spans="1:19" x14ac:dyDescent="0.2">
      <c r="A2639" t="s">
        <v>7781</v>
      </c>
      <c r="B2639" t="s">
        <v>774</v>
      </c>
      <c r="C2639" t="s">
        <v>1412</v>
      </c>
      <c r="D2639" t="s">
        <v>1666</v>
      </c>
      <c r="E2639" t="s">
        <v>7782</v>
      </c>
      <c r="F2639" t="s">
        <v>1612</v>
      </c>
      <c r="I2639" t="s">
        <v>1077</v>
      </c>
      <c r="M2639" t="s">
        <v>209</v>
      </c>
      <c r="N2639" t="s">
        <v>209</v>
      </c>
      <c r="O2639" t="s">
        <v>7702</v>
      </c>
      <c r="P2639" t="s">
        <v>7783</v>
      </c>
      <c r="Q2639" t="str">
        <f>IF($C2639="","",IFERROR(VLOOKUP($C2639,sources!$A$2:$N$200,2,FALSE()),"?"))</f>
        <v>Web compilation</v>
      </c>
      <c r="S2639" t="str">
        <f>IF($C2639="","",IFERROR(VLOOKUP($C2639,sources!$A$2:$N$200,9,FALSE()),"?"))</f>
        <v>Caribbean community</v>
      </c>
    </row>
    <row r="2640" spans="1:19" x14ac:dyDescent="0.2">
      <c r="A2640" t="s">
        <v>7784</v>
      </c>
      <c r="B2640" t="s">
        <v>777</v>
      </c>
      <c r="C2640" t="s">
        <v>1412</v>
      </c>
      <c r="D2640" t="s">
        <v>1666</v>
      </c>
      <c r="E2640" t="s">
        <v>3786</v>
      </c>
      <c r="F2640" t="s">
        <v>1612</v>
      </c>
      <c r="I2640" t="s">
        <v>1077</v>
      </c>
      <c r="M2640" t="s">
        <v>209</v>
      </c>
      <c r="N2640" t="s">
        <v>209</v>
      </c>
      <c r="O2640" t="s">
        <v>7702</v>
      </c>
      <c r="P2640" t="s">
        <v>7785</v>
      </c>
      <c r="Q2640" t="str">
        <f>IF($C2640="","",IFERROR(VLOOKUP($C2640,sources!$A$2:$N$200,2,FALSE()),"?"))</f>
        <v>Web compilation</v>
      </c>
      <c r="S2640" t="str">
        <f>IF($C2640="","",IFERROR(VLOOKUP($C2640,sources!$A$2:$N$200,9,FALSE()),"?"))</f>
        <v>Caribbean community</v>
      </c>
    </row>
    <row r="2641" spans="1:19" x14ac:dyDescent="0.2">
      <c r="A2641" t="s">
        <v>7786</v>
      </c>
      <c r="B2641" t="s">
        <v>780</v>
      </c>
      <c r="C2641" t="s">
        <v>1412</v>
      </c>
      <c r="D2641" t="s">
        <v>1599</v>
      </c>
      <c r="E2641" t="s">
        <v>7787</v>
      </c>
      <c r="F2641" t="s">
        <v>1612</v>
      </c>
      <c r="I2641" t="s">
        <v>1077</v>
      </c>
      <c r="K2641">
        <v>1906</v>
      </c>
      <c r="L2641">
        <v>1907</v>
      </c>
      <c r="M2641" t="s">
        <v>209</v>
      </c>
      <c r="N2641" t="s">
        <v>222</v>
      </c>
      <c r="O2641" t="s">
        <v>7702</v>
      </c>
      <c r="P2641" t="s">
        <v>7788</v>
      </c>
      <c r="Q2641" t="str">
        <f>IF($C2641="","",IFERROR(VLOOKUP($C2641,sources!$A$2:$N$200,2,FALSE()),"?"))</f>
        <v>Web compilation</v>
      </c>
      <c r="S2641" t="str">
        <f>IF($C2641="","",IFERROR(VLOOKUP($C2641,sources!$A$2:$N$200,9,FALSE()),"?"))</f>
        <v>Caribbean community</v>
      </c>
    </row>
    <row r="2642" spans="1:19" x14ac:dyDescent="0.2">
      <c r="A2642" t="s">
        <v>7789</v>
      </c>
      <c r="B2642" t="s">
        <v>786</v>
      </c>
      <c r="C2642" t="s">
        <v>1412</v>
      </c>
      <c r="D2642" t="s">
        <v>1666</v>
      </c>
      <c r="E2642" t="s">
        <v>7790</v>
      </c>
      <c r="F2642" t="s">
        <v>1612</v>
      </c>
      <c r="I2642" t="s">
        <v>1077</v>
      </c>
      <c r="M2642" t="s">
        <v>209</v>
      </c>
      <c r="N2642" t="s">
        <v>209</v>
      </c>
      <c r="O2642" t="s">
        <v>7702</v>
      </c>
      <c r="P2642" t="s">
        <v>7791</v>
      </c>
      <c r="Q2642" t="str">
        <f>IF($C2642="","",IFERROR(VLOOKUP($C2642,sources!$A$2:$N$200,2,FALSE()),"?"))</f>
        <v>Web compilation</v>
      </c>
      <c r="S2642" t="str">
        <f>IF($C2642="","",IFERROR(VLOOKUP($C2642,sources!$A$2:$N$200,9,FALSE()),"?"))</f>
        <v>Caribbean community</v>
      </c>
    </row>
    <row r="2643" spans="1:19" x14ac:dyDescent="0.2">
      <c r="A2643" t="s">
        <v>7792</v>
      </c>
      <c r="B2643" t="s">
        <v>789</v>
      </c>
      <c r="C2643" t="s">
        <v>1412</v>
      </c>
      <c r="D2643" t="s">
        <v>1666</v>
      </c>
      <c r="E2643" t="s">
        <v>7793</v>
      </c>
      <c r="F2643" t="s">
        <v>1612</v>
      </c>
      <c r="I2643" t="s">
        <v>1077</v>
      </c>
      <c r="M2643" t="s">
        <v>209</v>
      </c>
      <c r="N2643" t="s">
        <v>209</v>
      </c>
      <c r="O2643" t="s">
        <v>7702</v>
      </c>
      <c r="P2643" t="s">
        <v>7794</v>
      </c>
      <c r="Q2643" t="str">
        <f>IF($C2643="","",IFERROR(VLOOKUP($C2643,sources!$A$2:$N$200,2,FALSE()),"?"))</f>
        <v>Web compilation</v>
      </c>
      <c r="S2643" t="str">
        <f>IF($C2643="","",IFERROR(VLOOKUP($C2643,sources!$A$2:$N$200,9,FALSE()),"?"))</f>
        <v>Caribbean community</v>
      </c>
    </row>
    <row r="2644" spans="1:19" x14ac:dyDescent="0.2">
      <c r="A2644" t="s">
        <v>7795</v>
      </c>
      <c r="B2644" t="s">
        <v>671</v>
      </c>
      <c r="C2644" t="s">
        <v>1403</v>
      </c>
      <c r="D2644" t="s">
        <v>1666</v>
      </c>
      <c r="E2644" t="s">
        <v>4048</v>
      </c>
      <c r="F2644" t="s">
        <v>1612</v>
      </c>
      <c r="I2644" t="s">
        <v>1077</v>
      </c>
      <c r="N2644" t="s">
        <v>228</v>
      </c>
      <c r="O2644" t="s">
        <v>7702</v>
      </c>
      <c r="P2644" t="s">
        <v>7796</v>
      </c>
      <c r="Q2644" t="str">
        <f>IF($C2644="","",IFERROR(VLOOKUP($C2644,sources!$A$2:$N$200,2,FALSE()),"?"))</f>
        <v>Newspaper</v>
      </c>
      <c r="S2644" t="str">
        <f>IF($C2644="","",IFERROR(VLOOKUP($C2644,sources!$A$2:$N$200,9,FALSE()),"?"))</f>
        <v>Caribbean community</v>
      </c>
    </row>
    <row r="2645" spans="1:19" x14ac:dyDescent="0.2">
      <c r="A2645" t="s">
        <v>7797</v>
      </c>
      <c r="B2645" t="s">
        <v>675</v>
      </c>
      <c r="C2645" t="s">
        <v>1403</v>
      </c>
      <c r="D2645" t="s">
        <v>1666</v>
      </c>
      <c r="E2645" t="s">
        <v>4051</v>
      </c>
      <c r="F2645" t="s">
        <v>1612</v>
      </c>
      <c r="I2645" t="s">
        <v>1077</v>
      </c>
      <c r="N2645" t="s">
        <v>228</v>
      </c>
      <c r="O2645" t="s">
        <v>7702</v>
      </c>
      <c r="P2645" t="s">
        <v>7796</v>
      </c>
      <c r="Q2645" t="str">
        <f>IF($C2645="","",IFERROR(VLOOKUP($C2645,sources!$A$2:$N$200,2,FALSE()),"?"))</f>
        <v>Newspaper</v>
      </c>
      <c r="S2645" t="str">
        <f>IF($C2645="","",IFERROR(VLOOKUP($C2645,sources!$A$2:$N$200,9,FALSE()),"?"))</f>
        <v>Caribbean community</v>
      </c>
    </row>
    <row r="2646" spans="1:19" x14ac:dyDescent="0.2">
      <c r="A2646" t="s">
        <v>7798</v>
      </c>
      <c r="B2646" t="s">
        <v>679</v>
      </c>
      <c r="C2646" t="s">
        <v>1403</v>
      </c>
      <c r="D2646" t="s">
        <v>1666</v>
      </c>
      <c r="E2646" t="s">
        <v>7707</v>
      </c>
      <c r="F2646" t="s">
        <v>1612</v>
      </c>
      <c r="I2646" t="s">
        <v>1077</v>
      </c>
      <c r="N2646" t="s">
        <v>228</v>
      </c>
      <c r="O2646" t="s">
        <v>7702</v>
      </c>
      <c r="P2646" t="s">
        <v>7799</v>
      </c>
      <c r="Q2646" t="str">
        <f>IF($C2646="","",IFERROR(VLOOKUP($C2646,sources!$A$2:$N$200,2,FALSE()),"?"))</f>
        <v>Newspaper</v>
      </c>
      <c r="S2646" t="str">
        <f>IF($C2646="","",IFERROR(VLOOKUP($C2646,sources!$A$2:$N$200,9,FALSE()),"?"))</f>
        <v>Caribbean community</v>
      </c>
    </row>
    <row r="2647" spans="1:19" x14ac:dyDescent="0.2">
      <c r="A2647" t="s">
        <v>7800</v>
      </c>
      <c r="B2647" t="s">
        <v>682</v>
      </c>
      <c r="C2647" t="s">
        <v>1403</v>
      </c>
      <c r="D2647" t="s">
        <v>1666</v>
      </c>
      <c r="E2647" t="s">
        <v>4564</v>
      </c>
      <c r="F2647" t="s">
        <v>1612</v>
      </c>
      <c r="I2647" t="s">
        <v>1077</v>
      </c>
      <c r="N2647" t="s">
        <v>228</v>
      </c>
      <c r="O2647" t="s">
        <v>7702</v>
      </c>
      <c r="P2647" t="s">
        <v>7801</v>
      </c>
      <c r="Q2647" t="str">
        <f>IF($C2647="","",IFERROR(VLOOKUP($C2647,sources!$A$2:$N$200,2,FALSE()),"?"))</f>
        <v>Newspaper</v>
      </c>
      <c r="S2647" t="str">
        <f>IF($C2647="","",IFERROR(VLOOKUP($C2647,sources!$A$2:$N$200,9,FALSE()),"?"))</f>
        <v>Caribbean community</v>
      </c>
    </row>
    <row r="2648" spans="1:19" x14ac:dyDescent="0.2">
      <c r="A2648" t="s">
        <v>7802</v>
      </c>
      <c r="B2648" t="s">
        <v>686</v>
      </c>
      <c r="C2648" t="s">
        <v>1403</v>
      </c>
      <c r="D2648" t="s">
        <v>1666</v>
      </c>
      <c r="E2648" t="s">
        <v>7712</v>
      </c>
      <c r="F2648" t="s">
        <v>1612</v>
      </c>
      <c r="I2648" t="s">
        <v>1077</v>
      </c>
      <c r="N2648" t="s">
        <v>228</v>
      </c>
      <c r="O2648" t="s">
        <v>7702</v>
      </c>
      <c r="P2648" t="s">
        <v>7796</v>
      </c>
      <c r="Q2648" t="str">
        <f>IF($C2648="","",IFERROR(VLOOKUP($C2648,sources!$A$2:$N$200,2,FALSE()),"?"))</f>
        <v>Newspaper</v>
      </c>
      <c r="S2648" t="str">
        <f>IF($C2648="","",IFERROR(VLOOKUP($C2648,sources!$A$2:$N$200,9,FALSE()),"?"))</f>
        <v>Caribbean community</v>
      </c>
    </row>
    <row r="2649" spans="1:19" x14ac:dyDescent="0.2">
      <c r="A2649" t="s">
        <v>7803</v>
      </c>
      <c r="B2649" t="s">
        <v>689</v>
      </c>
      <c r="C2649" t="s">
        <v>1403</v>
      </c>
      <c r="D2649" t="s">
        <v>1666</v>
      </c>
      <c r="E2649" t="s">
        <v>7715</v>
      </c>
      <c r="F2649" t="s">
        <v>1612</v>
      </c>
      <c r="I2649" t="s">
        <v>1077</v>
      </c>
      <c r="N2649" t="s">
        <v>228</v>
      </c>
      <c r="O2649" t="s">
        <v>7702</v>
      </c>
      <c r="P2649" t="s">
        <v>7796</v>
      </c>
      <c r="Q2649" t="str">
        <f>IF($C2649="","",IFERROR(VLOOKUP($C2649,sources!$A$2:$N$200,2,FALSE()),"?"))</f>
        <v>Newspaper</v>
      </c>
      <c r="S2649" t="str">
        <f>IF($C2649="","",IFERROR(VLOOKUP($C2649,sources!$A$2:$N$200,9,FALSE()),"?"))</f>
        <v>Caribbean community</v>
      </c>
    </row>
    <row r="2650" spans="1:19" x14ac:dyDescent="0.2">
      <c r="A2650" t="s">
        <v>7804</v>
      </c>
      <c r="B2650" t="s">
        <v>692</v>
      </c>
      <c r="C2650" t="s">
        <v>1403</v>
      </c>
      <c r="D2650" t="s">
        <v>1666</v>
      </c>
      <c r="E2650" t="s">
        <v>4570</v>
      </c>
      <c r="F2650" t="s">
        <v>1612</v>
      </c>
      <c r="I2650" t="s">
        <v>1077</v>
      </c>
      <c r="N2650" t="s">
        <v>228</v>
      </c>
      <c r="O2650" t="s">
        <v>7702</v>
      </c>
      <c r="P2650" t="s">
        <v>7796</v>
      </c>
      <c r="Q2650" t="str">
        <f>IF($C2650="","",IFERROR(VLOOKUP($C2650,sources!$A$2:$N$200,2,FALSE()),"?"))</f>
        <v>Newspaper</v>
      </c>
      <c r="S2650" t="str">
        <f>IF($C2650="","",IFERROR(VLOOKUP($C2650,sources!$A$2:$N$200,9,FALSE()),"?"))</f>
        <v>Caribbean community</v>
      </c>
    </row>
    <row r="2651" spans="1:19" x14ac:dyDescent="0.2">
      <c r="A2651" t="s">
        <v>7805</v>
      </c>
      <c r="B2651" t="s">
        <v>696</v>
      </c>
      <c r="C2651" t="s">
        <v>1403</v>
      </c>
      <c r="D2651" t="s">
        <v>1666</v>
      </c>
      <c r="E2651" t="s">
        <v>7721</v>
      </c>
      <c r="F2651" t="s">
        <v>1612</v>
      </c>
      <c r="I2651" t="s">
        <v>1077</v>
      </c>
      <c r="N2651" t="s">
        <v>228</v>
      </c>
      <c r="O2651" t="s">
        <v>7702</v>
      </c>
      <c r="P2651" t="s">
        <v>7806</v>
      </c>
      <c r="Q2651" t="str">
        <f>IF($C2651="","",IFERROR(VLOOKUP($C2651,sources!$A$2:$N$200,2,FALSE()),"?"))</f>
        <v>Newspaper</v>
      </c>
      <c r="S2651" t="str">
        <f>IF($C2651="","",IFERROR(VLOOKUP($C2651,sources!$A$2:$N$200,9,FALSE()),"?"))</f>
        <v>Caribbean community</v>
      </c>
    </row>
    <row r="2652" spans="1:19" x14ac:dyDescent="0.2">
      <c r="A2652" t="s">
        <v>7807</v>
      </c>
      <c r="B2652" t="s">
        <v>699</v>
      </c>
      <c r="C2652" t="s">
        <v>1403</v>
      </c>
      <c r="D2652" t="s">
        <v>1666</v>
      </c>
      <c r="E2652" t="s">
        <v>7724</v>
      </c>
      <c r="F2652" t="s">
        <v>1612</v>
      </c>
      <c r="I2652" t="s">
        <v>1077</v>
      </c>
      <c r="N2652" t="s">
        <v>228</v>
      </c>
      <c r="O2652" t="s">
        <v>7702</v>
      </c>
      <c r="P2652" t="s">
        <v>7796</v>
      </c>
      <c r="Q2652" t="str">
        <f>IF($C2652="","",IFERROR(VLOOKUP($C2652,sources!$A$2:$N$200,2,FALSE()),"?"))</f>
        <v>Newspaper</v>
      </c>
      <c r="S2652" t="str">
        <f>IF($C2652="","",IFERROR(VLOOKUP($C2652,sources!$A$2:$N$200,9,FALSE()),"?"))</f>
        <v>Caribbean community</v>
      </c>
    </row>
    <row r="2653" spans="1:19" x14ac:dyDescent="0.2">
      <c r="A2653" t="s">
        <v>7808</v>
      </c>
      <c r="B2653" t="s">
        <v>702</v>
      </c>
      <c r="C2653" t="s">
        <v>1403</v>
      </c>
      <c r="D2653" t="s">
        <v>1666</v>
      </c>
      <c r="E2653" t="s">
        <v>7809</v>
      </c>
      <c r="F2653" t="s">
        <v>1612</v>
      </c>
      <c r="I2653" t="s">
        <v>1077</v>
      </c>
      <c r="N2653" t="s">
        <v>228</v>
      </c>
      <c r="O2653" t="s">
        <v>7702</v>
      </c>
      <c r="P2653" t="s">
        <v>7796</v>
      </c>
      <c r="Q2653" t="str">
        <f>IF($C2653="","",IFERROR(VLOOKUP($C2653,sources!$A$2:$N$200,2,FALSE()),"?"))</f>
        <v>Newspaper</v>
      </c>
      <c r="S2653" t="str">
        <f>IF($C2653="","",IFERROR(VLOOKUP($C2653,sources!$A$2:$N$200,9,FALSE()),"?"))</f>
        <v>Caribbean community</v>
      </c>
    </row>
    <row r="2654" spans="1:19" x14ac:dyDescent="0.2">
      <c r="A2654" t="s">
        <v>7810</v>
      </c>
      <c r="B2654" t="s">
        <v>705</v>
      </c>
      <c r="C2654" t="s">
        <v>1403</v>
      </c>
      <c r="D2654" t="s">
        <v>1666</v>
      </c>
      <c r="E2654" t="s">
        <v>4576</v>
      </c>
      <c r="F2654" t="s">
        <v>1612</v>
      </c>
      <c r="I2654" t="s">
        <v>1077</v>
      </c>
      <c r="N2654" t="s">
        <v>228</v>
      </c>
      <c r="O2654" t="s">
        <v>7702</v>
      </c>
      <c r="P2654" t="s">
        <v>7796</v>
      </c>
      <c r="Q2654" t="str">
        <f>IF($C2654="","",IFERROR(VLOOKUP($C2654,sources!$A$2:$N$200,2,FALSE()),"?"))</f>
        <v>Newspaper</v>
      </c>
      <c r="S2654" t="str">
        <f>IF($C2654="","",IFERROR(VLOOKUP($C2654,sources!$A$2:$N$200,9,FALSE()),"?"))</f>
        <v>Caribbean community</v>
      </c>
    </row>
    <row r="2655" spans="1:19" x14ac:dyDescent="0.2">
      <c r="A2655" t="s">
        <v>7811</v>
      </c>
      <c r="B2655" t="s">
        <v>708</v>
      </c>
      <c r="C2655" t="s">
        <v>1403</v>
      </c>
      <c r="D2655" t="s">
        <v>1666</v>
      </c>
      <c r="E2655" t="s">
        <v>4579</v>
      </c>
      <c r="F2655" t="s">
        <v>1612</v>
      </c>
      <c r="I2655" t="s">
        <v>1077</v>
      </c>
      <c r="N2655" t="s">
        <v>228</v>
      </c>
      <c r="O2655" t="s">
        <v>7702</v>
      </c>
      <c r="P2655" t="s">
        <v>7796</v>
      </c>
      <c r="Q2655" t="str">
        <f>IF($C2655="","",IFERROR(VLOOKUP($C2655,sources!$A$2:$N$200,2,FALSE()),"?"))</f>
        <v>Newspaper</v>
      </c>
      <c r="S2655" t="str">
        <f>IF($C2655="","",IFERROR(VLOOKUP($C2655,sources!$A$2:$N$200,9,FALSE()),"?"))</f>
        <v>Caribbean community</v>
      </c>
    </row>
    <row r="2656" spans="1:19" x14ac:dyDescent="0.2">
      <c r="A2656" t="s">
        <v>7812</v>
      </c>
      <c r="B2656" t="s">
        <v>712</v>
      </c>
      <c r="C2656" t="s">
        <v>1403</v>
      </c>
      <c r="D2656" t="s">
        <v>1666</v>
      </c>
      <c r="E2656" t="s">
        <v>4582</v>
      </c>
      <c r="F2656" t="s">
        <v>1612</v>
      </c>
      <c r="I2656" t="s">
        <v>1077</v>
      </c>
      <c r="N2656" t="s">
        <v>228</v>
      </c>
      <c r="O2656" t="s">
        <v>7702</v>
      </c>
      <c r="P2656" t="s">
        <v>7796</v>
      </c>
      <c r="Q2656" t="str">
        <f>IF($C2656="","",IFERROR(VLOOKUP($C2656,sources!$A$2:$N$200,2,FALSE()),"?"))</f>
        <v>Newspaper</v>
      </c>
      <c r="S2656" t="str">
        <f>IF($C2656="","",IFERROR(VLOOKUP($C2656,sources!$A$2:$N$200,9,FALSE()),"?"))</f>
        <v>Caribbean community</v>
      </c>
    </row>
    <row r="2657" spans="1:19" x14ac:dyDescent="0.2">
      <c r="A2657" t="s">
        <v>7813</v>
      </c>
      <c r="B2657" t="s">
        <v>717</v>
      </c>
      <c r="C2657" t="s">
        <v>1403</v>
      </c>
      <c r="D2657" t="s">
        <v>1666</v>
      </c>
      <c r="E2657" t="s">
        <v>7814</v>
      </c>
      <c r="F2657" t="s">
        <v>1612</v>
      </c>
      <c r="I2657" t="s">
        <v>1077</v>
      </c>
      <c r="N2657" t="s">
        <v>228</v>
      </c>
      <c r="O2657" t="s">
        <v>7702</v>
      </c>
      <c r="P2657" t="s">
        <v>7796</v>
      </c>
      <c r="Q2657" t="str">
        <f>IF($C2657="","",IFERROR(VLOOKUP($C2657,sources!$A$2:$N$200,2,FALSE()),"?"))</f>
        <v>Newspaper</v>
      </c>
      <c r="S2657" t="str">
        <f>IF($C2657="","",IFERROR(VLOOKUP($C2657,sources!$A$2:$N$200,9,FALSE()),"?"))</f>
        <v>Caribbean community</v>
      </c>
    </row>
    <row r="2658" spans="1:19" x14ac:dyDescent="0.2">
      <c r="A2658" t="s">
        <v>7815</v>
      </c>
      <c r="B2658" t="s">
        <v>720</v>
      </c>
      <c r="C2658" t="s">
        <v>1403</v>
      </c>
      <c r="D2658" t="s">
        <v>1666</v>
      </c>
      <c r="E2658" t="s">
        <v>7739</v>
      </c>
      <c r="F2658" t="s">
        <v>1612</v>
      </c>
      <c r="I2658" t="s">
        <v>1077</v>
      </c>
      <c r="N2658" t="s">
        <v>228</v>
      </c>
      <c r="O2658" t="s">
        <v>7702</v>
      </c>
      <c r="P2658" t="s">
        <v>7796</v>
      </c>
      <c r="Q2658" t="str">
        <f>IF($C2658="","",IFERROR(VLOOKUP($C2658,sources!$A$2:$N$200,2,FALSE()),"?"))</f>
        <v>Newspaper</v>
      </c>
      <c r="S2658" t="str">
        <f>IF($C2658="","",IFERROR(VLOOKUP($C2658,sources!$A$2:$N$200,9,FALSE()),"?"))</f>
        <v>Caribbean community</v>
      </c>
    </row>
    <row r="2659" spans="1:19" x14ac:dyDescent="0.2">
      <c r="A2659" t="s">
        <v>7816</v>
      </c>
      <c r="B2659" t="s">
        <v>723</v>
      </c>
      <c r="C2659" t="s">
        <v>1403</v>
      </c>
      <c r="D2659" t="s">
        <v>1666</v>
      </c>
      <c r="E2659" t="s">
        <v>4096</v>
      </c>
      <c r="F2659" t="s">
        <v>1612</v>
      </c>
      <c r="I2659" t="s">
        <v>1077</v>
      </c>
      <c r="N2659" t="s">
        <v>228</v>
      </c>
      <c r="O2659" t="s">
        <v>7702</v>
      </c>
      <c r="P2659" t="s">
        <v>7817</v>
      </c>
      <c r="Q2659" t="str">
        <f>IF($C2659="","",IFERROR(VLOOKUP($C2659,sources!$A$2:$N$200,2,FALSE()),"?"))</f>
        <v>Newspaper</v>
      </c>
      <c r="S2659" t="str">
        <f>IF($C2659="","",IFERROR(VLOOKUP($C2659,sources!$A$2:$N$200,9,FALSE()),"?"))</f>
        <v>Caribbean community</v>
      </c>
    </row>
    <row r="2660" spans="1:19" x14ac:dyDescent="0.2">
      <c r="A2660" t="s">
        <v>7818</v>
      </c>
      <c r="B2660" t="s">
        <v>730</v>
      </c>
      <c r="C2660" t="s">
        <v>1403</v>
      </c>
      <c r="D2660" t="s">
        <v>1666</v>
      </c>
      <c r="E2660" t="s">
        <v>7745</v>
      </c>
      <c r="F2660" t="s">
        <v>1612</v>
      </c>
      <c r="I2660" t="s">
        <v>1077</v>
      </c>
      <c r="N2660" t="s">
        <v>228</v>
      </c>
      <c r="O2660" t="s">
        <v>7702</v>
      </c>
      <c r="P2660" t="s">
        <v>7796</v>
      </c>
      <c r="Q2660" t="str">
        <f>IF($C2660="","",IFERROR(VLOOKUP($C2660,sources!$A$2:$N$200,2,FALSE()),"?"))</f>
        <v>Newspaper</v>
      </c>
      <c r="S2660" t="str">
        <f>IF($C2660="","",IFERROR(VLOOKUP($C2660,sources!$A$2:$N$200,9,FALSE()),"?"))</f>
        <v>Caribbean community</v>
      </c>
    </row>
    <row r="2661" spans="1:19" x14ac:dyDescent="0.2">
      <c r="A2661" t="s">
        <v>7819</v>
      </c>
      <c r="B2661" t="s">
        <v>733</v>
      </c>
      <c r="C2661" t="s">
        <v>1403</v>
      </c>
      <c r="D2661" t="s">
        <v>1666</v>
      </c>
      <c r="E2661" t="s">
        <v>4593</v>
      </c>
      <c r="F2661" t="s">
        <v>1612</v>
      </c>
      <c r="I2661" t="s">
        <v>1077</v>
      </c>
      <c r="N2661" t="s">
        <v>228</v>
      </c>
      <c r="O2661" t="s">
        <v>7702</v>
      </c>
      <c r="P2661" t="s">
        <v>7796</v>
      </c>
      <c r="Q2661" t="str">
        <f>IF($C2661="","",IFERROR(VLOOKUP($C2661,sources!$A$2:$N$200,2,FALSE()),"?"))</f>
        <v>Newspaper</v>
      </c>
      <c r="S2661" t="str">
        <f>IF($C2661="","",IFERROR(VLOOKUP($C2661,sources!$A$2:$N$200,9,FALSE()),"?"))</f>
        <v>Caribbean community</v>
      </c>
    </row>
    <row r="2662" spans="1:19" x14ac:dyDescent="0.2">
      <c r="A2662" t="s">
        <v>7820</v>
      </c>
      <c r="B2662" t="s">
        <v>736</v>
      </c>
      <c r="C2662" t="s">
        <v>1403</v>
      </c>
      <c r="D2662" t="s">
        <v>1666</v>
      </c>
      <c r="E2662" t="s">
        <v>4596</v>
      </c>
      <c r="F2662" t="s">
        <v>1612</v>
      </c>
      <c r="I2662" t="s">
        <v>1077</v>
      </c>
      <c r="N2662" t="s">
        <v>228</v>
      </c>
      <c r="O2662" t="s">
        <v>7702</v>
      </c>
      <c r="P2662" t="s">
        <v>7796</v>
      </c>
      <c r="Q2662" t="str">
        <f>IF($C2662="","",IFERROR(VLOOKUP($C2662,sources!$A$2:$N$200,2,FALSE()),"?"))</f>
        <v>Newspaper</v>
      </c>
      <c r="S2662" t="str">
        <f>IF($C2662="","",IFERROR(VLOOKUP($C2662,sources!$A$2:$N$200,9,FALSE()),"?"))</f>
        <v>Caribbean community</v>
      </c>
    </row>
    <row r="2663" spans="1:19" x14ac:dyDescent="0.2">
      <c r="A2663" t="s">
        <v>7821</v>
      </c>
      <c r="B2663" t="s">
        <v>739</v>
      </c>
      <c r="C2663" t="s">
        <v>1403</v>
      </c>
      <c r="D2663" t="s">
        <v>1666</v>
      </c>
      <c r="E2663" t="s">
        <v>4599</v>
      </c>
      <c r="F2663" t="s">
        <v>1612</v>
      </c>
      <c r="I2663" t="s">
        <v>1077</v>
      </c>
      <c r="N2663" t="s">
        <v>228</v>
      </c>
      <c r="O2663" t="s">
        <v>7702</v>
      </c>
      <c r="P2663" t="s">
        <v>7796</v>
      </c>
      <c r="Q2663" t="str">
        <f>IF($C2663="","",IFERROR(VLOOKUP($C2663,sources!$A$2:$N$200,2,FALSE()),"?"))</f>
        <v>Newspaper</v>
      </c>
      <c r="S2663" t="str">
        <f>IF($C2663="","",IFERROR(VLOOKUP($C2663,sources!$A$2:$N$200,9,FALSE()),"?"))</f>
        <v>Caribbean community</v>
      </c>
    </row>
    <row r="2664" spans="1:19" x14ac:dyDescent="0.2">
      <c r="A2664" t="s">
        <v>7822</v>
      </c>
      <c r="B2664" t="s">
        <v>742</v>
      </c>
      <c r="C2664" t="s">
        <v>1403</v>
      </c>
      <c r="D2664" t="s">
        <v>1666</v>
      </c>
      <c r="E2664" t="s">
        <v>7754</v>
      </c>
      <c r="F2664" t="s">
        <v>1612</v>
      </c>
      <c r="I2664" t="s">
        <v>1077</v>
      </c>
      <c r="N2664" t="s">
        <v>228</v>
      </c>
      <c r="O2664" t="s">
        <v>7702</v>
      </c>
      <c r="P2664" t="s">
        <v>7823</v>
      </c>
      <c r="Q2664" t="str">
        <f>IF($C2664="","",IFERROR(VLOOKUP($C2664,sources!$A$2:$N$200,2,FALSE()),"?"))</f>
        <v>Newspaper</v>
      </c>
      <c r="S2664" t="str">
        <f>IF($C2664="","",IFERROR(VLOOKUP($C2664,sources!$A$2:$N$200,9,FALSE()),"?"))</f>
        <v>Caribbean community</v>
      </c>
    </row>
    <row r="2665" spans="1:19" x14ac:dyDescent="0.2">
      <c r="A2665" t="s">
        <v>7824</v>
      </c>
      <c r="B2665" t="s">
        <v>746</v>
      </c>
      <c r="C2665" t="s">
        <v>1403</v>
      </c>
      <c r="D2665" t="s">
        <v>1666</v>
      </c>
      <c r="E2665" t="s">
        <v>4605</v>
      </c>
      <c r="F2665" t="s">
        <v>1612</v>
      </c>
      <c r="I2665" t="s">
        <v>1077</v>
      </c>
      <c r="N2665" t="s">
        <v>228</v>
      </c>
      <c r="O2665" t="s">
        <v>7702</v>
      </c>
      <c r="P2665" t="s">
        <v>7796</v>
      </c>
      <c r="Q2665" t="str">
        <f>IF($C2665="","",IFERROR(VLOOKUP($C2665,sources!$A$2:$N$200,2,FALSE()),"?"))</f>
        <v>Newspaper</v>
      </c>
      <c r="S2665" t="str">
        <f>IF($C2665="","",IFERROR(VLOOKUP($C2665,sources!$A$2:$N$200,9,FALSE()),"?"))</f>
        <v>Caribbean community</v>
      </c>
    </row>
    <row r="2666" spans="1:19" x14ac:dyDescent="0.2">
      <c r="A2666" t="s">
        <v>7825</v>
      </c>
      <c r="B2666" t="s">
        <v>749</v>
      </c>
      <c r="C2666" t="s">
        <v>1403</v>
      </c>
      <c r="D2666" t="s">
        <v>1666</v>
      </c>
      <c r="E2666" t="s">
        <v>7760</v>
      </c>
      <c r="F2666" t="s">
        <v>1612</v>
      </c>
      <c r="I2666" t="s">
        <v>1077</v>
      </c>
      <c r="N2666" t="s">
        <v>228</v>
      </c>
      <c r="O2666" t="s">
        <v>7702</v>
      </c>
      <c r="P2666" t="s">
        <v>7796</v>
      </c>
      <c r="Q2666" t="str">
        <f>IF($C2666="","",IFERROR(VLOOKUP($C2666,sources!$A$2:$N$200,2,FALSE()),"?"))</f>
        <v>Newspaper</v>
      </c>
      <c r="S2666" t="str">
        <f>IF($C2666="","",IFERROR(VLOOKUP($C2666,sources!$A$2:$N$200,9,FALSE()),"?"))</f>
        <v>Caribbean community</v>
      </c>
    </row>
    <row r="2667" spans="1:19" x14ac:dyDescent="0.2">
      <c r="A2667" t="s">
        <v>7826</v>
      </c>
      <c r="B2667" t="s">
        <v>752</v>
      </c>
      <c r="C2667" t="s">
        <v>1403</v>
      </c>
      <c r="D2667" t="s">
        <v>1666</v>
      </c>
      <c r="E2667" t="s">
        <v>7827</v>
      </c>
      <c r="F2667" t="s">
        <v>1612</v>
      </c>
      <c r="I2667" t="s">
        <v>1077</v>
      </c>
      <c r="N2667" t="s">
        <v>228</v>
      </c>
      <c r="O2667" t="s">
        <v>7702</v>
      </c>
      <c r="P2667" t="s">
        <v>7796</v>
      </c>
      <c r="Q2667" t="str">
        <f>IF($C2667="","",IFERROR(VLOOKUP($C2667,sources!$A$2:$N$200,2,FALSE()),"?"))</f>
        <v>Newspaper</v>
      </c>
      <c r="S2667" t="str">
        <f>IF($C2667="","",IFERROR(VLOOKUP($C2667,sources!$A$2:$N$200,9,FALSE()),"?"))</f>
        <v>Caribbean community</v>
      </c>
    </row>
    <row r="2668" spans="1:19" x14ac:dyDescent="0.2">
      <c r="A2668" t="s">
        <v>7828</v>
      </c>
      <c r="B2668" t="s">
        <v>756</v>
      </c>
      <c r="C2668" t="s">
        <v>1403</v>
      </c>
      <c r="D2668" t="s">
        <v>1666</v>
      </c>
      <c r="E2668" t="s">
        <v>7765</v>
      </c>
      <c r="F2668" t="s">
        <v>1612</v>
      </c>
      <c r="I2668" t="s">
        <v>1077</v>
      </c>
      <c r="N2668" t="s">
        <v>228</v>
      </c>
      <c r="O2668" t="s">
        <v>7702</v>
      </c>
      <c r="P2668" t="s">
        <v>7796</v>
      </c>
      <c r="Q2668" t="str">
        <f>IF($C2668="","",IFERROR(VLOOKUP($C2668,sources!$A$2:$N$200,2,FALSE()),"?"))</f>
        <v>Newspaper</v>
      </c>
      <c r="S2668" t="str">
        <f>IF($C2668="","",IFERROR(VLOOKUP($C2668,sources!$A$2:$N$200,9,FALSE()),"?"))</f>
        <v>Caribbean community</v>
      </c>
    </row>
    <row r="2669" spans="1:19" x14ac:dyDescent="0.2">
      <c r="A2669" t="s">
        <v>7829</v>
      </c>
      <c r="B2669" t="s">
        <v>759</v>
      </c>
      <c r="C2669" t="s">
        <v>1403</v>
      </c>
      <c r="D2669" t="s">
        <v>1666</v>
      </c>
      <c r="E2669" t="s">
        <v>7768</v>
      </c>
      <c r="F2669" t="s">
        <v>1612</v>
      </c>
      <c r="I2669" t="s">
        <v>1077</v>
      </c>
      <c r="N2669" t="s">
        <v>228</v>
      </c>
      <c r="O2669" t="s">
        <v>7702</v>
      </c>
      <c r="P2669" t="s">
        <v>7796</v>
      </c>
      <c r="Q2669" t="str">
        <f>IF($C2669="","",IFERROR(VLOOKUP($C2669,sources!$A$2:$N$200,2,FALSE()),"?"))</f>
        <v>Newspaper</v>
      </c>
      <c r="S2669" t="str">
        <f>IF($C2669="","",IFERROR(VLOOKUP($C2669,sources!$A$2:$N$200,9,FALSE()),"?"))</f>
        <v>Caribbean community</v>
      </c>
    </row>
    <row r="2670" spans="1:19" x14ac:dyDescent="0.2">
      <c r="A2670" t="s">
        <v>7830</v>
      </c>
      <c r="B2670" t="s">
        <v>762</v>
      </c>
      <c r="C2670" t="s">
        <v>1403</v>
      </c>
      <c r="D2670" t="s">
        <v>1666</v>
      </c>
      <c r="E2670" t="s">
        <v>7831</v>
      </c>
      <c r="F2670" t="s">
        <v>1612</v>
      </c>
      <c r="I2670" t="s">
        <v>1077</v>
      </c>
      <c r="N2670" t="s">
        <v>228</v>
      </c>
      <c r="O2670" t="s">
        <v>7702</v>
      </c>
      <c r="P2670" t="s">
        <v>7832</v>
      </c>
      <c r="Q2670" t="str">
        <f>IF($C2670="","",IFERROR(VLOOKUP($C2670,sources!$A$2:$N$200,2,FALSE()),"?"))</f>
        <v>Newspaper</v>
      </c>
      <c r="S2670" t="str">
        <f>IF($C2670="","",IFERROR(VLOOKUP($C2670,sources!$A$2:$N$200,9,FALSE()),"?"))</f>
        <v>Caribbean community</v>
      </c>
    </row>
    <row r="2671" spans="1:19" x14ac:dyDescent="0.2">
      <c r="A2671" t="s">
        <v>7833</v>
      </c>
      <c r="B2671" t="s">
        <v>765</v>
      </c>
      <c r="C2671" t="s">
        <v>1403</v>
      </c>
      <c r="D2671" t="s">
        <v>1599</v>
      </c>
      <c r="E2671" t="s">
        <v>7774</v>
      </c>
      <c r="F2671" t="s">
        <v>1612</v>
      </c>
      <c r="I2671" t="s">
        <v>1077</v>
      </c>
      <c r="N2671" t="s">
        <v>228</v>
      </c>
      <c r="O2671" t="s">
        <v>7702</v>
      </c>
      <c r="P2671" t="s">
        <v>7834</v>
      </c>
      <c r="Q2671" t="str">
        <f>IF($C2671="","",IFERROR(VLOOKUP($C2671,sources!$A$2:$N$200,2,FALSE()),"?"))</f>
        <v>Newspaper</v>
      </c>
      <c r="S2671" t="str">
        <f>IF($C2671="","",IFERROR(VLOOKUP($C2671,sources!$A$2:$N$200,9,FALSE()),"?"))</f>
        <v>Caribbean community</v>
      </c>
    </row>
    <row r="2672" spans="1:19" x14ac:dyDescent="0.2">
      <c r="A2672" t="s">
        <v>7835</v>
      </c>
      <c r="B2672" t="s">
        <v>768</v>
      </c>
      <c r="C2672" t="s">
        <v>1403</v>
      </c>
      <c r="D2672" t="s">
        <v>1666</v>
      </c>
      <c r="E2672" t="s">
        <v>7777</v>
      </c>
      <c r="F2672" t="s">
        <v>1612</v>
      </c>
      <c r="I2672" t="s">
        <v>1077</v>
      </c>
      <c r="N2672" t="s">
        <v>228</v>
      </c>
      <c r="O2672" t="s">
        <v>7702</v>
      </c>
      <c r="P2672" t="s">
        <v>7796</v>
      </c>
      <c r="Q2672" t="str">
        <f>IF($C2672="","",IFERROR(VLOOKUP($C2672,sources!$A$2:$N$200,2,FALSE()),"?"))</f>
        <v>Newspaper</v>
      </c>
      <c r="S2672" t="str">
        <f>IF($C2672="","",IFERROR(VLOOKUP($C2672,sources!$A$2:$N$200,9,FALSE()),"?"))</f>
        <v>Caribbean community</v>
      </c>
    </row>
    <row r="2673" spans="1:19" x14ac:dyDescent="0.2">
      <c r="A2673" t="s">
        <v>7836</v>
      </c>
      <c r="B2673" t="s">
        <v>771</v>
      </c>
      <c r="C2673" t="s">
        <v>1403</v>
      </c>
      <c r="D2673" t="s">
        <v>1666</v>
      </c>
      <c r="E2673" t="s">
        <v>7779</v>
      </c>
      <c r="F2673" t="s">
        <v>1612</v>
      </c>
      <c r="I2673" t="s">
        <v>1077</v>
      </c>
      <c r="N2673" t="s">
        <v>228</v>
      </c>
      <c r="O2673" t="s">
        <v>7702</v>
      </c>
      <c r="P2673" t="s">
        <v>7796</v>
      </c>
      <c r="Q2673" t="str">
        <f>IF($C2673="","",IFERROR(VLOOKUP($C2673,sources!$A$2:$N$200,2,FALSE()),"?"))</f>
        <v>Newspaper</v>
      </c>
      <c r="S2673" t="str">
        <f>IF($C2673="","",IFERROR(VLOOKUP($C2673,sources!$A$2:$N$200,9,FALSE()),"?"))</f>
        <v>Caribbean community</v>
      </c>
    </row>
    <row r="2674" spans="1:19" x14ac:dyDescent="0.2">
      <c r="A2674" t="s">
        <v>7837</v>
      </c>
      <c r="B2674" t="s">
        <v>774</v>
      </c>
      <c r="C2674" t="s">
        <v>1403</v>
      </c>
      <c r="D2674" t="s">
        <v>1666</v>
      </c>
      <c r="E2674" t="s">
        <v>7782</v>
      </c>
      <c r="F2674" t="s">
        <v>1612</v>
      </c>
      <c r="I2674" t="s">
        <v>1077</v>
      </c>
      <c r="N2674" t="s">
        <v>228</v>
      </c>
      <c r="O2674" t="s">
        <v>7702</v>
      </c>
      <c r="P2674" t="s">
        <v>7796</v>
      </c>
      <c r="Q2674" t="str">
        <f>IF($C2674="","",IFERROR(VLOOKUP($C2674,sources!$A$2:$N$200,2,FALSE()),"?"))</f>
        <v>Newspaper</v>
      </c>
      <c r="S2674" t="str">
        <f>IF($C2674="","",IFERROR(VLOOKUP($C2674,sources!$A$2:$N$200,9,FALSE()),"?"))</f>
        <v>Caribbean community</v>
      </c>
    </row>
    <row r="2675" spans="1:19" x14ac:dyDescent="0.2">
      <c r="A2675" t="s">
        <v>7838</v>
      </c>
      <c r="B2675" t="s">
        <v>777</v>
      </c>
      <c r="C2675" t="s">
        <v>1403</v>
      </c>
      <c r="D2675" t="s">
        <v>1666</v>
      </c>
      <c r="E2675" t="s">
        <v>3786</v>
      </c>
      <c r="F2675" t="s">
        <v>1612</v>
      </c>
      <c r="I2675" t="s">
        <v>1077</v>
      </c>
      <c r="N2675" t="s">
        <v>228</v>
      </c>
      <c r="O2675" t="s">
        <v>7702</v>
      </c>
      <c r="P2675" t="s">
        <v>7796</v>
      </c>
      <c r="Q2675" t="str">
        <f>IF($C2675="","",IFERROR(VLOOKUP($C2675,sources!$A$2:$N$200,2,FALSE()),"?"))</f>
        <v>Newspaper</v>
      </c>
      <c r="S2675" t="str">
        <f>IF($C2675="","",IFERROR(VLOOKUP($C2675,sources!$A$2:$N$200,9,FALSE()),"?"))</f>
        <v>Caribbean community</v>
      </c>
    </row>
    <row r="2676" spans="1:19" x14ac:dyDescent="0.2">
      <c r="A2676" t="s">
        <v>7839</v>
      </c>
      <c r="B2676" t="s">
        <v>780</v>
      </c>
      <c r="C2676" t="s">
        <v>1403</v>
      </c>
      <c r="D2676" t="s">
        <v>1666</v>
      </c>
      <c r="E2676" t="s">
        <v>7840</v>
      </c>
      <c r="F2676" t="s">
        <v>1612</v>
      </c>
      <c r="I2676" t="s">
        <v>1077</v>
      </c>
      <c r="N2676" t="s">
        <v>228</v>
      </c>
      <c r="O2676" t="s">
        <v>7702</v>
      </c>
      <c r="P2676" t="s">
        <v>7796</v>
      </c>
      <c r="Q2676" t="str">
        <f>IF($C2676="","",IFERROR(VLOOKUP($C2676,sources!$A$2:$N$200,2,FALSE()),"?"))</f>
        <v>Newspaper</v>
      </c>
      <c r="S2676" t="str">
        <f>IF($C2676="","",IFERROR(VLOOKUP($C2676,sources!$A$2:$N$200,9,FALSE()),"?"))</f>
        <v>Caribbean community</v>
      </c>
    </row>
    <row r="2677" spans="1:19" x14ac:dyDescent="0.2">
      <c r="A2677" t="s">
        <v>7841</v>
      </c>
      <c r="B2677" t="s">
        <v>783</v>
      </c>
      <c r="C2677" t="s">
        <v>1403</v>
      </c>
      <c r="D2677" t="s">
        <v>1666</v>
      </c>
      <c r="E2677" t="s">
        <v>4613</v>
      </c>
      <c r="F2677" t="s">
        <v>1612</v>
      </c>
      <c r="I2677" t="s">
        <v>1077</v>
      </c>
      <c r="N2677" t="s">
        <v>228</v>
      </c>
      <c r="O2677" t="s">
        <v>7702</v>
      </c>
      <c r="P2677" t="s">
        <v>7796</v>
      </c>
      <c r="Q2677" t="str">
        <f>IF($C2677="","",IFERROR(VLOOKUP($C2677,sources!$A$2:$N$200,2,FALSE()),"?"))</f>
        <v>Newspaper</v>
      </c>
      <c r="S2677" t="str">
        <f>IF($C2677="","",IFERROR(VLOOKUP($C2677,sources!$A$2:$N$200,9,FALSE()),"?"))</f>
        <v>Caribbean community</v>
      </c>
    </row>
    <row r="2678" spans="1:19" x14ac:dyDescent="0.2">
      <c r="A2678" t="s">
        <v>7842</v>
      </c>
      <c r="B2678" t="s">
        <v>786</v>
      </c>
      <c r="C2678" t="s">
        <v>1403</v>
      </c>
      <c r="D2678" t="s">
        <v>1666</v>
      </c>
      <c r="E2678" t="s">
        <v>7790</v>
      </c>
      <c r="F2678" t="s">
        <v>1612</v>
      </c>
      <c r="I2678" t="s">
        <v>1077</v>
      </c>
      <c r="N2678" t="s">
        <v>228</v>
      </c>
      <c r="O2678" t="s">
        <v>7702</v>
      </c>
      <c r="P2678" t="s">
        <v>7796</v>
      </c>
      <c r="Q2678" t="str">
        <f>IF($C2678="","",IFERROR(VLOOKUP($C2678,sources!$A$2:$N$200,2,FALSE()),"?"))</f>
        <v>Newspaper</v>
      </c>
      <c r="S2678" t="str">
        <f>IF($C2678="","",IFERROR(VLOOKUP($C2678,sources!$A$2:$N$200,9,FALSE()),"?"))</f>
        <v>Caribbean community</v>
      </c>
    </row>
    <row r="2679" spans="1:19" x14ac:dyDescent="0.2">
      <c r="A2679" t="s">
        <v>7843</v>
      </c>
      <c r="B2679" t="s">
        <v>789</v>
      </c>
      <c r="C2679" t="s">
        <v>1403</v>
      </c>
      <c r="D2679" t="s">
        <v>1666</v>
      </c>
      <c r="E2679" t="s">
        <v>7793</v>
      </c>
      <c r="F2679" t="s">
        <v>1612</v>
      </c>
      <c r="I2679" t="s">
        <v>1077</v>
      </c>
      <c r="N2679" t="s">
        <v>228</v>
      </c>
      <c r="O2679" t="s">
        <v>7702</v>
      </c>
      <c r="P2679" t="s">
        <v>7796</v>
      </c>
      <c r="Q2679" t="str">
        <f>IF($C2679="","",IFERROR(VLOOKUP($C2679,sources!$A$2:$N$200,2,FALSE()),"?"))</f>
        <v>Newspaper</v>
      </c>
      <c r="S2679" t="str">
        <f>IF($C2679="","",IFERROR(VLOOKUP($C2679,sources!$A$2:$N$200,9,FALSE()),"?"))</f>
        <v>Caribbean community</v>
      </c>
    </row>
    <row r="2680" spans="1:19" x14ac:dyDescent="0.2">
      <c r="A2680" t="s">
        <v>7844</v>
      </c>
      <c r="B2680" t="s">
        <v>675</v>
      </c>
      <c r="C2680" t="s">
        <v>1277</v>
      </c>
      <c r="D2680" t="s">
        <v>1666</v>
      </c>
      <c r="E2680" t="s">
        <v>676</v>
      </c>
      <c r="F2680" t="s">
        <v>1612</v>
      </c>
      <c r="I2680" t="s">
        <v>1077</v>
      </c>
      <c r="N2680" t="s">
        <v>209</v>
      </c>
      <c r="O2680" t="s">
        <v>7702</v>
      </c>
      <c r="P2680" t="s">
        <v>7845</v>
      </c>
      <c r="Q2680" t="str">
        <f>IF($C2680="","",IFERROR(VLOOKUP($C2680,sources!$A$2:$N$200,2,FALSE()),"?"))</f>
        <v>Administrative</v>
      </c>
      <c r="S2680" t="str">
        <f>IF($C2680="","",IFERROR(VLOOKUP($C2680,sources!$A$2:$N$200,9,FALSE()),"?"))</f>
        <v>US official</v>
      </c>
    </row>
    <row r="2681" spans="1:19" x14ac:dyDescent="0.2">
      <c r="A2681" t="s">
        <v>7846</v>
      </c>
      <c r="B2681" t="s">
        <v>689</v>
      </c>
      <c r="C2681" t="s">
        <v>1277</v>
      </c>
      <c r="D2681" t="s">
        <v>1666</v>
      </c>
      <c r="E2681" t="s">
        <v>690</v>
      </c>
      <c r="F2681" t="s">
        <v>1612</v>
      </c>
      <c r="I2681" t="s">
        <v>1077</v>
      </c>
      <c r="N2681" t="s">
        <v>209</v>
      </c>
      <c r="O2681" t="s">
        <v>7702</v>
      </c>
      <c r="P2681" t="s">
        <v>7847</v>
      </c>
      <c r="Q2681" t="str">
        <f>IF($C2681="","",IFERROR(VLOOKUP($C2681,sources!$A$2:$N$200,2,FALSE()),"?"))</f>
        <v>Administrative</v>
      </c>
      <c r="S2681" t="str">
        <f>IF($C2681="","",IFERROR(VLOOKUP($C2681,sources!$A$2:$N$200,9,FALSE()),"?"))</f>
        <v>US official</v>
      </c>
    </row>
    <row r="2682" spans="1:19" x14ac:dyDescent="0.2">
      <c r="A2682" t="s">
        <v>7848</v>
      </c>
      <c r="B2682" t="s">
        <v>699</v>
      </c>
      <c r="C2682" t="s">
        <v>1277</v>
      </c>
      <c r="D2682" t="s">
        <v>1666</v>
      </c>
      <c r="E2682" t="s">
        <v>700</v>
      </c>
      <c r="F2682" t="s">
        <v>1612</v>
      </c>
      <c r="I2682" t="s">
        <v>1077</v>
      </c>
      <c r="N2682" t="s">
        <v>209</v>
      </c>
      <c r="O2682" t="s">
        <v>7702</v>
      </c>
      <c r="P2682" t="s">
        <v>7849</v>
      </c>
      <c r="Q2682" t="str">
        <f>IF($C2682="","",IFERROR(VLOOKUP($C2682,sources!$A$2:$N$200,2,FALSE()),"?"))</f>
        <v>Administrative</v>
      </c>
      <c r="S2682" t="str">
        <f>IF($C2682="","",IFERROR(VLOOKUP($C2682,sources!$A$2:$N$200,9,FALSE()),"?"))</f>
        <v>US official</v>
      </c>
    </row>
    <row r="2683" spans="1:19" x14ac:dyDescent="0.2">
      <c r="A2683" t="s">
        <v>7850</v>
      </c>
      <c r="B2683" t="s">
        <v>702</v>
      </c>
      <c r="C2683" t="s">
        <v>1277</v>
      </c>
      <c r="D2683" t="s">
        <v>1666</v>
      </c>
      <c r="E2683" t="s">
        <v>703</v>
      </c>
      <c r="F2683" t="s">
        <v>1612</v>
      </c>
      <c r="I2683" t="s">
        <v>1077</v>
      </c>
      <c r="N2683" t="s">
        <v>209</v>
      </c>
      <c r="O2683" t="s">
        <v>7702</v>
      </c>
      <c r="P2683" t="s">
        <v>7851</v>
      </c>
      <c r="Q2683" t="str">
        <f>IF($C2683="","",IFERROR(VLOOKUP($C2683,sources!$A$2:$N$200,2,FALSE()),"?"))</f>
        <v>Administrative</v>
      </c>
      <c r="S2683" t="str">
        <f>IF($C2683="","",IFERROR(VLOOKUP($C2683,sources!$A$2:$N$200,9,FALSE()),"?"))</f>
        <v>US official</v>
      </c>
    </row>
    <row r="2684" spans="1:19" x14ac:dyDescent="0.2">
      <c r="A2684" t="s">
        <v>7852</v>
      </c>
      <c r="B2684" t="s">
        <v>720</v>
      </c>
      <c r="C2684" t="s">
        <v>1277</v>
      </c>
      <c r="D2684" t="s">
        <v>1666</v>
      </c>
      <c r="E2684" t="s">
        <v>721</v>
      </c>
      <c r="F2684" t="s">
        <v>1612</v>
      </c>
      <c r="I2684" t="s">
        <v>1077</v>
      </c>
      <c r="N2684" t="s">
        <v>209</v>
      </c>
      <c r="O2684" t="s">
        <v>7702</v>
      </c>
      <c r="P2684" t="s">
        <v>7853</v>
      </c>
      <c r="Q2684" t="str">
        <f>IF($C2684="","",IFERROR(VLOOKUP($C2684,sources!$A$2:$N$200,2,FALSE()),"?"))</f>
        <v>Administrative</v>
      </c>
      <c r="S2684" t="str">
        <f>IF($C2684="","",IFERROR(VLOOKUP($C2684,sources!$A$2:$N$200,9,FALSE()),"?"))</f>
        <v>US official</v>
      </c>
    </row>
    <row r="2685" spans="1:19" x14ac:dyDescent="0.2">
      <c r="A2685" t="s">
        <v>7854</v>
      </c>
      <c r="B2685" t="s">
        <v>749</v>
      </c>
      <c r="C2685" t="s">
        <v>1277</v>
      </c>
      <c r="D2685" t="s">
        <v>1666</v>
      </c>
      <c r="E2685" t="s">
        <v>750</v>
      </c>
      <c r="F2685" t="s">
        <v>1612</v>
      </c>
      <c r="I2685" t="s">
        <v>1077</v>
      </c>
      <c r="N2685" t="s">
        <v>209</v>
      </c>
      <c r="O2685" t="s">
        <v>7702</v>
      </c>
      <c r="P2685" t="s">
        <v>7855</v>
      </c>
      <c r="Q2685" t="str">
        <f>IF($C2685="","",IFERROR(VLOOKUP($C2685,sources!$A$2:$N$200,2,FALSE()),"?"))</f>
        <v>Administrative</v>
      </c>
      <c r="S2685" t="str">
        <f>IF($C2685="","",IFERROR(VLOOKUP($C2685,sources!$A$2:$N$200,9,FALSE()),"?"))</f>
        <v>US official</v>
      </c>
    </row>
    <row r="2686" spans="1:19" x14ac:dyDescent="0.2">
      <c r="A2686" t="s">
        <v>7856</v>
      </c>
      <c r="B2686" t="s">
        <v>752</v>
      </c>
      <c r="C2686" t="s">
        <v>1277</v>
      </c>
      <c r="D2686" t="s">
        <v>1666</v>
      </c>
      <c r="E2686" t="s">
        <v>753</v>
      </c>
      <c r="F2686" t="s">
        <v>1612</v>
      </c>
      <c r="I2686" t="s">
        <v>1077</v>
      </c>
      <c r="N2686" t="s">
        <v>209</v>
      </c>
      <c r="O2686" t="s">
        <v>7702</v>
      </c>
      <c r="P2686" t="s">
        <v>7857</v>
      </c>
      <c r="Q2686" t="str">
        <f>IF($C2686="","",IFERROR(VLOOKUP($C2686,sources!$A$2:$N$200,2,FALSE()),"?"))</f>
        <v>Administrative</v>
      </c>
      <c r="S2686" t="str">
        <f>IF($C2686="","",IFERROR(VLOOKUP($C2686,sources!$A$2:$N$200,9,FALSE()),"?"))</f>
        <v>US official</v>
      </c>
    </row>
    <row r="2687" spans="1:19" x14ac:dyDescent="0.2">
      <c r="A2687" t="s">
        <v>7858</v>
      </c>
      <c r="B2687" t="s">
        <v>756</v>
      </c>
      <c r="C2687" t="s">
        <v>1277</v>
      </c>
      <c r="D2687" t="s">
        <v>1666</v>
      </c>
      <c r="E2687" t="s">
        <v>757</v>
      </c>
      <c r="F2687" t="s">
        <v>1612</v>
      </c>
      <c r="I2687" t="s">
        <v>1077</v>
      </c>
      <c r="N2687" t="s">
        <v>209</v>
      </c>
      <c r="O2687" t="s">
        <v>7702</v>
      </c>
      <c r="P2687" t="s">
        <v>7859</v>
      </c>
      <c r="Q2687" t="str">
        <f>IF($C2687="","",IFERROR(VLOOKUP($C2687,sources!$A$2:$N$200,2,FALSE()),"?"))</f>
        <v>Administrative</v>
      </c>
      <c r="S2687" t="str">
        <f>IF($C2687="","",IFERROR(VLOOKUP($C2687,sources!$A$2:$N$200,9,FALSE()),"?"))</f>
        <v>US official</v>
      </c>
    </row>
    <row r="2688" spans="1:19" x14ac:dyDescent="0.2">
      <c r="A2688" t="s">
        <v>7860</v>
      </c>
      <c r="B2688" t="s">
        <v>759</v>
      </c>
      <c r="C2688" t="s">
        <v>1277</v>
      </c>
      <c r="D2688" t="s">
        <v>1666</v>
      </c>
      <c r="E2688" t="s">
        <v>760</v>
      </c>
      <c r="F2688" t="s">
        <v>1612</v>
      </c>
      <c r="I2688" t="s">
        <v>1077</v>
      </c>
      <c r="N2688" t="s">
        <v>209</v>
      </c>
      <c r="O2688" t="s">
        <v>7702</v>
      </c>
      <c r="P2688" t="s">
        <v>7861</v>
      </c>
      <c r="Q2688" t="str">
        <f>IF($C2688="","",IFERROR(VLOOKUP($C2688,sources!$A$2:$N$200,2,FALSE()),"?"))</f>
        <v>Administrative</v>
      </c>
      <c r="S2688" t="str">
        <f>IF($C2688="","",IFERROR(VLOOKUP($C2688,sources!$A$2:$N$200,9,FALSE()),"?"))</f>
        <v>US official</v>
      </c>
    </row>
    <row r="2689" spans="1:19" x14ac:dyDescent="0.2">
      <c r="A2689" t="s">
        <v>7862</v>
      </c>
      <c r="B2689" t="s">
        <v>762</v>
      </c>
      <c r="C2689" t="s">
        <v>1277</v>
      </c>
      <c r="D2689" t="s">
        <v>1666</v>
      </c>
      <c r="E2689" t="s">
        <v>763</v>
      </c>
      <c r="F2689" t="s">
        <v>1612</v>
      </c>
      <c r="I2689" t="s">
        <v>1077</v>
      </c>
      <c r="N2689" t="s">
        <v>209</v>
      </c>
      <c r="O2689" t="s">
        <v>7702</v>
      </c>
      <c r="P2689" t="s">
        <v>7863</v>
      </c>
      <c r="Q2689" t="str">
        <f>IF($C2689="","",IFERROR(VLOOKUP($C2689,sources!$A$2:$N$200,2,FALSE()),"?"))</f>
        <v>Administrative</v>
      </c>
      <c r="S2689" t="str">
        <f>IF($C2689="","",IFERROR(VLOOKUP($C2689,sources!$A$2:$N$200,9,FALSE()),"?"))</f>
        <v>US official</v>
      </c>
    </row>
    <row r="2690" spans="1:19" x14ac:dyDescent="0.2">
      <c r="A2690" t="s">
        <v>7864</v>
      </c>
      <c r="B2690" t="s">
        <v>768</v>
      </c>
      <c r="C2690" t="s">
        <v>1277</v>
      </c>
      <c r="D2690" t="s">
        <v>1666</v>
      </c>
      <c r="E2690" t="s">
        <v>769</v>
      </c>
      <c r="F2690" t="s">
        <v>1612</v>
      </c>
      <c r="I2690" t="s">
        <v>1077</v>
      </c>
      <c r="N2690" t="s">
        <v>209</v>
      </c>
      <c r="O2690" t="s">
        <v>7702</v>
      </c>
      <c r="P2690" t="s">
        <v>7865</v>
      </c>
      <c r="Q2690" t="str">
        <f>IF($C2690="","",IFERROR(VLOOKUP($C2690,sources!$A$2:$N$200,2,FALSE()),"?"))</f>
        <v>Administrative</v>
      </c>
      <c r="S2690" t="str">
        <f>IF($C2690="","",IFERROR(VLOOKUP($C2690,sources!$A$2:$N$200,9,FALSE()),"?"))</f>
        <v>US official</v>
      </c>
    </row>
    <row r="2691" spans="1:19" x14ac:dyDescent="0.2">
      <c r="A2691" t="s">
        <v>7866</v>
      </c>
      <c r="B2691" t="s">
        <v>771</v>
      </c>
      <c r="C2691" t="s">
        <v>1277</v>
      </c>
      <c r="D2691" t="s">
        <v>1666</v>
      </c>
      <c r="E2691" t="s">
        <v>772</v>
      </c>
      <c r="F2691" t="s">
        <v>1612</v>
      </c>
      <c r="I2691" t="s">
        <v>1077</v>
      </c>
      <c r="N2691" t="s">
        <v>209</v>
      </c>
      <c r="O2691" t="s">
        <v>7702</v>
      </c>
      <c r="P2691" t="s">
        <v>7867</v>
      </c>
      <c r="Q2691" t="str">
        <f>IF($C2691="","",IFERROR(VLOOKUP($C2691,sources!$A$2:$N$200,2,FALSE()),"?"))</f>
        <v>Administrative</v>
      </c>
      <c r="S2691" t="str">
        <f>IF($C2691="","",IFERROR(VLOOKUP($C2691,sources!$A$2:$N$200,9,FALSE()),"?"))</f>
        <v>US official</v>
      </c>
    </row>
    <row r="2692" spans="1:19" x14ac:dyDescent="0.2">
      <c r="A2692" t="s">
        <v>7868</v>
      </c>
      <c r="B2692" t="s">
        <v>774</v>
      </c>
      <c r="C2692" t="s">
        <v>1277</v>
      </c>
      <c r="D2692" t="s">
        <v>1666</v>
      </c>
      <c r="E2692" t="s">
        <v>775</v>
      </c>
      <c r="F2692" t="s">
        <v>1612</v>
      </c>
      <c r="I2692" t="s">
        <v>1077</v>
      </c>
      <c r="N2692" t="s">
        <v>209</v>
      </c>
      <c r="O2692" t="s">
        <v>7702</v>
      </c>
      <c r="P2692" t="s">
        <v>7869</v>
      </c>
      <c r="Q2692" t="str">
        <f>IF($C2692="","",IFERROR(VLOOKUP($C2692,sources!$A$2:$N$200,2,FALSE()),"?"))</f>
        <v>Administrative</v>
      </c>
      <c r="S2692" t="str">
        <f>IF($C2692="","",IFERROR(VLOOKUP($C2692,sources!$A$2:$N$200,9,FALSE()),"?"))</f>
        <v>US official</v>
      </c>
    </row>
    <row r="2693" spans="1:19" x14ac:dyDescent="0.2">
      <c r="A2693" t="s">
        <v>7870</v>
      </c>
      <c r="B2693" t="s">
        <v>780</v>
      </c>
      <c r="C2693" t="s">
        <v>1277</v>
      </c>
      <c r="D2693" t="s">
        <v>1666</v>
      </c>
      <c r="E2693" t="s">
        <v>781</v>
      </c>
      <c r="F2693" t="s">
        <v>1612</v>
      </c>
      <c r="I2693" t="s">
        <v>1077</v>
      </c>
      <c r="N2693" t="s">
        <v>209</v>
      </c>
      <c r="O2693" t="s">
        <v>7702</v>
      </c>
      <c r="P2693" t="s">
        <v>7871</v>
      </c>
      <c r="Q2693" t="str">
        <f>IF($C2693="","",IFERROR(VLOOKUP($C2693,sources!$A$2:$N$200,2,FALSE()),"?"))</f>
        <v>Administrative</v>
      </c>
      <c r="S2693" t="str">
        <f>IF($C2693="","",IFERROR(VLOOKUP($C2693,sources!$A$2:$N$200,9,FALSE()),"?"))</f>
        <v>US official</v>
      </c>
    </row>
    <row r="2694" spans="1:19" x14ac:dyDescent="0.2">
      <c r="A2694" t="s">
        <v>7872</v>
      </c>
      <c r="B2694" t="s">
        <v>789</v>
      </c>
      <c r="C2694" t="s">
        <v>1277</v>
      </c>
      <c r="D2694" t="s">
        <v>1666</v>
      </c>
      <c r="E2694" t="s">
        <v>790</v>
      </c>
      <c r="F2694" t="s">
        <v>1612</v>
      </c>
      <c r="I2694" t="s">
        <v>1077</v>
      </c>
      <c r="N2694" t="s">
        <v>209</v>
      </c>
      <c r="O2694" t="s">
        <v>7702</v>
      </c>
      <c r="P2694" t="s">
        <v>7873</v>
      </c>
      <c r="Q2694" t="str">
        <f>IF($C2694="","",IFERROR(VLOOKUP($C2694,sources!$A$2:$N$200,2,FALSE()),"?"))</f>
        <v>Administrative</v>
      </c>
      <c r="S2694" t="str">
        <f>IF($C2694="","",IFERROR(VLOOKUP($C2694,sources!$A$2:$N$200,9,FALSE()),"?"))</f>
        <v>US official</v>
      </c>
    </row>
    <row r="2695" spans="1:19" x14ac:dyDescent="0.2">
      <c r="A2695" t="s">
        <v>7874</v>
      </c>
      <c r="B2695" t="s">
        <v>783</v>
      </c>
      <c r="C2695" t="s">
        <v>1412</v>
      </c>
      <c r="D2695" t="s">
        <v>1599</v>
      </c>
      <c r="E2695" t="s">
        <v>7875</v>
      </c>
      <c r="F2695" t="s">
        <v>1612</v>
      </c>
      <c r="I2695" t="s">
        <v>1077</v>
      </c>
      <c r="K2695">
        <v>1910</v>
      </c>
      <c r="L2695">
        <v>1910</v>
      </c>
      <c r="M2695" t="s">
        <v>222</v>
      </c>
      <c r="N2695" t="s">
        <v>222</v>
      </c>
      <c r="O2695" t="s">
        <v>7702</v>
      </c>
      <c r="P2695" t="s">
        <v>7876</v>
      </c>
      <c r="Q2695" t="str">
        <f>IF($C2695="","",IFERROR(VLOOKUP($C2695,sources!$A$2:$N$200,2,FALSE()),"?"))</f>
        <v>Web compilation</v>
      </c>
      <c r="S2695" t="str">
        <f>IF($C2695="","",IFERROR(VLOOKUP($C2695,sources!$A$2:$N$200,9,FALSE()),"?"))</f>
        <v>Caribbean community</v>
      </c>
    </row>
    <row r="2696" spans="1:19" x14ac:dyDescent="0.2">
      <c r="A2696" t="s">
        <v>7877</v>
      </c>
      <c r="B2696" t="s">
        <v>838</v>
      </c>
      <c r="C2696" t="s">
        <v>1187</v>
      </c>
      <c r="D2696" t="s">
        <v>1666</v>
      </c>
      <c r="E2696" t="s">
        <v>839</v>
      </c>
      <c r="F2696" t="s">
        <v>1612</v>
      </c>
      <c r="I2696" t="s">
        <v>1077</v>
      </c>
      <c r="K2696">
        <v>1911</v>
      </c>
      <c r="L2696">
        <v>1911</v>
      </c>
      <c r="M2696" t="s">
        <v>228</v>
      </c>
      <c r="N2696" t="s">
        <v>228</v>
      </c>
      <c r="O2696" t="s">
        <v>7878</v>
      </c>
      <c r="P2696" t="s">
        <v>7879</v>
      </c>
      <c r="Q2696" t="str">
        <f>IF($C2696="","",IFERROR(VLOOKUP($C2696,sources!$A$2:$N$200,2,FALSE()),"?"))</f>
        <v>Map</v>
      </c>
      <c r="S2696" t="str">
        <f>IF($C2696="","",IFERROR(VLOOKUP($C2696,sources!$A$2:$N$200,9,FALSE()),"?"))</f>
        <v>US official</v>
      </c>
    </row>
    <row r="2697" spans="1:19" x14ac:dyDescent="0.2">
      <c r="A2697" t="s">
        <v>7880</v>
      </c>
      <c r="B2697" t="s">
        <v>838</v>
      </c>
      <c r="C2697" t="s">
        <v>1198</v>
      </c>
      <c r="D2697" t="s">
        <v>1585</v>
      </c>
      <c r="E2697" t="s">
        <v>7881</v>
      </c>
      <c r="F2697" t="s">
        <v>1612</v>
      </c>
      <c r="I2697" t="s">
        <v>1077</v>
      </c>
      <c r="K2697">
        <v>1909</v>
      </c>
      <c r="L2697">
        <v>1909</v>
      </c>
      <c r="M2697" t="s">
        <v>228</v>
      </c>
      <c r="N2697" t="s">
        <v>228</v>
      </c>
      <c r="O2697" t="s">
        <v>7878</v>
      </c>
      <c r="P2697" t="s">
        <v>7882</v>
      </c>
      <c r="Q2697" t="str">
        <f>IF($C2697="","",IFERROR(VLOOKUP($C2697,sources!$A$2:$N$200,2,FALSE()),"?"))</f>
        <v>Map</v>
      </c>
      <c r="S2697" t="str">
        <f>IF($C2697="","",IFERROR(VLOOKUP($C2697,sources!$A$2:$N$200,9,FALSE()),"?"))</f>
        <v>US official</v>
      </c>
    </row>
    <row r="2698" spans="1:19" x14ac:dyDescent="0.2">
      <c r="A2698" t="s">
        <v>7883</v>
      </c>
      <c r="B2698" t="s">
        <v>838</v>
      </c>
      <c r="C2698" t="s">
        <v>1354</v>
      </c>
      <c r="D2698" t="s">
        <v>1666</v>
      </c>
      <c r="E2698" t="s">
        <v>839</v>
      </c>
      <c r="F2698" t="s">
        <v>1612</v>
      </c>
      <c r="I2698" t="s">
        <v>1077</v>
      </c>
      <c r="K2698">
        <v>1905</v>
      </c>
      <c r="L2698">
        <v>1906</v>
      </c>
      <c r="M2698" t="s">
        <v>228</v>
      </c>
      <c r="N2698" t="s">
        <v>228</v>
      </c>
      <c r="O2698" t="s">
        <v>7878</v>
      </c>
      <c r="P2698" t="s">
        <v>7884</v>
      </c>
      <c r="Q2698" t="str">
        <f>IF($C2698="","",IFERROR(VLOOKUP($C2698,sources!$A$2:$N$200,2,FALSE()),"?"))</f>
        <v>Map</v>
      </c>
      <c r="S2698" t="str">
        <f>IF($C2698="","",IFERROR(VLOOKUP($C2698,sources!$A$2:$N$200,9,FALSE()),"?"))</f>
        <v>US official</v>
      </c>
    </row>
    <row r="2699" spans="1:19" x14ac:dyDescent="0.2">
      <c r="A2699" t="s">
        <v>7885</v>
      </c>
      <c r="B2699" t="s">
        <v>838</v>
      </c>
      <c r="C2699" t="s">
        <v>1528</v>
      </c>
      <c r="D2699" t="s">
        <v>1666</v>
      </c>
      <c r="E2699" t="s">
        <v>839</v>
      </c>
      <c r="F2699" t="s">
        <v>1612</v>
      </c>
      <c r="I2699" t="s">
        <v>1077</v>
      </c>
      <c r="K2699">
        <v>1904</v>
      </c>
      <c r="L2699">
        <v>1904</v>
      </c>
      <c r="M2699" t="s">
        <v>228</v>
      </c>
      <c r="N2699" t="s">
        <v>228</v>
      </c>
      <c r="O2699" t="s">
        <v>7878</v>
      </c>
      <c r="P2699" t="s">
        <v>7886</v>
      </c>
      <c r="Q2699" t="str">
        <f>IF($C2699="","",IFERROR(VLOOKUP($C2699,sources!$A$2:$N$200,2,FALSE()),"?"))</f>
        <v>Map</v>
      </c>
      <c r="S2699" t="str">
        <f>IF($C2699="","",IFERROR(VLOOKUP($C2699,sources!$A$2:$N$200,9,FALSE()),"?"))</f>
        <v>US official</v>
      </c>
    </row>
    <row r="2700" spans="1:19" x14ac:dyDescent="0.2">
      <c r="A2700" t="s">
        <v>7887</v>
      </c>
      <c r="B2700" t="s">
        <v>863</v>
      </c>
      <c r="C2700" t="s">
        <v>1198</v>
      </c>
      <c r="D2700" t="s">
        <v>1666</v>
      </c>
      <c r="E2700" t="s">
        <v>864</v>
      </c>
      <c r="F2700" t="s">
        <v>1612</v>
      </c>
      <c r="I2700" t="s">
        <v>1077</v>
      </c>
      <c r="K2700">
        <v>1909</v>
      </c>
      <c r="L2700">
        <v>1909</v>
      </c>
      <c r="M2700" t="s">
        <v>228</v>
      </c>
      <c r="N2700" t="s">
        <v>228</v>
      </c>
      <c r="O2700" t="s">
        <v>7878</v>
      </c>
      <c r="P2700" t="s">
        <v>7888</v>
      </c>
      <c r="Q2700" t="str">
        <f>IF($C2700="","",IFERROR(VLOOKUP($C2700,sources!$A$2:$N$200,2,FALSE()),"?"))</f>
        <v>Map</v>
      </c>
      <c r="S2700" t="str">
        <f>IF($C2700="","",IFERROR(VLOOKUP($C2700,sources!$A$2:$N$200,9,FALSE()),"?"))</f>
        <v>US official</v>
      </c>
    </row>
    <row r="2701" spans="1:19" x14ac:dyDescent="0.2">
      <c r="A2701" t="s">
        <v>7889</v>
      </c>
      <c r="B2701" t="s">
        <v>863</v>
      </c>
      <c r="C2701" t="s">
        <v>1375</v>
      </c>
      <c r="D2701" t="s">
        <v>1599</v>
      </c>
      <c r="E2701" t="s">
        <v>364</v>
      </c>
      <c r="F2701" t="s">
        <v>1612</v>
      </c>
      <c r="I2701" t="s">
        <v>1077</v>
      </c>
      <c r="K2701">
        <v>1947</v>
      </c>
      <c r="L2701">
        <v>1947</v>
      </c>
      <c r="M2701" t="s">
        <v>228</v>
      </c>
      <c r="N2701" t="s">
        <v>228</v>
      </c>
      <c r="O2701" t="s">
        <v>7878</v>
      </c>
      <c r="P2701" t="s">
        <v>7890</v>
      </c>
      <c r="Q2701" t="str">
        <f>IF($C2701="","",IFERROR(VLOOKUP($C2701,sources!$A$2:$N$200,2,FALSE()),"?"))</f>
        <v>Map</v>
      </c>
      <c r="S2701" t="str">
        <f>IF($C2701="","",IFERROR(VLOOKUP($C2701,sources!$A$2:$N$200,9,FALSE()),"?"))</f>
        <v>US official</v>
      </c>
    </row>
    <row r="2702" spans="1:19" x14ac:dyDescent="0.2">
      <c r="A2702" t="s">
        <v>7891</v>
      </c>
      <c r="B2702" t="s">
        <v>871</v>
      </c>
      <c r="C2702" t="s">
        <v>1187</v>
      </c>
      <c r="D2702" t="s">
        <v>1666</v>
      </c>
      <c r="E2702" t="s">
        <v>872</v>
      </c>
      <c r="F2702" t="s">
        <v>1612</v>
      </c>
      <c r="I2702" t="s">
        <v>1077</v>
      </c>
      <c r="K2702">
        <v>1911</v>
      </c>
      <c r="L2702">
        <v>1911</v>
      </c>
      <c r="M2702" t="s">
        <v>228</v>
      </c>
      <c r="N2702" t="s">
        <v>228</v>
      </c>
      <c r="O2702" t="s">
        <v>7878</v>
      </c>
      <c r="P2702" t="s">
        <v>7892</v>
      </c>
      <c r="Q2702" t="str">
        <f>IF($C2702="","",IFERROR(VLOOKUP($C2702,sources!$A$2:$N$200,2,FALSE()),"?"))</f>
        <v>Map</v>
      </c>
      <c r="S2702" t="str">
        <f>IF($C2702="","",IFERROR(VLOOKUP($C2702,sources!$A$2:$N$200,9,FALSE()),"?"))</f>
        <v>US official</v>
      </c>
    </row>
    <row r="2703" spans="1:19" x14ac:dyDescent="0.2">
      <c r="A2703" t="s">
        <v>7893</v>
      </c>
      <c r="B2703" t="s">
        <v>871</v>
      </c>
      <c r="C2703" t="s">
        <v>1198</v>
      </c>
      <c r="D2703" t="s">
        <v>1666</v>
      </c>
      <c r="E2703" t="s">
        <v>872</v>
      </c>
      <c r="F2703" t="s">
        <v>1612</v>
      </c>
      <c r="I2703" t="s">
        <v>1077</v>
      </c>
      <c r="K2703">
        <v>1909</v>
      </c>
      <c r="L2703">
        <v>1909</v>
      </c>
      <c r="M2703" t="s">
        <v>228</v>
      </c>
      <c r="N2703" t="s">
        <v>228</v>
      </c>
      <c r="O2703" t="s">
        <v>7878</v>
      </c>
      <c r="P2703" t="s">
        <v>7894</v>
      </c>
      <c r="Q2703" t="str">
        <f>IF($C2703="","",IFERROR(VLOOKUP($C2703,sources!$A$2:$N$200,2,FALSE()),"?"))</f>
        <v>Map</v>
      </c>
      <c r="S2703" t="str">
        <f>IF($C2703="","",IFERROR(VLOOKUP($C2703,sources!$A$2:$N$200,9,FALSE()),"?"))</f>
        <v>US official</v>
      </c>
    </row>
    <row r="2704" spans="1:19" x14ac:dyDescent="0.2">
      <c r="A2704" t="s">
        <v>7895</v>
      </c>
      <c r="B2704" t="s">
        <v>1002</v>
      </c>
      <c r="C2704" t="s">
        <v>1198</v>
      </c>
      <c r="D2704" t="s">
        <v>1666</v>
      </c>
      <c r="E2704" t="s">
        <v>1003</v>
      </c>
      <c r="F2704" t="s">
        <v>1612</v>
      </c>
      <c r="I2704" t="s">
        <v>1077</v>
      </c>
      <c r="K2704">
        <v>1909</v>
      </c>
      <c r="L2704">
        <v>1909</v>
      </c>
      <c r="M2704" t="s">
        <v>228</v>
      </c>
      <c r="N2704" t="s">
        <v>228</v>
      </c>
      <c r="O2704" t="s">
        <v>7878</v>
      </c>
      <c r="P2704" t="s">
        <v>7896</v>
      </c>
      <c r="Q2704" t="str">
        <f>IF($C2704="","",IFERROR(VLOOKUP($C2704,sources!$A$2:$N$200,2,FALSE()),"?"))</f>
        <v>Map</v>
      </c>
      <c r="S2704" t="str">
        <f>IF($C2704="","",IFERROR(VLOOKUP($C2704,sources!$A$2:$N$200,9,FALSE()),"?"))</f>
        <v>US official</v>
      </c>
    </row>
    <row r="2705" spans="1:19" x14ac:dyDescent="0.2">
      <c r="A2705" t="s">
        <v>7897</v>
      </c>
      <c r="B2705" t="s">
        <v>1013</v>
      </c>
      <c r="C2705" t="s">
        <v>1187</v>
      </c>
      <c r="D2705" t="s">
        <v>1666</v>
      </c>
      <c r="E2705" t="s">
        <v>1014</v>
      </c>
      <c r="F2705" t="s">
        <v>1612</v>
      </c>
      <c r="I2705" t="s">
        <v>1077</v>
      </c>
      <c r="K2705">
        <v>1911</v>
      </c>
      <c r="L2705">
        <v>1911</v>
      </c>
      <c r="M2705" t="s">
        <v>228</v>
      </c>
      <c r="N2705" t="s">
        <v>228</v>
      </c>
      <c r="O2705" t="s">
        <v>7878</v>
      </c>
      <c r="P2705" t="s">
        <v>7898</v>
      </c>
      <c r="Q2705" t="str">
        <f>IF($C2705="","",IFERROR(VLOOKUP($C2705,sources!$A$2:$N$200,2,FALSE()),"?"))</f>
        <v>Map</v>
      </c>
      <c r="S2705" t="str">
        <f>IF($C2705="","",IFERROR(VLOOKUP($C2705,sources!$A$2:$N$200,9,FALSE()),"?"))</f>
        <v>US official</v>
      </c>
    </row>
    <row r="2706" spans="1:19" x14ac:dyDescent="0.2">
      <c r="A2706" t="s">
        <v>7899</v>
      </c>
      <c r="B2706" t="s">
        <v>1013</v>
      </c>
      <c r="C2706" t="s">
        <v>1198</v>
      </c>
      <c r="D2706" t="s">
        <v>1666</v>
      </c>
      <c r="E2706" t="s">
        <v>1014</v>
      </c>
      <c r="F2706" t="s">
        <v>1612</v>
      </c>
      <c r="I2706" t="s">
        <v>1077</v>
      </c>
      <c r="K2706">
        <v>1909</v>
      </c>
      <c r="L2706">
        <v>1909</v>
      </c>
      <c r="M2706" t="s">
        <v>228</v>
      </c>
      <c r="N2706" t="s">
        <v>228</v>
      </c>
      <c r="O2706" t="s">
        <v>7878</v>
      </c>
      <c r="P2706" t="s">
        <v>7900</v>
      </c>
      <c r="Q2706" t="str">
        <f>IF($C2706="","",IFERROR(VLOOKUP($C2706,sources!$A$2:$N$200,2,FALSE()),"?"))</f>
        <v>Map</v>
      </c>
      <c r="S2706" t="str">
        <f>IF($C2706="","",IFERROR(VLOOKUP($C2706,sources!$A$2:$N$200,9,FALSE()),"?"))</f>
        <v>US official</v>
      </c>
    </row>
    <row r="2707" spans="1:19" x14ac:dyDescent="0.2">
      <c r="A2707" t="s">
        <v>7901</v>
      </c>
      <c r="B2707" t="s">
        <v>1031</v>
      </c>
      <c r="C2707" t="s">
        <v>1187</v>
      </c>
      <c r="D2707" t="s">
        <v>1666</v>
      </c>
      <c r="E2707" t="s">
        <v>1032</v>
      </c>
      <c r="F2707" t="s">
        <v>1612</v>
      </c>
      <c r="I2707" t="s">
        <v>1077</v>
      </c>
      <c r="K2707">
        <v>1911</v>
      </c>
      <c r="L2707">
        <v>1911</v>
      </c>
      <c r="M2707" t="s">
        <v>228</v>
      </c>
      <c r="N2707" t="s">
        <v>228</v>
      </c>
      <c r="O2707" t="s">
        <v>7878</v>
      </c>
      <c r="P2707" t="s">
        <v>7902</v>
      </c>
      <c r="Q2707" t="str">
        <f>IF($C2707="","",IFERROR(VLOOKUP($C2707,sources!$A$2:$N$200,2,FALSE()),"?"))</f>
        <v>Map</v>
      </c>
      <c r="S2707" t="str">
        <f>IF($C2707="","",IFERROR(VLOOKUP($C2707,sources!$A$2:$N$200,9,FALSE()),"?"))</f>
        <v>US official</v>
      </c>
    </row>
    <row r="2708" spans="1:19" x14ac:dyDescent="0.2">
      <c r="A2708" t="s">
        <v>7903</v>
      </c>
      <c r="B2708" t="s">
        <v>1031</v>
      </c>
      <c r="C2708" t="s">
        <v>1198</v>
      </c>
      <c r="D2708" t="s">
        <v>1666</v>
      </c>
      <c r="E2708" t="s">
        <v>1032</v>
      </c>
      <c r="F2708" t="s">
        <v>1612</v>
      </c>
      <c r="I2708" t="s">
        <v>1077</v>
      </c>
      <c r="K2708">
        <v>1909</v>
      </c>
      <c r="L2708">
        <v>1909</v>
      </c>
      <c r="M2708" t="s">
        <v>228</v>
      </c>
      <c r="N2708" t="s">
        <v>228</v>
      </c>
      <c r="O2708" t="s">
        <v>7878</v>
      </c>
      <c r="P2708" t="s">
        <v>7904</v>
      </c>
      <c r="Q2708" t="str">
        <f>IF($C2708="","",IFERROR(VLOOKUP($C2708,sources!$A$2:$N$200,2,FALSE()),"?"))</f>
        <v>Map</v>
      </c>
      <c r="S2708" t="str">
        <f>IF($C2708="","",IFERROR(VLOOKUP($C2708,sources!$A$2:$N$200,9,FALSE()),"?"))</f>
        <v>US official</v>
      </c>
    </row>
    <row r="2709" spans="1:19" x14ac:dyDescent="0.2">
      <c r="A2709" t="s">
        <v>7905</v>
      </c>
      <c r="B2709" t="s">
        <v>1031</v>
      </c>
      <c r="C2709" t="s">
        <v>1354</v>
      </c>
      <c r="D2709" t="s">
        <v>1666</v>
      </c>
      <c r="E2709" t="s">
        <v>1032</v>
      </c>
      <c r="F2709" t="s">
        <v>1612</v>
      </c>
      <c r="I2709" t="s">
        <v>1077</v>
      </c>
      <c r="K2709">
        <v>1905</v>
      </c>
      <c r="L2709">
        <v>1906</v>
      </c>
      <c r="M2709" t="s">
        <v>228</v>
      </c>
      <c r="N2709" t="s">
        <v>228</v>
      </c>
      <c r="O2709" t="s">
        <v>7878</v>
      </c>
      <c r="P2709" t="s">
        <v>7906</v>
      </c>
      <c r="Q2709" t="str">
        <f>IF($C2709="","",IFERROR(VLOOKUP($C2709,sources!$A$2:$N$200,2,FALSE()),"?"))</f>
        <v>Map</v>
      </c>
      <c r="S2709" t="str">
        <f>IF($C2709="","",IFERROR(VLOOKUP($C2709,sources!$A$2:$N$200,9,FALSE()),"?"))</f>
        <v>US official</v>
      </c>
    </row>
    <row r="2710" spans="1:19" x14ac:dyDescent="0.2">
      <c r="A2710" t="s">
        <v>7907</v>
      </c>
      <c r="B2710" t="s">
        <v>1036</v>
      </c>
      <c r="C2710" t="s">
        <v>1187</v>
      </c>
      <c r="D2710" t="s">
        <v>1585</v>
      </c>
      <c r="E2710" t="s">
        <v>7908</v>
      </c>
      <c r="F2710" t="s">
        <v>1612</v>
      </c>
      <c r="I2710" t="s">
        <v>1077</v>
      </c>
      <c r="K2710">
        <v>1911</v>
      </c>
      <c r="L2710">
        <v>1911</v>
      </c>
      <c r="M2710" t="s">
        <v>228</v>
      </c>
      <c r="N2710" t="s">
        <v>228</v>
      </c>
      <c r="O2710" t="s">
        <v>7878</v>
      </c>
      <c r="P2710" t="s">
        <v>7909</v>
      </c>
      <c r="Q2710" t="str">
        <f>IF($C2710="","",IFERROR(VLOOKUP($C2710,sources!$A$2:$N$200,2,FALSE()),"?"))</f>
        <v>Map</v>
      </c>
      <c r="S2710" t="str">
        <f>IF($C2710="","",IFERROR(VLOOKUP($C2710,sources!$A$2:$N$200,9,FALSE()),"?"))</f>
        <v>US official</v>
      </c>
    </row>
    <row r="2711" spans="1:19" x14ac:dyDescent="0.2">
      <c r="A2711" t="s">
        <v>7910</v>
      </c>
      <c r="B2711" t="s">
        <v>1036</v>
      </c>
      <c r="C2711" t="s">
        <v>1198</v>
      </c>
      <c r="D2711" t="s">
        <v>1666</v>
      </c>
      <c r="E2711" t="s">
        <v>1037</v>
      </c>
      <c r="F2711" t="s">
        <v>1612</v>
      </c>
      <c r="I2711" t="s">
        <v>1077</v>
      </c>
      <c r="K2711">
        <v>1909</v>
      </c>
      <c r="L2711">
        <v>1909</v>
      </c>
      <c r="M2711" t="s">
        <v>228</v>
      </c>
      <c r="N2711" t="s">
        <v>228</v>
      </c>
      <c r="O2711" t="s">
        <v>7878</v>
      </c>
      <c r="P2711" t="s">
        <v>7911</v>
      </c>
      <c r="Q2711" t="str">
        <f>IF($C2711="","",IFERROR(VLOOKUP($C2711,sources!$A$2:$N$200,2,FALSE()),"?"))</f>
        <v>Map</v>
      </c>
      <c r="S2711" t="str">
        <f>IF($C2711="","",IFERROR(VLOOKUP($C2711,sources!$A$2:$N$200,9,FALSE()),"?"))</f>
        <v>US official</v>
      </c>
    </row>
    <row r="2712" spans="1:19" x14ac:dyDescent="0.2">
      <c r="A2712" t="s">
        <v>7912</v>
      </c>
      <c r="B2712" t="s">
        <v>1036</v>
      </c>
      <c r="C2712" t="s">
        <v>1354</v>
      </c>
      <c r="D2712" t="s">
        <v>1666</v>
      </c>
      <c r="E2712" t="s">
        <v>1037</v>
      </c>
      <c r="F2712" t="s">
        <v>1612</v>
      </c>
      <c r="I2712" t="s">
        <v>1077</v>
      </c>
      <c r="K2712">
        <v>1905</v>
      </c>
      <c r="L2712">
        <v>1906</v>
      </c>
      <c r="M2712" t="s">
        <v>228</v>
      </c>
      <c r="N2712" t="s">
        <v>228</v>
      </c>
      <c r="O2712" t="s">
        <v>7878</v>
      </c>
      <c r="P2712" t="s">
        <v>7913</v>
      </c>
      <c r="Q2712" t="str">
        <f>IF($C2712="","",IFERROR(VLOOKUP($C2712,sources!$A$2:$N$200,2,FALSE()),"?"))</f>
        <v>Map</v>
      </c>
      <c r="S2712" t="str">
        <f>IF($C2712="","",IFERROR(VLOOKUP($C2712,sources!$A$2:$N$200,9,FALSE()),"?"))</f>
        <v>US official</v>
      </c>
    </row>
    <row r="2713" spans="1:19" x14ac:dyDescent="0.2">
      <c r="A2713" t="s">
        <v>7914</v>
      </c>
      <c r="B2713" t="s">
        <v>1040</v>
      </c>
      <c r="C2713" t="s">
        <v>1187</v>
      </c>
      <c r="D2713" t="s">
        <v>1666</v>
      </c>
      <c r="E2713" t="s">
        <v>1041</v>
      </c>
      <c r="F2713" t="s">
        <v>1612</v>
      </c>
      <c r="I2713" t="s">
        <v>1077</v>
      </c>
      <c r="K2713">
        <v>1911</v>
      </c>
      <c r="L2713">
        <v>1911</v>
      </c>
      <c r="M2713" t="s">
        <v>228</v>
      </c>
      <c r="N2713" t="s">
        <v>228</v>
      </c>
      <c r="O2713" t="s">
        <v>7878</v>
      </c>
      <c r="P2713" t="s">
        <v>7915</v>
      </c>
      <c r="Q2713" t="str">
        <f>IF($C2713="","",IFERROR(VLOOKUP($C2713,sources!$A$2:$N$200,2,FALSE()),"?"))</f>
        <v>Map</v>
      </c>
      <c r="S2713" t="str">
        <f>IF($C2713="","",IFERROR(VLOOKUP($C2713,sources!$A$2:$N$200,9,FALSE()),"?"))</f>
        <v>US official</v>
      </c>
    </row>
    <row r="2714" spans="1:19" x14ac:dyDescent="0.2">
      <c r="A2714" t="s">
        <v>7916</v>
      </c>
      <c r="B2714" t="s">
        <v>1040</v>
      </c>
      <c r="C2714" t="s">
        <v>1198</v>
      </c>
      <c r="D2714" t="s">
        <v>1666</v>
      </c>
      <c r="E2714" t="s">
        <v>1041</v>
      </c>
      <c r="F2714" t="s">
        <v>1612</v>
      </c>
      <c r="I2714" t="s">
        <v>1077</v>
      </c>
      <c r="K2714">
        <v>1909</v>
      </c>
      <c r="L2714">
        <v>1909</v>
      </c>
      <c r="M2714" t="s">
        <v>228</v>
      </c>
      <c r="N2714" t="s">
        <v>228</v>
      </c>
      <c r="O2714" t="s">
        <v>7878</v>
      </c>
      <c r="P2714" t="s">
        <v>7917</v>
      </c>
      <c r="Q2714" t="str">
        <f>IF($C2714="","",IFERROR(VLOOKUP($C2714,sources!$A$2:$N$200,2,FALSE()),"?"))</f>
        <v>Map</v>
      </c>
      <c r="S2714" t="str">
        <f>IF($C2714="","",IFERROR(VLOOKUP($C2714,sources!$A$2:$N$200,9,FALSE()),"?"))</f>
        <v>US official</v>
      </c>
    </row>
    <row r="2715" spans="1:19" x14ac:dyDescent="0.2">
      <c r="A2715" t="s">
        <v>7918</v>
      </c>
      <c r="B2715" t="s">
        <v>1040</v>
      </c>
      <c r="C2715" t="s">
        <v>1354</v>
      </c>
      <c r="D2715" t="s">
        <v>1666</v>
      </c>
      <c r="E2715" t="s">
        <v>1041</v>
      </c>
      <c r="F2715" t="s">
        <v>1612</v>
      </c>
      <c r="I2715" t="s">
        <v>1077</v>
      </c>
      <c r="K2715">
        <v>1905</v>
      </c>
      <c r="L2715">
        <v>1906</v>
      </c>
      <c r="M2715" t="s">
        <v>228</v>
      </c>
      <c r="N2715" t="s">
        <v>228</v>
      </c>
      <c r="O2715" t="s">
        <v>7878</v>
      </c>
      <c r="P2715" t="s">
        <v>7919</v>
      </c>
      <c r="Q2715" t="str">
        <f>IF($C2715="","",IFERROR(VLOOKUP($C2715,sources!$A$2:$N$200,2,FALSE()),"?"))</f>
        <v>Map</v>
      </c>
      <c r="S2715" t="str">
        <f>IF($C2715="","",IFERROR(VLOOKUP($C2715,sources!$A$2:$N$200,9,FALSE()),"?"))</f>
        <v>US official</v>
      </c>
    </row>
    <row r="2716" spans="1:19" x14ac:dyDescent="0.2">
      <c r="A2716" t="s">
        <v>7920</v>
      </c>
      <c r="B2716" t="s">
        <v>475</v>
      </c>
      <c r="C2716" t="s">
        <v>1389</v>
      </c>
      <c r="D2716" t="s">
        <v>1594</v>
      </c>
      <c r="E2716" t="s">
        <v>7921</v>
      </c>
      <c r="F2716" t="s">
        <v>1612</v>
      </c>
      <c r="G2716">
        <v>9.0638319999999997</v>
      </c>
      <c r="H2716">
        <v>-79.649878999999999</v>
      </c>
      <c r="I2716" t="s">
        <v>4813</v>
      </c>
      <c r="J2716">
        <v>100</v>
      </c>
      <c r="K2716">
        <v>1940</v>
      </c>
      <c r="L2716">
        <v>1940</v>
      </c>
      <c r="M2716" t="s">
        <v>222</v>
      </c>
      <c r="N2716" t="s">
        <v>222</v>
      </c>
      <c r="O2716" t="s">
        <v>7922</v>
      </c>
      <c r="P2716" t="s">
        <v>7923</v>
      </c>
      <c r="Q2716" t="str">
        <f>IF($C2716="","",IFERROR(VLOOKUP($C2716,sources!$A$2:$N$200,2,FALSE()),"?"))</f>
        <v>Map</v>
      </c>
      <c r="S2716" t="str">
        <f>IF($C2716="","",IFERROR(VLOOKUP($C2716,sources!$A$2:$N$200,9,FALSE()),"?"))</f>
        <v>US official</v>
      </c>
    </row>
    <row r="2717" spans="1:19" x14ac:dyDescent="0.2">
      <c r="A2717" t="s">
        <v>7924</v>
      </c>
      <c r="B2717" t="s">
        <v>993</v>
      </c>
      <c r="C2717" t="s">
        <v>1260</v>
      </c>
      <c r="D2717" t="s">
        <v>1599</v>
      </c>
      <c r="E2717" t="s">
        <v>7925</v>
      </c>
      <c r="F2717" t="s">
        <v>1612</v>
      </c>
      <c r="I2717" t="s">
        <v>1077</v>
      </c>
      <c r="K2717">
        <v>1936</v>
      </c>
      <c r="L2717">
        <v>1938</v>
      </c>
      <c r="M2717" t="s">
        <v>228</v>
      </c>
      <c r="N2717" t="s">
        <v>222</v>
      </c>
      <c r="O2717" t="s">
        <v>7926</v>
      </c>
      <c r="P2717" t="s">
        <v>7927</v>
      </c>
      <c r="Q2717" t="str">
        <f>IF($C2717="","",IFERROR(VLOOKUP($C2717,sources!$A$2:$N$200,2,FALSE()),"?"))</f>
        <v>Photograph</v>
      </c>
      <c r="S2717" t="str">
        <f>IF($C2717="","",IFERROR(VLOOKUP($C2717,sources!$A$2:$N$200,9,FALSE()),"?"))</f>
        <v>US official</v>
      </c>
    </row>
    <row r="2718" spans="1:19" x14ac:dyDescent="0.2">
      <c r="A2718" t="s">
        <v>7928</v>
      </c>
      <c r="B2718" t="s">
        <v>675</v>
      </c>
      <c r="C2718" t="s">
        <v>1260</v>
      </c>
      <c r="D2718" t="s">
        <v>1666</v>
      </c>
      <c r="E2718" t="s">
        <v>4051</v>
      </c>
      <c r="F2718" t="s">
        <v>1612</v>
      </c>
      <c r="I2718" t="s">
        <v>1077</v>
      </c>
      <c r="N2718" t="s">
        <v>228</v>
      </c>
      <c r="O2718" t="s">
        <v>7926</v>
      </c>
      <c r="P2718" t="s">
        <v>7929</v>
      </c>
      <c r="Q2718" t="str">
        <f>IF($C2718="","",IFERROR(VLOOKUP($C2718,sources!$A$2:$N$200,2,FALSE()),"?"))</f>
        <v>Photograph</v>
      </c>
      <c r="S2718" t="str">
        <f>IF($C2718="","",IFERROR(VLOOKUP($C2718,sources!$A$2:$N$200,9,FALSE()),"?"))</f>
        <v>US official</v>
      </c>
    </row>
    <row r="2719" spans="1:19" x14ac:dyDescent="0.2">
      <c r="A2719" t="s">
        <v>7930</v>
      </c>
      <c r="B2719" t="s">
        <v>689</v>
      </c>
      <c r="C2719" t="s">
        <v>1260</v>
      </c>
      <c r="D2719" t="s">
        <v>1666</v>
      </c>
      <c r="E2719" t="s">
        <v>7715</v>
      </c>
      <c r="F2719" t="s">
        <v>1612</v>
      </c>
      <c r="I2719" t="s">
        <v>1077</v>
      </c>
      <c r="N2719" t="s">
        <v>228</v>
      </c>
      <c r="O2719" t="s">
        <v>7926</v>
      </c>
      <c r="P2719" t="s">
        <v>7931</v>
      </c>
      <c r="Q2719" t="str">
        <f>IF($C2719="","",IFERROR(VLOOKUP($C2719,sources!$A$2:$N$200,2,FALSE()),"?"))</f>
        <v>Photograph</v>
      </c>
      <c r="S2719" t="str">
        <f>IF($C2719="","",IFERROR(VLOOKUP($C2719,sources!$A$2:$N$200,9,FALSE()),"?"))</f>
        <v>US official</v>
      </c>
    </row>
    <row r="2720" spans="1:19" x14ac:dyDescent="0.2">
      <c r="A2720" t="s">
        <v>7932</v>
      </c>
      <c r="B2720" t="s">
        <v>699</v>
      </c>
      <c r="C2720" t="s">
        <v>1260</v>
      </c>
      <c r="D2720" t="s">
        <v>1666</v>
      </c>
      <c r="E2720" t="s">
        <v>7724</v>
      </c>
      <c r="F2720" t="s">
        <v>1612</v>
      </c>
      <c r="I2720" t="s">
        <v>1077</v>
      </c>
      <c r="N2720" t="s">
        <v>228</v>
      </c>
      <c r="O2720" t="s">
        <v>7926</v>
      </c>
      <c r="P2720" t="s">
        <v>7933</v>
      </c>
      <c r="Q2720" t="str">
        <f>IF($C2720="","",IFERROR(VLOOKUP($C2720,sources!$A$2:$N$200,2,FALSE()),"?"))</f>
        <v>Photograph</v>
      </c>
      <c r="S2720" t="str">
        <f>IF($C2720="","",IFERROR(VLOOKUP($C2720,sources!$A$2:$N$200,9,FALSE()),"?"))</f>
        <v>US official</v>
      </c>
    </row>
    <row r="2721" spans="1:19" x14ac:dyDescent="0.2">
      <c r="A2721" t="s">
        <v>7934</v>
      </c>
      <c r="B2721" t="s">
        <v>702</v>
      </c>
      <c r="C2721" t="s">
        <v>1260</v>
      </c>
      <c r="D2721" t="s">
        <v>1666</v>
      </c>
      <c r="E2721" t="s">
        <v>7809</v>
      </c>
      <c r="F2721" t="s">
        <v>1612</v>
      </c>
      <c r="I2721" t="s">
        <v>1077</v>
      </c>
      <c r="N2721" t="s">
        <v>228</v>
      </c>
      <c r="O2721" t="s">
        <v>7926</v>
      </c>
      <c r="P2721" t="s">
        <v>7935</v>
      </c>
      <c r="Q2721" t="str">
        <f>IF($C2721="","",IFERROR(VLOOKUP($C2721,sources!$A$2:$N$200,2,FALSE()),"?"))</f>
        <v>Photograph</v>
      </c>
      <c r="S2721" t="str">
        <f>IF($C2721="","",IFERROR(VLOOKUP($C2721,sources!$A$2:$N$200,9,FALSE()),"?"))</f>
        <v>US official</v>
      </c>
    </row>
    <row r="2722" spans="1:19" x14ac:dyDescent="0.2">
      <c r="A2722" t="s">
        <v>7936</v>
      </c>
      <c r="B2722" t="s">
        <v>720</v>
      </c>
      <c r="C2722" t="s">
        <v>1260</v>
      </c>
      <c r="D2722" t="s">
        <v>1666</v>
      </c>
      <c r="E2722" t="s">
        <v>7739</v>
      </c>
      <c r="F2722" t="s">
        <v>1612</v>
      </c>
      <c r="I2722" t="s">
        <v>1077</v>
      </c>
      <c r="N2722" t="s">
        <v>228</v>
      </c>
      <c r="O2722" t="s">
        <v>7926</v>
      </c>
      <c r="P2722" t="s">
        <v>7937</v>
      </c>
      <c r="Q2722" t="str">
        <f>IF($C2722="","",IFERROR(VLOOKUP($C2722,sources!$A$2:$N$200,2,FALSE()),"?"))</f>
        <v>Photograph</v>
      </c>
      <c r="S2722" t="str">
        <f>IF($C2722="","",IFERROR(VLOOKUP($C2722,sources!$A$2:$N$200,9,FALSE()),"?"))</f>
        <v>US official</v>
      </c>
    </row>
    <row r="2723" spans="1:19" x14ac:dyDescent="0.2">
      <c r="A2723" t="s">
        <v>7938</v>
      </c>
      <c r="B2723" t="s">
        <v>749</v>
      </c>
      <c r="C2723" t="s">
        <v>1260</v>
      </c>
      <c r="D2723" t="s">
        <v>1666</v>
      </c>
      <c r="E2723" t="s">
        <v>7760</v>
      </c>
      <c r="F2723" t="s">
        <v>1612</v>
      </c>
      <c r="I2723" t="s">
        <v>1077</v>
      </c>
      <c r="N2723" t="s">
        <v>209</v>
      </c>
      <c r="O2723" t="s">
        <v>7926</v>
      </c>
      <c r="P2723" t="s">
        <v>7939</v>
      </c>
      <c r="Q2723" t="str">
        <f>IF($C2723="","",IFERROR(VLOOKUP($C2723,sources!$A$2:$N$200,2,FALSE()),"?"))</f>
        <v>Photograph</v>
      </c>
      <c r="S2723" t="str">
        <f>IF($C2723="","",IFERROR(VLOOKUP($C2723,sources!$A$2:$N$200,9,FALSE()),"?"))</f>
        <v>US official</v>
      </c>
    </row>
    <row r="2724" spans="1:19" x14ac:dyDescent="0.2">
      <c r="A2724" t="s">
        <v>7940</v>
      </c>
      <c r="B2724" t="s">
        <v>752</v>
      </c>
      <c r="C2724" t="s">
        <v>1260</v>
      </c>
      <c r="D2724" t="s">
        <v>1666</v>
      </c>
      <c r="E2724" t="s">
        <v>7827</v>
      </c>
      <c r="F2724" t="s">
        <v>1612</v>
      </c>
      <c r="I2724" t="s">
        <v>1077</v>
      </c>
      <c r="N2724" t="s">
        <v>209</v>
      </c>
      <c r="O2724" t="s">
        <v>7926</v>
      </c>
      <c r="P2724" t="s">
        <v>7941</v>
      </c>
      <c r="Q2724" t="str">
        <f>IF($C2724="","",IFERROR(VLOOKUP($C2724,sources!$A$2:$N$200,2,FALSE()),"?"))</f>
        <v>Photograph</v>
      </c>
      <c r="S2724" t="str">
        <f>IF($C2724="","",IFERROR(VLOOKUP($C2724,sources!$A$2:$N$200,9,FALSE()),"?"))</f>
        <v>US official</v>
      </c>
    </row>
    <row r="2725" spans="1:19" x14ac:dyDescent="0.2">
      <c r="A2725" t="s">
        <v>7942</v>
      </c>
      <c r="B2725" t="s">
        <v>756</v>
      </c>
      <c r="C2725" t="s">
        <v>1260</v>
      </c>
      <c r="D2725" t="s">
        <v>1666</v>
      </c>
      <c r="E2725" t="s">
        <v>7765</v>
      </c>
      <c r="F2725" t="s">
        <v>1612</v>
      </c>
      <c r="I2725" t="s">
        <v>1077</v>
      </c>
      <c r="N2725" t="s">
        <v>228</v>
      </c>
      <c r="O2725" t="s">
        <v>7926</v>
      </c>
      <c r="P2725" t="s">
        <v>7943</v>
      </c>
      <c r="Q2725" t="str">
        <f>IF($C2725="","",IFERROR(VLOOKUP($C2725,sources!$A$2:$N$200,2,FALSE()),"?"))</f>
        <v>Photograph</v>
      </c>
      <c r="S2725" t="str">
        <f>IF($C2725="","",IFERROR(VLOOKUP($C2725,sources!$A$2:$N$200,9,FALSE()),"?"))</f>
        <v>US official</v>
      </c>
    </row>
    <row r="2726" spans="1:19" x14ac:dyDescent="0.2">
      <c r="A2726" t="s">
        <v>7944</v>
      </c>
      <c r="B2726" t="s">
        <v>759</v>
      </c>
      <c r="C2726" t="s">
        <v>1260</v>
      </c>
      <c r="D2726" t="s">
        <v>1666</v>
      </c>
      <c r="E2726" t="s">
        <v>7768</v>
      </c>
      <c r="F2726" t="s">
        <v>1612</v>
      </c>
      <c r="I2726" t="s">
        <v>1077</v>
      </c>
      <c r="N2726" t="s">
        <v>209</v>
      </c>
      <c r="O2726" t="s">
        <v>7926</v>
      </c>
      <c r="P2726" t="s">
        <v>7945</v>
      </c>
      <c r="Q2726" t="str">
        <f>IF($C2726="","",IFERROR(VLOOKUP($C2726,sources!$A$2:$N$200,2,FALSE()),"?"))</f>
        <v>Photograph</v>
      </c>
      <c r="S2726" t="str">
        <f>IF($C2726="","",IFERROR(VLOOKUP($C2726,sources!$A$2:$N$200,9,FALSE()),"?"))</f>
        <v>US official</v>
      </c>
    </row>
    <row r="2727" spans="1:19" x14ac:dyDescent="0.2">
      <c r="A2727" t="s">
        <v>7946</v>
      </c>
      <c r="B2727" t="s">
        <v>762</v>
      </c>
      <c r="C2727" t="s">
        <v>1260</v>
      </c>
      <c r="D2727" t="s">
        <v>1666</v>
      </c>
      <c r="E2727" t="s">
        <v>7831</v>
      </c>
      <c r="F2727" t="s">
        <v>1612</v>
      </c>
      <c r="I2727" t="s">
        <v>1077</v>
      </c>
      <c r="N2727" t="s">
        <v>209</v>
      </c>
      <c r="O2727" t="s">
        <v>7926</v>
      </c>
      <c r="P2727" t="s">
        <v>7947</v>
      </c>
      <c r="Q2727" t="str">
        <f>IF($C2727="","",IFERROR(VLOOKUP($C2727,sources!$A$2:$N$200,2,FALSE()),"?"))</f>
        <v>Photograph</v>
      </c>
      <c r="S2727" t="str">
        <f>IF($C2727="","",IFERROR(VLOOKUP($C2727,sources!$A$2:$N$200,9,FALSE()),"?"))</f>
        <v>US official</v>
      </c>
    </row>
    <row r="2728" spans="1:19" x14ac:dyDescent="0.2">
      <c r="A2728" t="s">
        <v>7948</v>
      </c>
      <c r="B2728" t="s">
        <v>768</v>
      </c>
      <c r="C2728" t="s">
        <v>1260</v>
      </c>
      <c r="D2728" t="s">
        <v>1666</v>
      </c>
      <c r="E2728" t="s">
        <v>7777</v>
      </c>
      <c r="F2728" t="s">
        <v>1612</v>
      </c>
      <c r="I2728" t="s">
        <v>1077</v>
      </c>
      <c r="N2728" t="s">
        <v>228</v>
      </c>
      <c r="O2728" t="s">
        <v>7926</v>
      </c>
      <c r="P2728" t="s">
        <v>7949</v>
      </c>
      <c r="Q2728" t="str">
        <f>IF($C2728="","",IFERROR(VLOOKUP($C2728,sources!$A$2:$N$200,2,FALSE()),"?"))</f>
        <v>Photograph</v>
      </c>
      <c r="S2728" t="str">
        <f>IF($C2728="","",IFERROR(VLOOKUP($C2728,sources!$A$2:$N$200,9,FALSE()),"?"))</f>
        <v>US official</v>
      </c>
    </row>
    <row r="2729" spans="1:19" x14ac:dyDescent="0.2">
      <c r="A2729" t="s">
        <v>7950</v>
      </c>
      <c r="B2729" t="s">
        <v>771</v>
      </c>
      <c r="C2729" t="s">
        <v>1260</v>
      </c>
      <c r="D2729" t="s">
        <v>1666</v>
      </c>
      <c r="E2729" t="s">
        <v>7779</v>
      </c>
      <c r="F2729" t="s">
        <v>1612</v>
      </c>
      <c r="I2729" t="s">
        <v>1077</v>
      </c>
      <c r="N2729" t="s">
        <v>209</v>
      </c>
      <c r="O2729" t="s">
        <v>7926</v>
      </c>
      <c r="P2729" t="s">
        <v>7951</v>
      </c>
      <c r="Q2729" t="str">
        <f>IF($C2729="","",IFERROR(VLOOKUP($C2729,sources!$A$2:$N$200,2,FALSE()),"?"))</f>
        <v>Photograph</v>
      </c>
      <c r="S2729" t="str">
        <f>IF($C2729="","",IFERROR(VLOOKUP($C2729,sources!$A$2:$N$200,9,FALSE()),"?"))</f>
        <v>US official</v>
      </c>
    </row>
    <row r="2730" spans="1:19" x14ac:dyDescent="0.2">
      <c r="A2730" t="s">
        <v>7952</v>
      </c>
      <c r="B2730" t="s">
        <v>774</v>
      </c>
      <c r="C2730" t="s">
        <v>1260</v>
      </c>
      <c r="D2730" t="s">
        <v>1666</v>
      </c>
      <c r="E2730" t="s">
        <v>7782</v>
      </c>
      <c r="F2730" t="s">
        <v>1612</v>
      </c>
      <c r="I2730" t="s">
        <v>1077</v>
      </c>
      <c r="N2730" t="s">
        <v>209</v>
      </c>
      <c r="O2730" t="s">
        <v>7926</v>
      </c>
      <c r="P2730" t="s">
        <v>7953</v>
      </c>
      <c r="Q2730" t="str">
        <f>IF($C2730="","",IFERROR(VLOOKUP($C2730,sources!$A$2:$N$200,2,FALSE()),"?"))</f>
        <v>Photograph</v>
      </c>
      <c r="S2730" t="str">
        <f>IF($C2730="","",IFERROR(VLOOKUP($C2730,sources!$A$2:$N$200,9,FALSE()),"?"))</f>
        <v>US official</v>
      </c>
    </row>
    <row r="2731" spans="1:19" x14ac:dyDescent="0.2">
      <c r="A2731" t="s">
        <v>7954</v>
      </c>
      <c r="B2731" t="s">
        <v>780</v>
      </c>
      <c r="C2731" t="s">
        <v>1260</v>
      </c>
      <c r="D2731" t="s">
        <v>1666</v>
      </c>
      <c r="E2731" t="s">
        <v>7840</v>
      </c>
      <c r="F2731" t="s">
        <v>1612</v>
      </c>
      <c r="I2731" t="s">
        <v>1077</v>
      </c>
      <c r="N2731" t="s">
        <v>209</v>
      </c>
      <c r="O2731" t="s">
        <v>7926</v>
      </c>
      <c r="P2731" t="s">
        <v>7955</v>
      </c>
      <c r="Q2731" t="str">
        <f>IF($C2731="","",IFERROR(VLOOKUP($C2731,sources!$A$2:$N$200,2,FALSE()),"?"))</f>
        <v>Photograph</v>
      </c>
      <c r="S2731" t="str">
        <f>IF($C2731="","",IFERROR(VLOOKUP($C2731,sources!$A$2:$N$200,9,FALSE()),"?"))</f>
        <v>US official</v>
      </c>
    </row>
    <row r="2732" spans="1:19" x14ac:dyDescent="0.2">
      <c r="A2732" t="s">
        <v>7956</v>
      </c>
      <c r="B2732" t="s">
        <v>789</v>
      </c>
      <c r="C2732" t="s">
        <v>1260</v>
      </c>
      <c r="D2732" t="s">
        <v>1666</v>
      </c>
      <c r="E2732" t="s">
        <v>7793</v>
      </c>
      <c r="F2732" t="s">
        <v>1612</v>
      </c>
      <c r="I2732" t="s">
        <v>1077</v>
      </c>
      <c r="N2732" t="s">
        <v>228</v>
      </c>
      <c r="O2732" t="s">
        <v>7926</v>
      </c>
      <c r="P2732" t="s">
        <v>7957</v>
      </c>
      <c r="Q2732" t="str">
        <f>IF($C2732="","",IFERROR(VLOOKUP($C2732,sources!$A$2:$N$200,2,FALSE()),"?"))</f>
        <v>Photograph</v>
      </c>
      <c r="S2732" t="str">
        <f>IF($C2732="","",IFERROR(VLOOKUP($C2732,sources!$A$2:$N$200,9,FALSE()),"?"))</f>
        <v>US official</v>
      </c>
    </row>
    <row r="2733" spans="1:19" x14ac:dyDescent="0.2">
      <c r="A2733" t="s">
        <v>7958</v>
      </c>
      <c r="B2733" t="s">
        <v>815</v>
      </c>
      <c r="C2733" t="s">
        <v>1260</v>
      </c>
      <c r="D2733" t="s">
        <v>1585</v>
      </c>
      <c r="E2733" t="s">
        <v>7959</v>
      </c>
      <c r="F2733" t="s">
        <v>1612</v>
      </c>
      <c r="I2733" t="s">
        <v>1077</v>
      </c>
      <c r="K2733">
        <v>1936</v>
      </c>
      <c r="L2733">
        <v>1938</v>
      </c>
      <c r="M2733" t="s">
        <v>222</v>
      </c>
      <c r="N2733" t="s">
        <v>222</v>
      </c>
      <c r="O2733" t="s">
        <v>7926</v>
      </c>
      <c r="P2733" t="s">
        <v>7960</v>
      </c>
      <c r="Q2733" t="str">
        <f>IF($C2733="","",IFERROR(VLOOKUP($C2733,sources!$A$2:$N$200,2,FALSE()),"?"))</f>
        <v>Photograph</v>
      </c>
      <c r="S2733" t="str">
        <f>IF($C2733="","",IFERROR(VLOOKUP($C2733,sources!$A$2:$N$200,9,FALSE()),"?"))</f>
        <v>US official</v>
      </c>
    </row>
    <row r="2734" spans="1:19" x14ac:dyDescent="0.2">
      <c r="A2734" t="s">
        <v>7961</v>
      </c>
      <c r="B2734" t="s">
        <v>835</v>
      </c>
      <c r="C2734" t="s">
        <v>1260</v>
      </c>
      <c r="D2734" t="s">
        <v>1666</v>
      </c>
      <c r="E2734" t="s">
        <v>836</v>
      </c>
      <c r="F2734" t="s">
        <v>1612</v>
      </c>
      <c r="I2734" t="s">
        <v>1077</v>
      </c>
      <c r="N2734" t="s">
        <v>209</v>
      </c>
      <c r="O2734" t="s">
        <v>7926</v>
      </c>
      <c r="P2734" t="s">
        <v>7962</v>
      </c>
      <c r="Q2734" t="str">
        <f>IF($C2734="","",IFERROR(VLOOKUP($C2734,sources!$A$2:$N$200,2,FALSE()),"?"))</f>
        <v>Photograph</v>
      </c>
      <c r="S2734" t="str">
        <f>IF($C2734="","",IFERROR(VLOOKUP($C2734,sources!$A$2:$N$200,9,FALSE()),"?"))</f>
        <v>US official</v>
      </c>
    </row>
    <row r="2735" spans="1:19" x14ac:dyDescent="0.2">
      <c r="A2735" t="s">
        <v>7963</v>
      </c>
      <c r="B2735" t="s">
        <v>854</v>
      </c>
      <c r="C2735" t="s">
        <v>1260</v>
      </c>
      <c r="D2735" t="s">
        <v>1666</v>
      </c>
      <c r="E2735" t="s">
        <v>523</v>
      </c>
      <c r="F2735" t="s">
        <v>1612</v>
      </c>
      <c r="I2735" t="s">
        <v>1077</v>
      </c>
      <c r="N2735" t="s">
        <v>209</v>
      </c>
      <c r="O2735" t="s">
        <v>7926</v>
      </c>
      <c r="P2735" t="s">
        <v>7964</v>
      </c>
      <c r="Q2735" t="str">
        <f>IF($C2735="","",IFERROR(VLOOKUP($C2735,sources!$A$2:$N$200,2,FALSE()),"?"))</f>
        <v>Photograph</v>
      </c>
      <c r="S2735" t="str">
        <f>IF($C2735="","",IFERROR(VLOOKUP($C2735,sources!$A$2:$N$200,9,FALSE()),"?"))</f>
        <v>US official</v>
      </c>
    </row>
    <row r="2736" spans="1:19" x14ac:dyDescent="0.2">
      <c r="A2736" t="s">
        <v>7965</v>
      </c>
      <c r="B2736" t="s">
        <v>871</v>
      </c>
      <c r="C2736" t="s">
        <v>1260</v>
      </c>
      <c r="D2736" t="s">
        <v>1666</v>
      </c>
      <c r="E2736" t="s">
        <v>872</v>
      </c>
      <c r="F2736" t="s">
        <v>1612</v>
      </c>
      <c r="I2736" t="s">
        <v>1077</v>
      </c>
      <c r="N2736" t="s">
        <v>209</v>
      </c>
      <c r="O2736" t="s">
        <v>7926</v>
      </c>
      <c r="P2736" t="s">
        <v>7966</v>
      </c>
      <c r="Q2736" t="str">
        <f>IF($C2736="","",IFERROR(VLOOKUP($C2736,sources!$A$2:$N$200,2,FALSE()),"?"))</f>
        <v>Photograph</v>
      </c>
      <c r="S2736" t="str">
        <f>IF($C2736="","",IFERROR(VLOOKUP($C2736,sources!$A$2:$N$200,9,FALSE()),"?"))</f>
        <v>US official</v>
      </c>
    </row>
    <row r="2737" spans="1:19" x14ac:dyDescent="0.2">
      <c r="A2737" t="s">
        <v>7967</v>
      </c>
      <c r="B2737" t="s">
        <v>1027</v>
      </c>
      <c r="C2737" t="s">
        <v>1260</v>
      </c>
      <c r="D2737" t="s">
        <v>1666</v>
      </c>
      <c r="E2737" t="s">
        <v>6558</v>
      </c>
      <c r="F2737" t="s">
        <v>1612</v>
      </c>
      <c r="I2737" t="s">
        <v>1077</v>
      </c>
      <c r="N2737" t="s">
        <v>209</v>
      </c>
      <c r="O2737" t="s">
        <v>7926</v>
      </c>
      <c r="P2737" t="s">
        <v>7968</v>
      </c>
      <c r="Q2737" t="str">
        <f>IF($C2737="","",IFERROR(VLOOKUP($C2737,sources!$A$2:$N$200,2,FALSE()),"?"))</f>
        <v>Photograph</v>
      </c>
      <c r="S2737" t="str">
        <f>IF($C2737="","",IFERROR(VLOOKUP($C2737,sources!$A$2:$N$200,9,FALSE()),"?"))</f>
        <v>US official</v>
      </c>
    </row>
    <row r="2738" spans="1:19" x14ac:dyDescent="0.2">
      <c r="A2738" t="s">
        <v>7969</v>
      </c>
      <c r="B2738" t="s">
        <v>1045</v>
      </c>
      <c r="C2738" t="s">
        <v>1260</v>
      </c>
      <c r="D2738" t="s">
        <v>1666</v>
      </c>
      <c r="E2738" t="s">
        <v>1046</v>
      </c>
      <c r="F2738" t="s">
        <v>1612</v>
      </c>
      <c r="I2738" t="s">
        <v>1077</v>
      </c>
      <c r="N2738" t="s">
        <v>209</v>
      </c>
      <c r="O2738" t="s">
        <v>7926</v>
      </c>
      <c r="P2738" t="s">
        <v>7970</v>
      </c>
      <c r="Q2738" t="str">
        <f>IF($C2738="","",IFERROR(VLOOKUP($C2738,sources!$A$2:$N$200,2,FALSE()),"?"))</f>
        <v>Photograph</v>
      </c>
      <c r="S2738" t="str">
        <f>IF($C2738="","",IFERROR(VLOOKUP($C2738,sources!$A$2:$N$200,9,FALSE()),"?"))</f>
        <v>US official</v>
      </c>
    </row>
    <row r="2739" spans="1:19" x14ac:dyDescent="0.2">
      <c r="A2739" t="s">
        <v>7971</v>
      </c>
      <c r="B2739" t="s">
        <v>929</v>
      </c>
      <c r="C2739" t="s">
        <v>1260</v>
      </c>
      <c r="D2739" t="s">
        <v>1666</v>
      </c>
      <c r="E2739" t="s">
        <v>7474</v>
      </c>
      <c r="F2739" t="s">
        <v>1612</v>
      </c>
      <c r="I2739" t="s">
        <v>1077</v>
      </c>
      <c r="N2739" t="s">
        <v>209</v>
      </c>
      <c r="O2739" t="s">
        <v>7926</v>
      </c>
      <c r="P2739" t="s">
        <v>7972</v>
      </c>
      <c r="Q2739" t="str">
        <f>IF($C2739="","",IFERROR(VLOOKUP($C2739,sources!$A$2:$N$200,2,FALSE()),"?"))</f>
        <v>Photograph</v>
      </c>
      <c r="S2739" t="str">
        <f>IF($C2739="","",IFERROR(VLOOKUP($C2739,sources!$A$2:$N$200,9,FALSE()),"?"))</f>
        <v>US official</v>
      </c>
    </row>
    <row r="2740" spans="1:19" x14ac:dyDescent="0.2">
      <c r="A2740" t="s">
        <v>7973</v>
      </c>
      <c r="B2740" t="s">
        <v>936</v>
      </c>
      <c r="C2740" t="s">
        <v>1260</v>
      </c>
      <c r="D2740" t="s">
        <v>1666</v>
      </c>
      <c r="E2740" t="s">
        <v>937</v>
      </c>
      <c r="F2740" t="s">
        <v>1612</v>
      </c>
      <c r="I2740" t="s">
        <v>1077</v>
      </c>
      <c r="N2740" t="s">
        <v>222</v>
      </c>
      <c r="O2740" t="s">
        <v>7926</v>
      </c>
      <c r="P2740" t="s">
        <v>7974</v>
      </c>
      <c r="Q2740" t="str">
        <f>IF($C2740="","",IFERROR(VLOOKUP($C2740,sources!$A$2:$N$200,2,FALSE()),"?"))</f>
        <v>Photograph</v>
      </c>
      <c r="S2740" t="str">
        <f>IF($C2740="","",IFERROR(VLOOKUP($C2740,sources!$A$2:$N$200,9,FALSE()),"?"))</f>
        <v>US official</v>
      </c>
    </row>
    <row r="2741" spans="1:19" x14ac:dyDescent="0.2">
      <c r="A2741" t="s">
        <v>7975</v>
      </c>
      <c r="B2741" t="s">
        <v>939</v>
      </c>
      <c r="C2741" t="s">
        <v>1260</v>
      </c>
      <c r="D2741" t="s">
        <v>1666</v>
      </c>
      <c r="E2741" t="s">
        <v>940</v>
      </c>
      <c r="F2741" t="s">
        <v>1612</v>
      </c>
      <c r="I2741" t="s">
        <v>1077</v>
      </c>
      <c r="N2741" t="s">
        <v>228</v>
      </c>
      <c r="O2741" t="s">
        <v>7926</v>
      </c>
      <c r="P2741" t="s">
        <v>7976</v>
      </c>
      <c r="Q2741" t="str">
        <f>IF($C2741="","",IFERROR(VLOOKUP($C2741,sources!$A$2:$N$200,2,FALSE()),"?"))</f>
        <v>Photograph</v>
      </c>
      <c r="S2741" t="str">
        <f>IF($C2741="","",IFERROR(VLOOKUP($C2741,sources!$A$2:$N$200,9,FALSE()),"?"))</f>
        <v>US official</v>
      </c>
    </row>
    <row r="2742" spans="1:19" x14ac:dyDescent="0.2">
      <c r="A2742" t="s">
        <v>7977</v>
      </c>
      <c r="B2742" t="s">
        <v>998</v>
      </c>
      <c r="C2742" t="s">
        <v>1260</v>
      </c>
      <c r="D2742" t="s">
        <v>1666</v>
      </c>
      <c r="E2742" t="s">
        <v>1000</v>
      </c>
      <c r="F2742" t="s">
        <v>1612</v>
      </c>
      <c r="I2742" t="s">
        <v>1077</v>
      </c>
      <c r="N2742" t="s">
        <v>228</v>
      </c>
      <c r="O2742" t="s">
        <v>7926</v>
      </c>
      <c r="P2742" t="s">
        <v>7978</v>
      </c>
      <c r="Q2742" t="str">
        <f>IF($C2742="","",IFERROR(VLOOKUP($C2742,sources!$A$2:$N$200,2,FALSE()),"?"))</f>
        <v>Photograph</v>
      </c>
      <c r="S2742" t="str">
        <f>IF($C2742="","",IFERROR(VLOOKUP($C2742,sources!$A$2:$N$200,9,FALSE()),"?"))</f>
        <v>US official</v>
      </c>
    </row>
    <row r="2743" spans="1:19" x14ac:dyDescent="0.2">
      <c r="A2743" t="s">
        <v>7979</v>
      </c>
      <c r="B2743" t="s">
        <v>1002</v>
      </c>
      <c r="C2743" t="s">
        <v>1260</v>
      </c>
      <c r="D2743" t="s">
        <v>1585</v>
      </c>
      <c r="E2743" t="s">
        <v>7980</v>
      </c>
      <c r="F2743" t="s">
        <v>1612</v>
      </c>
      <c r="I2743" t="s">
        <v>1077</v>
      </c>
      <c r="K2743">
        <v>1936</v>
      </c>
      <c r="L2743">
        <v>1938</v>
      </c>
      <c r="M2743" t="s">
        <v>222</v>
      </c>
      <c r="N2743" t="s">
        <v>222</v>
      </c>
      <c r="O2743" t="s">
        <v>7926</v>
      </c>
      <c r="P2743" t="s">
        <v>7981</v>
      </c>
      <c r="Q2743" t="str">
        <f>IF($C2743="","",IFERROR(VLOOKUP($C2743,sources!$A$2:$N$200,2,FALSE()),"?"))</f>
        <v>Photograph</v>
      </c>
      <c r="S2743" t="str">
        <f>IF($C2743="","",IFERROR(VLOOKUP($C2743,sources!$A$2:$N$200,9,FALSE()),"?"))</f>
        <v>US official</v>
      </c>
    </row>
    <row r="2744" spans="1:19" x14ac:dyDescent="0.2">
      <c r="A2744" t="s">
        <v>7982</v>
      </c>
      <c r="B2744" t="s">
        <v>1036</v>
      </c>
      <c r="C2744" t="s">
        <v>1260</v>
      </c>
      <c r="D2744" t="s">
        <v>1666</v>
      </c>
      <c r="E2744" t="s">
        <v>7908</v>
      </c>
      <c r="F2744" t="s">
        <v>1612</v>
      </c>
      <c r="I2744" t="s">
        <v>1077</v>
      </c>
      <c r="N2744" t="s">
        <v>228</v>
      </c>
      <c r="O2744" t="s">
        <v>7926</v>
      </c>
      <c r="P2744" t="s">
        <v>7983</v>
      </c>
      <c r="Q2744" t="str">
        <f>IF($C2744="","",IFERROR(VLOOKUP($C2744,sources!$A$2:$N$200,2,FALSE()),"?"))</f>
        <v>Photograph</v>
      </c>
      <c r="S2744" t="str">
        <f>IF($C2744="","",IFERROR(VLOOKUP($C2744,sources!$A$2:$N$200,9,FALSE()),"?"))</f>
        <v>US official</v>
      </c>
    </row>
    <row r="2745" spans="1:19" x14ac:dyDescent="0.2">
      <c r="A2745" t="s">
        <v>7984</v>
      </c>
      <c r="B2745" t="s">
        <v>1021</v>
      </c>
      <c r="C2745" t="s">
        <v>1389</v>
      </c>
      <c r="D2745" t="s">
        <v>1594</v>
      </c>
      <c r="E2745" t="s">
        <v>7985</v>
      </c>
      <c r="F2745" t="s">
        <v>1612</v>
      </c>
      <c r="G2745">
        <v>9.3649539999999991</v>
      </c>
      <c r="H2745">
        <v>-79.910309999999996</v>
      </c>
      <c r="I2745" t="s">
        <v>4813</v>
      </c>
      <c r="J2745">
        <v>60</v>
      </c>
      <c r="K2745">
        <v>1940</v>
      </c>
      <c r="L2745">
        <v>1940</v>
      </c>
      <c r="M2745" t="s">
        <v>222</v>
      </c>
      <c r="N2745" t="s">
        <v>222</v>
      </c>
      <c r="O2745" t="s">
        <v>7986</v>
      </c>
      <c r="P2745" t="s">
        <v>7987</v>
      </c>
      <c r="Q2745" t="str">
        <f>IF($C2745="","",IFERROR(VLOOKUP($C2745,sources!$A$2:$N$200,2,FALSE()),"?"))</f>
        <v>Map</v>
      </c>
      <c r="S2745" t="str">
        <f>IF($C2745="","",IFERROR(VLOOKUP($C2745,sources!$A$2:$N$200,9,FALSE()),"?"))</f>
        <v>US official</v>
      </c>
    </row>
    <row r="2746" spans="1:19" x14ac:dyDescent="0.2">
      <c r="A2746" t="s">
        <v>7988</v>
      </c>
      <c r="B2746" t="s">
        <v>805</v>
      </c>
      <c r="C2746" t="s">
        <v>1398</v>
      </c>
      <c r="D2746" t="s">
        <v>1599</v>
      </c>
      <c r="E2746" t="s">
        <v>7989</v>
      </c>
      <c r="F2746" t="s">
        <v>1612</v>
      </c>
      <c r="I2746" t="s">
        <v>1077</v>
      </c>
      <c r="K2746">
        <v>1950</v>
      </c>
      <c r="L2746">
        <v>1950</v>
      </c>
      <c r="M2746" t="s">
        <v>228</v>
      </c>
      <c r="N2746" t="s">
        <v>228</v>
      </c>
      <c r="O2746" t="s">
        <v>7990</v>
      </c>
      <c r="P2746" t="s">
        <v>7991</v>
      </c>
      <c r="Q2746" t="str">
        <f>IF($C2746="","",IFERROR(VLOOKUP($C2746,sources!$A$2:$N$200,2,FALSE()),"?"))</f>
        <v>Map</v>
      </c>
      <c r="S2746" t="str">
        <f>IF($C2746="","",IFERROR(VLOOKUP($C2746,sources!$A$2:$N$200,9,FALSE()),"?"))</f>
        <v>US official</v>
      </c>
    </row>
    <row r="2747" spans="1:19" x14ac:dyDescent="0.2">
      <c r="A2747" t="s">
        <v>7992</v>
      </c>
      <c r="B2747" t="s">
        <v>843</v>
      </c>
      <c r="C2747" t="s">
        <v>1398</v>
      </c>
      <c r="D2747" t="s">
        <v>1599</v>
      </c>
      <c r="E2747" t="s">
        <v>7993</v>
      </c>
      <c r="F2747" t="s">
        <v>1612</v>
      </c>
      <c r="I2747" t="s">
        <v>1077</v>
      </c>
      <c r="K2747">
        <v>1950</v>
      </c>
      <c r="L2747">
        <v>1950</v>
      </c>
      <c r="M2747" t="s">
        <v>228</v>
      </c>
      <c r="N2747" t="s">
        <v>228</v>
      </c>
      <c r="O2747" t="s">
        <v>7990</v>
      </c>
      <c r="P2747" t="s">
        <v>7994</v>
      </c>
      <c r="Q2747" t="str">
        <f>IF($C2747="","",IFERROR(VLOOKUP($C2747,sources!$A$2:$N$200,2,FALSE()),"?"))</f>
        <v>Map</v>
      </c>
      <c r="S2747" t="str">
        <f>IF($C2747="","",IFERROR(VLOOKUP($C2747,sources!$A$2:$N$200,9,FALSE()),"?"))</f>
        <v>US official</v>
      </c>
    </row>
    <row r="2748" spans="1:19" x14ac:dyDescent="0.2">
      <c r="A2748" t="s">
        <v>7995</v>
      </c>
      <c r="B2748" t="s">
        <v>858</v>
      </c>
      <c r="C2748" t="s">
        <v>1398</v>
      </c>
      <c r="D2748" t="s">
        <v>1599</v>
      </c>
      <c r="E2748" t="s">
        <v>7996</v>
      </c>
      <c r="F2748" t="s">
        <v>1612</v>
      </c>
      <c r="I2748" t="s">
        <v>1077</v>
      </c>
      <c r="K2748">
        <v>1950</v>
      </c>
      <c r="L2748">
        <v>1950</v>
      </c>
      <c r="M2748" t="s">
        <v>228</v>
      </c>
      <c r="N2748" t="s">
        <v>228</v>
      </c>
      <c r="O2748" t="s">
        <v>7990</v>
      </c>
      <c r="P2748" t="s">
        <v>7997</v>
      </c>
      <c r="Q2748" t="str">
        <f>IF($C2748="","",IFERROR(VLOOKUP($C2748,sources!$A$2:$N$200,2,FALSE()),"?"))</f>
        <v>Map</v>
      </c>
      <c r="S2748" t="str">
        <f>IF($C2748="","",IFERROR(VLOOKUP($C2748,sources!$A$2:$N$200,9,FALSE()),"?"))</f>
        <v>US official</v>
      </c>
    </row>
    <row r="2749" spans="1:19" x14ac:dyDescent="0.2">
      <c r="A2749" t="s">
        <v>7998</v>
      </c>
      <c r="B2749" t="s">
        <v>863</v>
      </c>
      <c r="C2749" t="s">
        <v>1398</v>
      </c>
      <c r="D2749" t="s">
        <v>1599</v>
      </c>
      <c r="E2749" t="s">
        <v>7999</v>
      </c>
      <c r="F2749" t="s">
        <v>1612</v>
      </c>
      <c r="I2749" t="s">
        <v>1077</v>
      </c>
      <c r="K2749">
        <v>1950</v>
      </c>
      <c r="L2749">
        <v>1950</v>
      </c>
      <c r="M2749" t="s">
        <v>228</v>
      </c>
      <c r="N2749" t="s">
        <v>228</v>
      </c>
      <c r="O2749" t="s">
        <v>7990</v>
      </c>
      <c r="P2749" t="s">
        <v>8000</v>
      </c>
      <c r="Q2749" t="str">
        <f>IF($C2749="","",IFERROR(VLOOKUP($C2749,sources!$A$2:$N$200,2,FALSE()),"?"))</f>
        <v>Map</v>
      </c>
      <c r="S2749" t="str">
        <f>IF($C2749="","",IFERROR(VLOOKUP($C2749,sources!$A$2:$N$200,9,FALSE()),"?"))</f>
        <v>US official</v>
      </c>
    </row>
    <row r="2750" spans="1:19" x14ac:dyDescent="0.2">
      <c r="A2750" t="s">
        <v>8001</v>
      </c>
      <c r="B2750" t="s">
        <v>866</v>
      </c>
      <c r="C2750" t="s">
        <v>1398</v>
      </c>
      <c r="D2750" t="s">
        <v>1599</v>
      </c>
      <c r="E2750" t="s">
        <v>8002</v>
      </c>
      <c r="F2750" t="s">
        <v>1612</v>
      </c>
      <c r="I2750" t="s">
        <v>1077</v>
      </c>
      <c r="K2750">
        <v>1950</v>
      </c>
      <c r="L2750">
        <v>1950</v>
      </c>
      <c r="M2750" t="s">
        <v>228</v>
      </c>
      <c r="N2750" t="s">
        <v>228</v>
      </c>
      <c r="O2750" t="s">
        <v>7990</v>
      </c>
      <c r="P2750" t="s">
        <v>8003</v>
      </c>
      <c r="Q2750" t="str">
        <f>IF($C2750="","",IFERROR(VLOOKUP($C2750,sources!$A$2:$N$200,2,FALSE()),"?"))</f>
        <v>Map</v>
      </c>
      <c r="S2750" t="str">
        <f>IF($C2750="","",IFERROR(VLOOKUP($C2750,sources!$A$2:$N$200,9,FALSE()),"?"))</f>
        <v>US official</v>
      </c>
    </row>
    <row r="2751" spans="1:19" x14ac:dyDescent="0.2">
      <c r="A2751" t="s">
        <v>8004</v>
      </c>
      <c r="B2751" t="s">
        <v>902</v>
      </c>
      <c r="C2751" t="s">
        <v>1398</v>
      </c>
      <c r="D2751" t="s">
        <v>1599</v>
      </c>
      <c r="E2751" t="s">
        <v>8005</v>
      </c>
      <c r="F2751" t="s">
        <v>1612</v>
      </c>
      <c r="I2751" t="s">
        <v>1077</v>
      </c>
      <c r="K2751">
        <v>1950</v>
      </c>
      <c r="L2751">
        <v>1950</v>
      </c>
      <c r="M2751" t="s">
        <v>228</v>
      </c>
      <c r="N2751" t="s">
        <v>228</v>
      </c>
      <c r="O2751" t="s">
        <v>7990</v>
      </c>
      <c r="P2751" t="s">
        <v>8006</v>
      </c>
      <c r="Q2751" t="str">
        <f>IF($C2751="","",IFERROR(VLOOKUP($C2751,sources!$A$2:$N$200,2,FALSE()),"?"))</f>
        <v>Map</v>
      </c>
      <c r="S2751" t="str">
        <f>IF($C2751="","",IFERROR(VLOOKUP($C2751,sources!$A$2:$N$200,9,FALSE()),"?"))</f>
        <v>US official</v>
      </c>
    </row>
    <row r="2752" spans="1:19" x14ac:dyDescent="0.2">
      <c r="A2752" t="s">
        <v>8007</v>
      </c>
      <c r="B2752" t="s">
        <v>1013</v>
      </c>
      <c r="C2752" t="s">
        <v>1398</v>
      </c>
      <c r="D2752" t="s">
        <v>1599</v>
      </c>
      <c r="E2752" t="s">
        <v>8008</v>
      </c>
      <c r="F2752" t="s">
        <v>1612</v>
      </c>
      <c r="I2752" t="s">
        <v>1077</v>
      </c>
      <c r="K2752">
        <v>1950</v>
      </c>
      <c r="L2752">
        <v>1950</v>
      </c>
      <c r="M2752" t="s">
        <v>228</v>
      </c>
      <c r="N2752" t="s">
        <v>228</v>
      </c>
      <c r="O2752" t="s">
        <v>7990</v>
      </c>
      <c r="P2752" t="s">
        <v>8009</v>
      </c>
      <c r="Q2752" t="str">
        <f>IF($C2752="","",IFERROR(VLOOKUP($C2752,sources!$A$2:$N$200,2,FALSE()),"?"))</f>
        <v>Map</v>
      </c>
      <c r="S2752" t="str">
        <f>IF($C2752="","",IFERROR(VLOOKUP($C2752,sources!$A$2:$N$200,9,FALSE()),"?"))</f>
        <v>US official</v>
      </c>
    </row>
    <row r="2753" spans="1:19" x14ac:dyDescent="0.2">
      <c r="A2753" t="s">
        <v>8010</v>
      </c>
      <c r="B2753" t="s">
        <v>838</v>
      </c>
      <c r="C2753" t="s">
        <v>1398</v>
      </c>
      <c r="D2753" t="s">
        <v>1666</v>
      </c>
      <c r="E2753" t="s">
        <v>839</v>
      </c>
      <c r="F2753" t="s">
        <v>1612</v>
      </c>
      <c r="I2753" t="s">
        <v>1077</v>
      </c>
      <c r="K2753">
        <v>1950</v>
      </c>
      <c r="L2753">
        <v>1950</v>
      </c>
      <c r="M2753" t="s">
        <v>228</v>
      </c>
      <c r="N2753" t="s">
        <v>228</v>
      </c>
      <c r="O2753" t="s">
        <v>7990</v>
      </c>
      <c r="P2753" t="s">
        <v>8011</v>
      </c>
      <c r="Q2753" t="str">
        <f>IF($C2753="","",IFERROR(VLOOKUP($C2753,sources!$A$2:$N$200,2,FALSE()),"?"))</f>
        <v>Map</v>
      </c>
      <c r="S2753" t="str">
        <f>IF($C2753="","",IFERROR(VLOOKUP($C2753,sources!$A$2:$N$200,9,FALSE()),"?"))</f>
        <v>US official</v>
      </c>
    </row>
    <row r="2754" spans="1:19" x14ac:dyDescent="0.2">
      <c r="A2754" t="s">
        <v>8012</v>
      </c>
      <c r="B2754" t="s">
        <v>847</v>
      </c>
      <c r="C2754" t="s">
        <v>1398</v>
      </c>
      <c r="D2754" t="s">
        <v>1666</v>
      </c>
      <c r="E2754" t="s">
        <v>848</v>
      </c>
      <c r="F2754" t="s">
        <v>1612</v>
      </c>
      <c r="I2754" t="s">
        <v>1077</v>
      </c>
      <c r="K2754">
        <v>1950</v>
      </c>
      <c r="L2754">
        <v>1950</v>
      </c>
      <c r="M2754" t="s">
        <v>228</v>
      </c>
      <c r="N2754" t="s">
        <v>228</v>
      </c>
      <c r="O2754" t="s">
        <v>7990</v>
      </c>
      <c r="P2754" t="s">
        <v>8013</v>
      </c>
      <c r="Q2754" t="str">
        <f>IF($C2754="","",IFERROR(VLOOKUP($C2754,sources!$A$2:$N$200,2,FALSE()),"?"))</f>
        <v>Map</v>
      </c>
      <c r="S2754" t="str">
        <f>IF($C2754="","",IFERROR(VLOOKUP($C2754,sources!$A$2:$N$200,9,FALSE()),"?"))</f>
        <v>US official</v>
      </c>
    </row>
    <row r="2755" spans="1:19" x14ac:dyDescent="0.2">
      <c r="A2755" t="s">
        <v>8014</v>
      </c>
      <c r="B2755" t="s">
        <v>851</v>
      </c>
      <c r="C2755" t="s">
        <v>1398</v>
      </c>
      <c r="D2755" t="s">
        <v>1666</v>
      </c>
      <c r="E2755" t="s">
        <v>852</v>
      </c>
      <c r="F2755" t="s">
        <v>1612</v>
      </c>
      <c r="I2755" t="s">
        <v>1077</v>
      </c>
      <c r="K2755">
        <v>1950</v>
      </c>
      <c r="L2755">
        <v>1950</v>
      </c>
      <c r="M2755" t="s">
        <v>228</v>
      </c>
      <c r="N2755" t="s">
        <v>228</v>
      </c>
      <c r="O2755" t="s">
        <v>7990</v>
      </c>
      <c r="P2755" t="s">
        <v>8015</v>
      </c>
      <c r="Q2755" t="str">
        <f>IF($C2755="","",IFERROR(VLOOKUP($C2755,sources!$A$2:$N$200,2,FALSE()),"?"))</f>
        <v>Map</v>
      </c>
      <c r="S2755" t="str">
        <f>IF($C2755="","",IFERROR(VLOOKUP($C2755,sources!$A$2:$N$200,9,FALSE()),"?"))</f>
        <v>US official</v>
      </c>
    </row>
    <row r="2756" spans="1:19" x14ac:dyDescent="0.2">
      <c r="A2756" t="s">
        <v>8016</v>
      </c>
      <c r="B2756" t="s">
        <v>854</v>
      </c>
      <c r="C2756" t="s">
        <v>1398</v>
      </c>
      <c r="D2756" t="s">
        <v>1666</v>
      </c>
      <c r="E2756" t="s">
        <v>523</v>
      </c>
      <c r="F2756" t="s">
        <v>1612</v>
      </c>
      <c r="I2756" t="s">
        <v>1077</v>
      </c>
      <c r="K2756">
        <v>1950</v>
      </c>
      <c r="L2756">
        <v>1950</v>
      </c>
      <c r="M2756" t="s">
        <v>228</v>
      </c>
      <c r="N2756" t="s">
        <v>228</v>
      </c>
      <c r="O2756" t="s">
        <v>7990</v>
      </c>
      <c r="P2756" t="s">
        <v>8017</v>
      </c>
      <c r="Q2756" t="str">
        <f>IF($C2756="","",IFERROR(VLOOKUP($C2756,sources!$A$2:$N$200,2,FALSE()),"?"))</f>
        <v>Map</v>
      </c>
      <c r="S2756" t="str">
        <f>IF($C2756="","",IFERROR(VLOOKUP($C2756,sources!$A$2:$N$200,9,FALSE()),"?"))</f>
        <v>US official</v>
      </c>
    </row>
    <row r="2757" spans="1:19" x14ac:dyDescent="0.2">
      <c r="A2757" t="s">
        <v>8018</v>
      </c>
      <c r="B2757" t="s">
        <v>911</v>
      </c>
      <c r="C2757" t="s">
        <v>1398</v>
      </c>
      <c r="D2757" t="s">
        <v>1666</v>
      </c>
      <c r="E2757" t="s">
        <v>912</v>
      </c>
      <c r="F2757" t="s">
        <v>1612</v>
      </c>
      <c r="I2757" t="s">
        <v>1077</v>
      </c>
      <c r="K2757">
        <v>1950</v>
      </c>
      <c r="L2757">
        <v>1950</v>
      </c>
      <c r="M2757" t="s">
        <v>228</v>
      </c>
      <c r="N2757" t="s">
        <v>228</v>
      </c>
      <c r="O2757" t="s">
        <v>7990</v>
      </c>
      <c r="P2757" t="s">
        <v>8019</v>
      </c>
      <c r="Q2757" t="str">
        <f>IF($C2757="","",IFERROR(VLOOKUP($C2757,sources!$A$2:$N$200,2,FALSE()),"?"))</f>
        <v>Map</v>
      </c>
      <c r="S2757" t="str">
        <f>IF($C2757="","",IFERROR(VLOOKUP($C2757,sources!$A$2:$N$200,9,FALSE()),"?"))</f>
        <v>US official</v>
      </c>
    </row>
    <row r="2758" spans="1:19" x14ac:dyDescent="0.2">
      <c r="A2758" t="s">
        <v>8020</v>
      </c>
      <c r="B2758" t="s">
        <v>915</v>
      </c>
      <c r="C2758" t="s">
        <v>1398</v>
      </c>
      <c r="D2758" t="s">
        <v>1666</v>
      </c>
      <c r="E2758" t="s">
        <v>916</v>
      </c>
      <c r="F2758" t="s">
        <v>1612</v>
      </c>
      <c r="I2758" t="s">
        <v>1077</v>
      </c>
      <c r="K2758">
        <v>1950</v>
      </c>
      <c r="L2758">
        <v>1950</v>
      </c>
      <c r="M2758" t="s">
        <v>228</v>
      </c>
      <c r="N2758" t="s">
        <v>228</v>
      </c>
      <c r="O2758" t="s">
        <v>7990</v>
      </c>
      <c r="P2758" t="s">
        <v>8021</v>
      </c>
      <c r="Q2758" t="str">
        <f>IF($C2758="","",IFERROR(VLOOKUP($C2758,sources!$A$2:$N$200,2,FALSE()),"?"))</f>
        <v>Map</v>
      </c>
      <c r="S2758" t="str">
        <f>IF($C2758="","",IFERROR(VLOOKUP($C2758,sources!$A$2:$N$200,9,FALSE()),"?"))</f>
        <v>US official</v>
      </c>
    </row>
    <row r="2759" spans="1:19" x14ac:dyDescent="0.2">
      <c r="A2759" t="s">
        <v>8022</v>
      </c>
      <c r="B2759" t="s">
        <v>918</v>
      </c>
      <c r="C2759" t="s">
        <v>1398</v>
      </c>
      <c r="D2759" t="s">
        <v>1666</v>
      </c>
      <c r="E2759" t="s">
        <v>919</v>
      </c>
      <c r="F2759" t="s">
        <v>1612</v>
      </c>
      <c r="I2759" t="s">
        <v>1077</v>
      </c>
      <c r="K2759">
        <v>1950</v>
      </c>
      <c r="L2759">
        <v>1950</v>
      </c>
      <c r="M2759" t="s">
        <v>228</v>
      </c>
      <c r="N2759" t="s">
        <v>228</v>
      </c>
      <c r="O2759" t="s">
        <v>7990</v>
      </c>
      <c r="P2759" t="s">
        <v>8015</v>
      </c>
      <c r="Q2759" t="str">
        <f>IF($C2759="","",IFERROR(VLOOKUP($C2759,sources!$A$2:$N$200,2,FALSE()),"?"))</f>
        <v>Map</v>
      </c>
      <c r="S2759" t="str">
        <f>IF($C2759="","",IFERROR(VLOOKUP($C2759,sources!$A$2:$N$200,9,FALSE()),"?"))</f>
        <v>US official</v>
      </c>
    </row>
    <row r="2760" spans="1:19" x14ac:dyDescent="0.2">
      <c r="A2760" t="s">
        <v>8023</v>
      </c>
      <c r="B2760" t="s">
        <v>929</v>
      </c>
      <c r="C2760" t="s">
        <v>1398</v>
      </c>
      <c r="D2760" t="s">
        <v>1666</v>
      </c>
      <c r="E2760" t="s">
        <v>930</v>
      </c>
      <c r="F2760" t="s">
        <v>1612</v>
      </c>
      <c r="I2760" t="s">
        <v>1077</v>
      </c>
      <c r="K2760">
        <v>1950</v>
      </c>
      <c r="L2760">
        <v>1950</v>
      </c>
      <c r="M2760" t="s">
        <v>228</v>
      </c>
      <c r="N2760" t="s">
        <v>228</v>
      </c>
      <c r="O2760" t="s">
        <v>7990</v>
      </c>
      <c r="P2760" t="s">
        <v>8015</v>
      </c>
      <c r="Q2760" t="str">
        <f>IF($C2760="","",IFERROR(VLOOKUP($C2760,sources!$A$2:$N$200,2,FALSE()),"?"))</f>
        <v>Map</v>
      </c>
      <c r="S2760" t="str">
        <f>IF($C2760="","",IFERROR(VLOOKUP($C2760,sources!$A$2:$N$200,9,FALSE()),"?"))</f>
        <v>US official</v>
      </c>
    </row>
    <row r="2761" spans="1:19" x14ac:dyDescent="0.2">
      <c r="A2761" t="s">
        <v>8024</v>
      </c>
      <c r="B2761" t="s">
        <v>933</v>
      </c>
      <c r="C2761" t="s">
        <v>1398</v>
      </c>
      <c r="D2761" t="s">
        <v>1666</v>
      </c>
      <c r="E2761" t="s">
        <v>934</v>
      </c>
      <c r="F2761" t="s">
        <v>1612</v>
      </c>
      <c r="I2761" t="s">
        <v>1077</v>
      </c>
      <c r="K2761">
        <v>1950</v>
      </c>
      <c r="L2761">
        <v>1950</v>
      </c>
      <c r="M2761" t="s">
        <v>228</v>
      </c>
      <c r="N2761" t="s">
        <v>228</v>
      </c>
      <c r="O2761" t="s">
        <v>7990</v>
      </c>
      <c r="P2761" t="s">
        <v>8015</v>
      </c>
      <c r="Q2761" t="str">
        <f>IF($C2761="","",IFERROR(VLOOKUP($C2761,sources!$A$2:$N$200,2,FALSE()),"?"))</f>
        <v>Map</v>
      </c>
      <c r="S2761" t="str">
        <f>IF($C2761="","",IFERROR(VLOOKUP($C2761,sources!$A$2:$N$200,9,FALSE()),"?"))</f>
        <v>US official</v>
      </c>
    </row>
    <row r="2762" spans="1:19" x14ac:dyDescent="0.2">
      <c r="A2762" t="s">
        <v>8025</v>
      </c>
      <c r="B2762" t="s">
        <v>936</v>
      </c>
      <c r="C2762" t="s">
        <v>1398</v>
      </c>
      <c r="D2762" t="s">
        <v>1666</v>
      </c>
      <c r="E2762" t="s">
        <v>937</v>
      </c>
      <c r="F2762" t="s">
        <v>1612</v>
      </c>
      <c r="I2762" t="s">
        <v>1077</v>
      </c>
      <c r="K2762">
        <v>1950</v>
      </c>
      <c r="L2762">
        <v>1950</v>
      </c>
      <c r="M2762" t="s">
        <v>228</v>
      </c>
      <c r="N2762" t="s">
        <v>228</v>
      </c>
      <c r="O2762" t="s">
        <v>7990</v>
      </c>
      <c r="P2762" t="s">
        <v>8015</v>
      </c>
      <c r="Q2762" t="str">
        <f>IF($C2762="","",IFERROR(VLOOKUP($C2762,sources!$A$2:$N$200,2,FALSE()),"?"))</f>
        <v>Map</v>
      </c>
      <c r="S2762" t="str">
        <f>IF($C2762="","",IFERROR(VLOOKUP($C2762,sources!$A$2:$N$200,9,FALSE()),"?"))</f>
        <v>US official</v>
      </c>
    </row>
    <row r="2763" spans="1:19" x14ac:dyDescent="0.2">
      <c r="A2763" t="s">
        <v>8026</v>
      </c>
      <c r="B2763" t="s">
        <v>939</v>
      </c>
      <c r="C2763" t="s">
        <v>1398</v>
      </c>
      <c r="D2763" t="s">
        <v>1666</v>
      </c>
      <c r="E2763" t="s">
        <v>940</v>
      </c>
      <c r="F2763" t="s">
        <v>1612</v>
      </c>
      <c r="I2763" t="s">
        <v>1077</v>
      </c>
      <c r="K2763">
        <v>1950</v>
      </c>
      <c r="L2763">
        <v>1950</v>
      </c>
      <c r="M2763" t="s">
        <v>228</v>
      </c>
      <c r="N2763" t="s">
        <v>228</v>
      </c>
      <c r="O2763" t="s">
        <v>7990</v>
      </c>
      <c r="P2763" t="s">
        <v>8015</v>
      </c>
      <c r="Q2763" t="str">
        <f>IF($C2763="","",IFERROR(VLOOKUP($C2763,sources!$A$2:$N$200,2,FALSE()),"?"))</f>
        <v>Map</v>
      </c>
      <c r="S2763" t="str">
        <f>IF($C2763="","",IFERROR(VLOOKUP($C2763,sources!$A$2:$N$200,9,FALSE()),"?"))</f>
        <v>US official</v>
      </c>
    </row>
    <row r="2764" spans="1:19" x14ac:dyDescent="0.2">
      <c r="A2764" t="s">
        <v>8027</v>
      </c>
      <c r="B2764" t="s">
        <v>943</v>
      </c>
      <c r="C2764" t="s">
        <v>1398</v>
      </c>
      <c r="D2764" t="s">
        <v>1666</v>
      </c>
      <c r="E2764" t="s">
        <v>944</v>
      </c>
      <c r="F2764" t="s">
        <v>1612</v>
      </c>
      <c r="I2764" t="s">
        <v>1077</v>
      </c>
      <c r="K2764">
        <v>1950</v>
      </c>
      <c r="L2764">
        <v>1950</v>
      </c>
      <c r="M2764" t="s">
        <v>228</v>
      </c>
      <c r="N2764" t="s">
        <v>228</v>
      </c>
      <c r="O2764" t="s">
        <v>7990</v>
      </c>
      <c r="P2764" t="s">
        <v>8015</v>
      </c>
      <c r="Q2764" t="str">
        <f>IF($C2764="","",IFERROR(VLOOKUP($C2764,sources!$A$2:$N$200,2,FALSE()),"?"))</f>
        <v>Map</v>
      </c>
      <c r="S2764" t="str">
        <f>IF($C2764="","",IFERROR(VLOOKUP($C2764,sources!$A$2:$N$200,9,FALSE()),"?"))</f>
        <v>US official</v>
      </c>
    </row>
    <row r="2765" spans="1:19" x14ac:dyDescent="0.2">
      <c r="A2765" t="s">
        <v>8028</v>
      </c>
      <c r="B2765" t="s">
        <v>947</v>
      </c>
      <c r="C2765" t="s">
        <v>1398</v>
      </c>
      <c r="D2765" t="s">
        <v>1666</v>
      </c>
      <c r="E2765" t="s">
        <v>948</v>
      </c>
      <c r="F2765" t="s">
        <v>1612</v>
      </c>
      <c r="I2765" t="s">
        <v>1077</v>
      </c>
      <c r="K2765">
        <v>1950</v>
      </c>
      <c r="L2765">
        <v>1950</v>
      </c>
      <c r="M2765" t="s">
        <v>228</v>
      </c>
      <c r="N2765" t="s">
        <v>228</v>
      </c>
      <c r="O2765" t="s">
        <v>7990</v>
      </c>
      <c r="P2765" t="s">
        <v>8029</v>
      </c>
      <c r="Q2765" t="str">
        <f>IF($C2765="","",IFERROR(VLOOKUP($C2765,sources!$A$2:$N$200,2,FALSE()),"?"))</f>
        <v>Map</v>
      </c>
      <c r="S2765" t="str">
        <f>IF($C2765="","",IFERROR(VLOOKUP($C2765,sources!$A$2:$N$200,9,FALSE()),"?"))</f>
        <v>US official</v>
      </c>
    </row>
    <row r="2766" spans="1:19" x14ac:dyDescent="0.2">
      <c r="A2766" t="s">
        <v>8030</v>
      </c>
      <c r="B2766" t="s">
        <v>1045</v>
      </c>
      <c r="C2766" t="s">
        <v>1398</v>
      </c>
      <c r="D2766" t="s">
        <v>1666</v>
      </c>
      <c r="E2766" t="s">
        <v>1046</v>
      </c>
      <c r="F2766" t="s">
        <v>1612</v>
      </c>
      <c r="I2766" t="s">
        <v>1077</v>
      </c>
      <c r="K2766">
        <v>1950</v>
      </c>
      <c r="L2766">
        <v>1950</v>
      </c>
      <c r="M2766" t="s">
        <v>228</v>
      </c>
      <c r="N2766" t="s">
        <v>228</v>
      </c>
      <c r="O2766" t="s">
        <v>7990</v>
      </c>
      <c r="P2766" t="s">
        <v>8031</v>
      </c>
      <c r="Q2766" t="str">
        <f>IF($C2766="","",IFERROR(VLOOKUP($C2766,sources!$A$2:$N$200,2,FALSE()),"?"))</f>
        <v>Map</v>
      </c>
      <c r="S2766" t="str">
        <f>IF($C2766="","",IFERROR(VLOOKUP($C2766,sources!$A$2:$N$200,9,FALSE()),"?"))</f>
        <v>US official</v>
      </c>
    </row>
    <row r="2767" spans="1:19" x14ac:dyDescent="0.2">
      <c r="A2767" t="s">
        <v>8032</v>
      </c>
      <c r="B2767" t="s">
        <v>820</v>
      </c>
      <c r="C2767" t="s">
        <v>1398</v>
      </c>
      <c r="D2767" t="s">
        <v>1666</v>
      </c>
      <c r="E2767" t="s">
        <v>821</v>
      </c>
      <c r="F2767" t="s">
        <v>1612</v>
      </c>
      <c r="I2767" t="s">
        <v>1077</v>
      </c>
      <c r="K2767">
        <v>1950</v>
      </c>
      <c r="L2767">
        <v>1950</v>
      </c>
      <c r="M2767" t="s">
        <v>228</v>
      </c>
      <c r="N2767" t="s">
        <v>228</v>
      </c>
      <c r="O2767" t="s">
        <v>7990</v>
      </c>
      <c r="P2767" t="s">
        <v>8033</v>
      </c>
      <c r="Q2767" t="str">
        <f>IF($C2767="","",IFERROR(VLOOKUP($C2767,sources!$A$2:$N$200,2,FALSE()),"?"))</f>
        <v>Map</v>
      </c>
      <c r="S2767" t="str">
        <f>IF($C2767="","",IFERROR(VLOOKUP($C2767,sources!$A$2:$N$200,9,FALSE()),"?"))</f>
        <v>US official</v>
      </c>
    </row>
    <row r="2768" spans="1:19" x14ac:dyDescent="0.2">
      <c r="A2768" t="s">
        <v>8034</v>
      </c>
      <c r="B2768" t="s">
        <v>434</v>
      </c>
      <c r="C2768" t="s">
        <v>1389</v>
      </c>
      <c r="D2768" t="s">
        <v>1594</v>
      </c>
      <c r="E2768" t="s">
        <v>8035</v>
      </c>
      <c r="F2768" t="s">
        <v>1612</v>
      </c>
      <c r="G2768">
        <v>9.3437140000000003</v>
      </c>
      <c r="H2768">
        <v>-79.902846999999994</v>
      </c>
      <c r="I2768" t="s">
        <v>4813</v>
      </c>
      <c r="J2768">
        <v>200</v>
      </c>
      <c r="K2768">
        <v>1940</v>
      </c>
      <c r="L2768">
        <v>1940</v>
      </c>
      <c r="M2768" t="s">
        <v>222</v>
      </c>
      <c r="N2768" t="s">
        <v>228</v>
      </c>
      <c r="O2768" t="s">
        <v>8036</v>
      </c>
      <c r="P2768" t="s">
        <v>8037</v>
      </c>
      <c r="Q2768" t="str">
        <f>IF($C2768="","",IFERROR(VLOOKUP($C2768,sources!$A$2:$N$200,2,FALSE()),"?"))</f>
        <v>Map</v>
      </c>
      <c r="S2768" t="str">
        <f>IF($C2768="","",IFERROR(VLOOKUP($C2768,sources!$A$2:$N$200,9,FALSE()),"?"))</f>
        <v>US official</v>
      </c>
    </row>
    <row r="2769" spans="1:19" x14ac:dyDescent="0.2">
      <c r="A2769" t="s">
        <v>8038</v>
      </c>
      <c r="B2769" t="s">
        <v>671</v>
      </c>
      <c r="C2769" t="s">
        <v>1315</v>
      </c>
      <c r="D2769" t="s">
        <v>1599</v>
      </c>
      <c r="E2769" t="s">
        <v>8039</v>
      </c>
      <c r="F2769" t="s">
        <v>1612</v>
      </c>
      <c r="I2769" t="s">
        <v>1077</v>
      </c>
      <c r="K2769">
        <v>1907</v>
      </c>
      <c r="L2769">
        <v>1907</v>
      </c>
      <c r="M2769" t="s">
        <v>222</v>
      </c>
      <c r="N2769" t="s">
        <v>222</v>
      </c>
      <c r="O2769" t="s">
        <v>6530</v>
      </c>
      <c r="P2769" t="s">
        <v>8040</v>
      </c>
      <c r="Q2769" t="str">
        <f>IF($C2769="","",IFERROR(VLOOKUP($C2769,sources!$A$2:$N$200,2,FALSE()),"?"))</f>
        <v>Web compilation</v>
      </c>
      <c r="S2769" t="str">
        <f>IF($C2769="","",IFERROR(VLOOKUP($C2769,sources!$A$2:$N$200,9,FALSE()),"?"))</f>
        <v>Mixed</v>
      </c>
    </row>
    <row r="2770" spans="1:19" x14ac:dyDescent="0.2">
      <c r="A2770" t="s">
        <v>8041</v>
      </c>
      <c r="B2770" t="s">
        <v>675</v>
      </c>
      <c r="C2770" t="s">
        <v>1315</v>
      </c>
      <c r="D2770" t="s">
        <v>1599</v>
      </c>
      <c r="E2770" t="s">
        <v>8042</v>
      </c>
      <c r="F2770" t="s">
        <v>1612</v>
      </c>
      <c r="I2770" t="s">
        <v>1077</v>
      </c>
      <c r="K2770">
        <v>1907</v>
      </c>
      <c r="L2770">
        <v>1907</v>
      </c>
      <c r="M2770" t="s">
        <v>222</v>
      </c>
      <c r="N2770" t="s">
        <v>222</v>
      </c>
      <c r="O2770" t="s">
        <v>6530</v>
      </c>
      <c r="P2770" t="s">
        <v>8043</v>
      </c>
      <c r="Q2770" t="str">
        <f>IF($C2770="","",IFERROR(VLOOKUP($C2770,sources!$A$2:$N$200,2,FALSE()),"?"))</f>
        <v>Web compilation</v>
      </c>
      <c r="S2770" t="str">
        <f>IF($C2770="","",IFERROR(VLOOKUP($C2770,sources!$A$2:$N$200,9,FALSE()),"?"))</f>
        <v>Mixed</v>
      </c>
    </row>
    <row r="2771" spans="1:19" x14ac:dyDescent="0.2">
      <c r="A2771" t="s">
        <v>8044</v>
      </c>
      <c r="B2771" t="s">
        <v>679</v>
      </c>
      <c r="C2771" t="s">
        <v>1315</v>
      </c>
      <c r="D2771" t="s">
        <v>1599</v>
      </c>
      <c r="E2771" t="s">
        <v>7707</v>
      </c>
      <c r="F2771" t="s">
        <v>1612</v>
      </c>
      <c r="I2771" t="s">
        <v>1077</v>
      </c>
      <c r="K2771">
        <v>1909</v>
      </c>
      <c r="L2771">
        <v>1909</v>
      </c>
      <c r="M2771" t="s">
        <v>222</v>
      </c>
      <c r="N2771" t="s">
        <v>222</v>
      </c>
      <c r="O2771" t="s">
        <v>6530</v>
      </c>
      <c r="P2771" t="s">
        <v>8045</v>
      </c>
      <c r="Q2771" t="str">
        <f>IF($C2771="","",IFERROR(VLOOKUP($C2771,sources!$A$2:$N$200,2,FALSE()),"?"))</f>
        <v>Web compilation</v>
      </c>
      <c r="S2771" t="str">
        <f>IF($C2771="","",IFERROR(VLOOKUP($C2771,sources!$A$2:$N$200,9,FALSE()),"?"))</f>
        <v>Mixed</v>
      </c>
    </row>
    <row r="2772" spans="1:19" x14ac:dyDescent="0.2">
      <c r="A2772" t="s">
        <v>8046</v>
      </c>
      <c r="B2772" t="s">
        <v>682</v>
      </c>
      <c r="C2772" t="s">
        <v>1315</v>
      </c>
      <c r="D2772" t="s">
        <v>1599</v>
      </c>
      <c r="E2772" t="s">
        <v>8047</v>
      </c>
      <c r="F2772" t="s">
        <v>1612</v>
      </c>
      <c r="I2772" t="s">
        <v>1077</v>
      </c>
      <c r="N2772" t="s">
        <v>228</v>
      </c>
      <c r="O2772" t="s">
        <v>6530</v>
      </c>
      <c r="P2772" t="s">
        <v>8048</v>
      </c>
      <c r="Q2772" t="str">
        <f>IF($C2772="","",IFERROR(VLOOKUP($C2772,sources!$A$2:$N$200,2,FALSE()),"?"))</f>
        <v>Web compilation</v>
      </c>
      <c r="S2772" t="str">
        <f>IF($C2772="","",IFERROR(VLOOKUP($C2772,sources!$A$2:$N$200,9,FALSE()),"?"))</f>
        <v>Mixed</v>
      </c>
    </row>
    <row r="2773" spans="1:19" x14ac:dyDescent="0.2">
      <c r="A2773" t="s">
        <v>8049</v>
      </c>
      <c r="B2773" t="s">
        <v>686</v>
      </c>
      <c r="C2773" t="s">
        <v>1315</v>
      </c>
      <c r="D2773" t="s">
        <v>1599</v>
      </c>
      <c r="E2773" t="s">
        <v>7712</v>
      </c>
      <c r="F2773" t="s">
        <v>1612</v>
      </c>
      <c r="I2773" t="s">
        <v>1077</v>
      </c>
      <c r="K2773">
        <v>1907</v>
      </c>
      <c r="L2773">
        <v>1910</v>
      </c>
      <c r="M2773" t="s">
        <v>222</v>
      </c>
      <c r="N2773" t="s">
        <v>222</v>
      </c>
      <c r="O2773" t="s">
        <v>6530</v>
      </c>
      <c r="P2773" t="s">
        <v>8050</v>
      </c>
      <c r="Q2773" t="str">
        <f>IF($C2773="","",IFERROR(VLOOKUP($C2773,sources!$A$2:$N$200,2,FALSE()),"?"))</f>
        <v>Web compilation</v>
      </c>
      <c r="S2773" t="str">
        <f>IF($C2773="","",IFERROR(VLOOKUP($C2773,sources!$A$2:$N$200,9,FALSE()),"?"))</f>
        <v>Mixed</v>
      </c>
    </row>
    <row r="2774" spans="1:19" x14ac:dyDescent="0.2">
      <c r="A2774" t="s">
        <v>8051</v>
      </c>
      <c r="B2774" t="s">
        <v>689</v>
      </c>
      <c r="C2774" t="s">
        <v>1315</v>
      </c>
      <c r="D2774" t="s">
        <v>1599</v>
      </c>
      <c r="E2774" t="s">
        <v>8052</v>
      </c>
      <c r="F2774" t="s">
        <v>1612</v>
      </c>
      <c r="I2774" t="s">
        <v>1077</v>
      </c>
      <c r="K2774">
        <v>1907</v>
      </c>
      <c r="L2774">
        <v>1907</v>
      </c>
      <c r="M2774" t="s">
        <v>222</v>
      </c>
      <c r="N2774" t="s">
        <v>222</v>
      </c>
      <c r="O2774" t="s">
        <v>6530</v>
      </c>
      <c r="P2774" t="s">
        <v>8053</v>
      </c>
      <c r="Q2774" t="str">
        <f>IF($C2774="","",IFERROR(VLOOKUP($C2774,sources!$A$2:$N$200,2,FALSE()),"?"))</f>
        <v>Web compilation</v>
      </c>
      <c r="S2774" t="str">
        <f>IF($C2774="","",IFERROR(VLOOKUP($C2774,sources!$A$2:$N$200,9,FALSE()),"?"))</f>
        <v>Mixed</v>
      </c>
    </row>
    <row r="2775" spans="1:19" x14ac:dyDescent="0.2">
      <c r="A2775" t="s">
        <v>8054</v>
      </c>
      <c r="B2775" t="s">
        <v>692</v>
      </c>
      <c r="C2775" t="s">
        <v>1315</v>
      </c>
      <c r="D2775" t="s">
        <v>1599</v>
      </c>
      <c r="E2775" t="s">
        <v>4570</v>
      </c>
      <c r="F2775" t="s">
        <v>1612</v>
      </c>
      <c r="I2775" t="s">
        <v>1077</v>
      </c>
      <c r="K2775">
        <v>1905</v>
      </c>
      <c r="L2775">
        <v>1905</v>
      </c>
      <c r="M2775" t="s">
        <v>222</v>
      </c>
      <c r="N2775" t="s">
        <v>222</v>
      </c>
      <c r="O2775" t="s">
        <v>6530</v>
      </c>
      <c r="P2775" t="s">
        <v>8055</v>
      </c>
      <c r="Q2775" t="str">
        <f>IF($C2775="","",IFERROR(VLOOKUP($C2775,sources!$A$2:$N$200,2,FALSE()),"?"))</f>
        <v>Web compilation</v>
      </c>
      <c r="S2775" t="str">
        <f>IF($C2775="","",IFERROR(VLOOKUP($C2775,sources!$A$2:$N$200,9,FALSE()),"?"))</f>
        <v>Mixed</v>
      </c>
    </row>
    <row r="2776" spans="1:19" x14ac:dyDescent="0.2">
      <c r="A2776" t="s">
        <v>8056</v>
      </c>
      <c r="B2776" t="s">
        <v>696</v>
      </c>
      <c r="C2776" t="s">
        <v>1315</v>
      </c>
      <c r="D2776" t="s">
        <v>1599</v>
      </c>
      <c r="E2776" t="s">
        <v>8057</v>
      </c>
      <c r="F2776" t="s">
        <v>1612</v>
      </c>
      <c r="I2776" t="s">
        <v>1077</v>
      </c>
      <c r="K2776">
        <v>1907</v>
      </c>
      <c r="L2776">
        <v>1907</v>
      </c>
      <c r="M2776" t="s">
        <v>222</v>
      </c>
      <c r="N2776" t="s">
        <v>222</v>
      </c>
      <c r="O2776" t="s">
        <v>6530</v>
      </c>
      <c r="P2776" t="s">
        <v>8058</v>
      </c>
      <c r="Q2776" t="str">
        <f>IF($C2776="","",IFERROR(VLOOKUP($C2776,sources!$A$2:$N$200,2,FALSE()),"?"))</f>
        <v>Web compilation</v>
      </c>
      <c r="S2776" t="str">
        <f>IF($C2776="","",IFERROR(VLOOKUP($C2776,sources!$A$2:$N$200,9,FALSE()),"?"))</f>
        <v>Mixed</v>
      </c>
    </row>
    <row r="2777" spans="1:19" x14ac:dyDescent="0.2">
      <c r="A2777" t="s">
        <v>8059</v>
      </c>
      <c r="B2777" t="s">
        <v>699</v>
      </c>
      <c r="C2777" t="s">
        <v>1315</v>
      </c>
      <c r="D2777" t="s">
        <v>1599</v>
      </c>
      <c r="E2777" t="s">
        <v>7724</v>
      </c>
      <c r="F2777" t="s">
        <v>1612</v>
      </c>
      <c r="I2777" t="s">
        <v>1077</v>
      </c>
      <c r="K2777">
        <v>1907</v>
      </c>
      <c r="L2777">
        <v>1907</v>
      </c>
      <c r="M2777" t="s">
        <v>222</v>
      </c>
      <c r="N2777" t="s">
        <v>222</v>
      </c>
      <c r="O2777" t="s">
        <v>6530</v>
      </c>
      <c r="P2777" t="s">
        <v>8060</v>
      </c>
      <c r="Q2777" t="str">
        <f>IF($C2777="","",IFERROR(VLOOKUP($C2777,sources!$A$2:$N$200,2,FALSE()),"?"))</f>
        <v>Web compilation</v>
      </c>
      <c r="S2777" t="str">
        <f>IF($C2777="","",IFERROR(VLOOKUP($C2777,sources!$A$2:$N$200,9,FALSE()),"?"))</f>
        <v>Mixed</v>
      </c>
    </row>
    <row r="2778" spans="1:19" x14ac:dyDescent="0.2">
      <c r="A2778" t="s">
        <v>8061</v>
      </c>
      <c r="B2778" t="s">
        <v>702</v>
      </c>
      <c r="C2778" t="s">
        <v>1315</v>
      </c>
      <c r="D2778" t="s">
        <v>1599</v>
      </c>
      <c r="E2778" t="s">
        <v>4075</v>
      </c>
      <c r="F2778" t="s">
        <v>1612</v>
      </c>
      <c r="I2778" t="s">
        <v>1077</v>
      </c>
      <c r="N2778" t="s">
        <v>228</v>
      </c>
      <c r="O2778" t="s">
        <v>6530</v>
      </c>
      <c r="P2778" t="s">
        <v>8062</v>
      </c>
      <c r="Q2778" t="str">
        <f>IF($C2778="","",IFERROR(VLOOKUP($C2778,sources!$A$2:$N$200,2,FALSE()),"?"))</f>
        <v>Web compilation</v>
      </c>
      <c r="S2778" t="str">
        <f>IF($C2778="","",IFERROR(VLOOKUP($C2778,sources!$A$2:$N$200,9,FALSE()),"?"))</f>
        <v>Mixed</v>
      </c>
    </row>
    <row r="2779" spans="1:19" x14ac:dyDescent="0.2">
      <c r="A2779" t="s">
        <v>8063</v>
      </c>
      <c r="B2779" t="s">
        <v>705</v>
      </c>
      <c r="C2779" t="s">
        <v>1315</v>
      </c>
      <c r="D2779" t="s">
        <v>1599</v>
      </c>
      <c r="E2779" t="s">
        <v>4576</v>
      </c>
      <c r="F2779" t="s">
        <v>1612</v>
      </c>
      <c r="I2779" t="s">
        <v>1077</v>
      </c>
      <c r="K2779">
        <v>1907</v>
      </c>
      <c r="L2779">
        <v>1911</v>
      </c>
      <c r="M2779" t="s">
        <v>222</v>
      </c>
      <c r="N2779" t="s">
        <v>222</v>
      </c>
      <c r="O2779" t="s">
        <v>6530</v>
      </c>
      <c r="P2779" t="s">
        <v>8064</v>
      </c>
      <c r="Q2779" t="str">
        <f>IF($C2779="","",IFERROR(VLOOKUP($C2779,sources!$A$2:$N$200,2,FALSE()),"?"))</f>
        <v>Web compilation</v>
      </c>
      <c r="S2779" t="str">
        <f>IF($C2779="","",IFERROR(VLOOKUP($C2779,sources!$A$2:$N$200,9,FALSE()),"?"))</f>
        <v>Mixed</v>
      </c>
    </row>
    <row r="2780" spans="1:19" x14ac:dyDescent="0.2">
      <c r="A2780" t="s">
        <v>8065</v>
      </c>
      <c r="B2780" t="s">
        <v>708</v>
      </c>
      <c r="C2780" t="s">
        <v>1315</v>
      </c>
      <c r="D2780" t="s">
        <v>1599</v>
      </c>
      <c r="E2780" t="s">
        <v>8066</v>
      </c>
      <c r="F2780" t="s">
        <v>1612</v>
      </c>
      <c r="I2780" t="s">
        <v>1077</v>
      </c>
      <c r="K2780">
        <v>1905</v>
      </c>
      <c r="L2780">
        <v>1905</v>
      </c>
      <c r="M2780" t="s">
        <v>222</v>
      </c>
      <c r="N2780" t="s">
        <v>222</v>
      </c>
      <c r="O2780" t="s">
        <v>6530</v>
      </c>
      <c r="P2780" t="s">
        <v>8067</v>
      </c>
      <c r="Q2780" t="str">
        <f>IF($C2780="","",IFERROR(VLOOKUP($C2780,sources!$A$2:$N$200,2,FALSE()),"?"))</f>
        <v>Web compilation</v>
      </c>
      <c r="S2780" t="str">
        <f>IF($C2780="","",IFERROR(VLOOKUP($C2780,sources!$A$2:$N$200,9,FALSE()),"?"))</f>
        <v>Mixed</v>
      </c>
    </row>
    <row r="2781" spans="1:19" x14ac:dyDescent="0.2">
      <c r="A2781" t="s">
        <v>8068</v>
      </c>
      <c r="B2781" t="s">
        <v>712</v>
      </c>
      <c r="C2781" t="s">
        <v>1315</v>
      </c>
      <c r="D2781" t="s">
        <v>1599</v>
      </c>
      <c r="E2781" t="s">
        <v>8069</v>
      </c>
      <c r="F2781" t="s">
        <v>1612</v>
      </c>
      <c r="I2781" t="s">
        <v>1077</v>
      </c>
      <c r="K2781">
        <v>1907</v>
      </c>
      <c r="L2781">
        <v>1907</v>
      </c>
      <c r="M2781" t="s">
        <v>222</v>
      </c>
      <c r="N2781" t="s">
        <v>222</v>
      </c>
      <c r="O2781" t="s">
        <v>6530</v>
      </c>
      <c r="P2781" t="s">
        <v>8070</v>
      </c>
      <c r="Q2781" t="str">
        <f>IF($C2781="","",IFERROR(VLOOKUP($C2781,sources!$A$2:$N$200,2,FALSE()),"?"))</f>
        <v>Web compilation</v>
      </c>
      <c r="S2781" t="str">
        <f>IF($C2781="","",IFERROR(VLOOKUP($C2781,sources!$A$2:$N$200,9,FALSE()),"?"))</f>
        <v>Mixed</v>
      </c>
    </row>
    <row r="2782" spans="1:19" x14ac:dyDescent="0.2">
      <c r="A2782" t="s">
        <v>8071</v>
      </c>
      <c r="B2782" t="s">
        <v>717</v>
      </c>
      <c r="C2782" t="s">
        <v>1315</v>
      </c>
      <c r="D2782" t="s">
        <v>1599</v>
      </c>
      <c r="E2782" t="s">
        <v>8072</v>
      </c>
      <c r="F2782" t="s">
        <v>1612</v>
      </c>
      <c r="I2782" t="s">
        <v>1077</v>
      </c>
      <c r="K2782">
        <v>1907</v>
      </c>
      <c r="L2782">
        <v>1907</v>
      </c>
      <c r="M2782" t="s">
        <v>222</v>
      </c>
      <c r="N2782" t="s">
        <v>222</v>
      </c>
      <c r="O2782" t="s">
        <v>6530</v>
      </c>
      <c r="P2782" t="s">
        <v>8073</v>
      </c>
      <c r="Q2782" t="str">
        <f>IF($C2782="","",IFERROR(VLOOKUP($C2782,sources!$A$2:$N$200,2,FALSE()),"?"))</f>
        <v>Web compilation</v>
      </c>
      <c r="S2782" t="str">
        <f>IF($C2782="","",IFERROR(VLOOKUP($C2782,sources!$A$2:$N$200,9,FALSE()),"?"))</f>
        <v>Mixed</v>
      </c>
    </row>
    <row r="2783" spans="1:19" x14ac:dyDescent="0.2">
      <c r="A2783" t="s">
        <v>8074</v>
      </c>
      <c r="B2783" t="s">
        <v>720</v>
      </c>
      <c r="C2783" t="s">
        <v>1315</v>
      </c>
      <c r="D2783" t="s">
        <v>1599</v>
      </c>
      <c r="E2783" t="s">
        <v>4090</v>
      </c>
      <c r="F2783" t="s">
        <v>1612</v>
      </c>
      <c r="I2783" t="s">
        <v>1077</v>
      </c>
      <c r="K2783">
        <v>1907</v>
      </c>
      <c r="L2783">
        <v>1909</v>
      </c>
      <c r="M2783" t="s">
        <v>222</v>
      </c>
      <c r="N2783" t="s">
        <v>222</v>
      </c>
      <c r="O2783" t="s">
        <v>6530</v>
      </c>
      <c r="P2783" t="s">
        <v>8075</v>
      </c>
      <c r="Q2783" t="str">
        <f>IF($C2783="","",IFERROR(VLOOKUP($C2783,sources!$A$2:$N$200,2,FALSE()),"?"))</f>
        <v>Web compilation</v>
      </c>
      <c r="S2783" t="str">
        <f>IF($C2783="","",IFERROR(VLOOKUP($C2783,sources!$A$2:$N$200,9,FALSE()),"?"))</f>
        <v>Mixed</v>
      </c>
    </row>
    <row r="2784" spans="1:19" x14ac:dyDescent="0.2">
      <c r="A2784" t="s">
        <v>8076</v>
      </c>
      <c r="B2784" t="s">
        <v>723</v>
      </c>
      <c r="C2784" t="s">
        <v>1315</v>
      </c>
      <c r="D2784" t="s">
        <v>1599</v>
      </c>
      <c r="E2784" t="s">
        <v>4093</v>
      </c>
      <c r="F2784" t="s">
        <v>1612</v>
      </c>
      <c r="I2784" t="s">
        <v>1077</v>
      </c>
      <c r="K2784">
        <v>1906</v>
      </c>
      <c r="L2784">
        <v>1906</v>
      </c>
      <c r="M2784" t="s">
        <v>222</v>
      </c>
      <c r="N2784" t="s">
        <v>222</v>
      </c>
      <c r="O2784" t="s">
        <v>6530</v>
      </c>
      <c r="P2784" t="s">
        <v>8077</v>
      </c>
      <c r="Q2784" t="str">
        <f>IF($C2784="","",IFERROR(VLOOKUP($C2784,sources!$A$2:$N$200,2,FALSE()),"?"))</f>
        <v>Web compilation</v>
      </c>
      <c r="S2784" t="str">
        <f>IF($C2784="","",IFERROR(VLOOKUP($C2784,sources!$A$2:$N$200,9,FALSE()),"?"))</f>
        <v>Mixed</v>
      </c>
    </row>
    <row r="2785" spans="1:19" x14ac:dyDescent="0.2">
      <c r="A2785" t="s">
        <v>8078</v>
      </c>
      <c r="B2785" t="s">
        <v>730</v>
      </c>
      <c r="C2785" t="s">
        <v>1315</v>
      </c>
      <c r="D2785" t="s">
        <v>1599</v>
      </c>
      <c r="E2785" t="s">
        <v>8079</v>
      </c>
      <c r="F2785" t="s">
        <v>1612</v>
      </c>
      <c r="I2785" t="s">
        <v>1077</v>
      </c>
      <c r="K2785">
        <v>1907</v>
      </c>
      <c r="L2785">
        <v>1907</v>
      </c>
      <c r="M2785" t="s">
        <v>222</v>
      </c>
      <c r="N2785" t="s">
        <v>222</v>
      </c>
      <c r="O2785" t="s">
        <v>6530</v>
      </c>
      <c r="P2785" t="s">
        <v>8080</v>
      </c>
      <c r="Q2785" t="str">
        <f>IF($C2785="","",IFERROR(VLOOKUP($C2785,sources!$A$2:$N$200,2,FALSE()),"?"))</f>
        <v>Web compilation</v>
      </c>
      <c r="S2785" t="str">
        <f>IF($C2785="","",IFERROR(VLOOKUP($C2785,sources!$A$2:$N$200,9,FALSE()),"?"))</f>
        <v>Mixed</v>
      </c>
    </row>
    <row r="2786" spans="1:19" x14ac:dyDescent="0.2">
      <c r="A2786" t="s">
        <v>8081</v>
      </c>
      <c r="B2786" t="s">
        <v>733</v>
      </c>
      <c r="C2786" t="s">
        <v>1315</v>
      </c>
      <c r="D2786" t="s">
        <v>1599</v>
      </c>
      <c r="E2786" t="s">
        <v>4593</v>
      </c>
      <c r="F2786" t="s">
        <v>1612</v>
      </c>
      <c r="I2786" t="s">
        <v>1077</v>
      </c>
      <c r="K2786">
        <v>1905</v>
      </c>
      <c r="L2786">
        <v>1905</v>
      </c>
      <c r="M2786" t="s">
        <v>222</v>
      </c>
      <c r="N2786" t="s">
        <v>222</v>
      </c>
      <c r="O2786" t="s">
        <v>6530</v>
      </c>
      <c r="P2786" t="s">
        <v>8082</v>
      </c>
      <c r="Q2786" t="str">
        <f>IF($C2786="","",IFERROR(VLOOKUP($C2786,sources!$A$2:$N$200,2,FALSE()),"?"))</f>
        <v>Web compilation</v>
      </c>
      <c r="S2786" t="str">
        <f>IF($C2786="","",IFERROR(VLOOKUP($C2786,sources!$A$2:$N$200,9,FALSE()),"?"))</f>
        <v>Mixed</v>
      </c>
    </row>
    <row r="2787" spans="1:19" x14ac:dyDescent="0.2">
      <c r="A2787" t="s">
        <v>8083</v>
      </c>
      <c r="B2787" t="s">
        <v>736</v>
      </c>
      <c r="C2787" t="s">
        <v>1315</v>
      </c>
      <c r="D2787" t="s">
        <v>1599</v>
      </c>
      <c r="E2787" t="s">
        <v>4596</v>
      </c>
      <c r="F2787" t="s">
        <v>1612</v>
      </c>
      <c r="I2787" t="s">
        <v>1077</v>
      </c>
      <c r="K2787">
        <v>1907</v>
      </c>
      <c r="L2787">
        <v>1911</v>
      </c>
      <c r="M2787" t="s">
        <v>222</v>
      </c>
      <c r="N2787" t="s">
        <v>222</v>
      </c>
      <c r="O2787" t="s">
        <v>6530</v>
      </c>
      <c r="P2787" t="s">
        <v>8084</v>
      </c>
      <c r="Q2787" t="str">
        <f>IF($C2787="","",IFERROR(VLOOKUP($C2787,sources!$A$2:$N$200,2,FALSE()),"?"))</f>
        <v>Web compilation</v>
      </c>
      <c r="S2787" t="str">
        <f>IF($C2787="","",IFERROR(VLOOKUP($C2787,sources!$A$2:$N$200,9,FALSE()),"?"))</f>
        <v>Mixed</v>
      </c>
    </row>
    <row r="2788" spans="1:19" x14ac:dyDescent="0.2">
      <c r="A2788" t="s">
        <v>8085</v>
      </c>
      <c r="B2788" t="s">
        <v>739</v>
      </c>
      <c r="C2788" t="s">
        <v>1315</v>
      </c>
      <c r="D2788" t="s">
        <v>1599</v>
      </c>
      <c r="E2788" t="s">
        <v>8086</v>
      </c>
      <c r="F2788" t="s">
        <v>1612</v>
      </c>
      <c r="I2788" t="s">
        <v>1077</v>
      </c>
      <c r="K2788">
        <v>1905</v>
      </c>
      <c r="L2788">
        <v>1905</v>
      </c>
      <c r="M2788" t="s">
        <v>222</v>
      </c>
      <c r="N2788" t="s">
        <v>222</v>
      </c>
      <c r="O2788" t="s">
        <v>6530</v>
      </c>
      <c r="P2788" t="s">
        <v>8087</v>
      </c>
      <c r="Q2788" t="str">
        <f>IF($C2788="","",IFERROR(VLOOKUP($C2788,sources!$A$2:$N$200,2,FALSE()),"?"))</f>
        <v>Web compilation</v>
      </c>
      <c r="S2788" t="str">
        <f>IF($C2788="","",IFERROR(VLOOKUP($C2788,sources!$A$2:$N$200,9,FALSE()),"?"))</f>
        <v>Mixed</v>
      </c>
    </row>
    <row r="2789" spans="1:19" x14ac:dyDescent="0.2">
      <c r="A2789" t="s">
        <v>8088</v>
      </c>
      <c r="B2789" t="s">
        <v>742</v>
      </c>
      <c r="C2789" t="s">
        <v>1315</v>
      </c>
      <c r="D2789" t="s">
        <v>1599</v>
      </c>
      <c r="E2789" t="s">
        <v>7754</v>
      </c>
      <c r="F2789" t="s">
        <v>1612</v>
      </c>
      <c r="I2789" t="s">
        <v>1077</v>
      </c>
      <c r="K2789">
        <v>1907</v>
      </c>
      <c r="L2789">
        <v>1914</v>
      </c>
      <c r="M2789" t="s">
        <v>222</v>
      </c>
      <c r="N2789" t="s">
        <v>222</v>
      </c>
      <c r="O2789" t="s">
        <v>6530</v>
      </c>
      <c r="P2789" t="s">
        <v>8089</v>
      </c>
      <c r="Q2789" t="str">
        <f>IF($C2789="","",IFERROR(VLOOKUP($C2789,sources!$A$2:$N$200,2,FALSE()),"?"))</f>
        <v>Web compilation</v>
      </c>
      <c r="S2789" t="str">
        <f>IF($C2789="","",IFERROR(VLOOKUP($C2789,sources!$A$2:$N$200,9,FALSE()),"?"))</f>
        <v>Mixed</v>
      </c>
    </row>
    <row r="2790" spans="1:19" x14ac:dyDescent="0.2">
      <c r="A2790" t="s">
        <v>8090</v>
      </c>
      <c r="B2790" t="s">
        <v>746</v>
      </c>
      <c r="C2790" t="s">
        <v>1315</v>
      </c>
      <c r="D2790" t="s">
        <v>1599</v>
      </c>
      <c r="E2790" t="s">
        <v>4605</v>
      </c>
      <c r="F2790" t="s">
        <v>1612</v>
      </c>
      <c r="I2790" t="s">
        <v>1077</v>
      </c>
      <c r="K2790">
        <v>1911</v>
      </c>
      <c r="L2790">
        <v>1911</v>
      </c>
      <c r="M2790" t="s">
        <v>222</v>
      </c>
      <c r="N2790" t="s">
        <v>222</v>
      </c>
      <c r="O2790" t="s">
        <v>6530</v>
      </c>
      <c r="P2790" t="s">
        <v>8091</v>
      </c>
      <c r="Q2790" t="str">
        <f>IF($C2790="","",IFERROR(VLOOKUP($C2790,sources!$A$2:$N$200,2,FALSE()),"?"))</f>
        <v>Web compilation</v>
      </c>
      <c r="S2790" t="str">
        <f>IF($C2790="","",IFERROR(VLOOKUP($C2790,sources!$A$2:$N$200,9,FALSE()),"?"))</f>
        <v>Mixed</v>
      </c>
    </row>
    <row r="2791" spans="1:19" x14ac:dyDescent="0.2">
      <c r="A2791" t="s">
        <v>8092</v>
      </c>
      <c r="B2791" t="s">
        <v>749</v>
      </c>
      <c r="C2791" t="s">
        <v>1315</v>
      </c>
      <c r="D2791" t="s">
        <v>1599</v>
      </c>
      <c r="E2791" t="s">
        <v>7760</v>
      </c>
      <c r="F2791" t="s">
        <v>1612</v>
      </c>
      <c r="I2791" t="s">
        <v>1077</v>
      </c>
      <c r="K2791">
        <v>1907</v>
      </c>
      <c r="L2791">
        <v>1907</v>
      </c>
      <c r="M2791" t="s">
        <v>222</v>
      </c>
      <c r="N2791" t="s">
        <v>222</v>
      </c>
      <c r="O2791" t="s">
        <v>6530</v>
      </c>
      <c r="P2791" t="s">
        <v>8093</v>
      </c>
      <c r="Q2791" t="str">
        <f>IF($C2791="","",IFERROR(VLOOKUP($C2791,sources!$A$2:$N$200,2,FALSE()),"?"))</f>
        <v>Web compilation</v>
      </c>
      <c r="S2791" t="str">
        <f>IF($C2791="","",IFERROR(VLOOKUP($C2791,sources!$A$2:$N$200,9,FALSE()),"?"))</f>
        <v>Mixed</v>
      </c>
    </row>
    <row r="2792" spans="1:19" x14ac:dyDescent="0.2">
      <c r="A2792" t="s">
        <v>8094</v>
      </c>
      <c r="B2792" t="s">
        <v>752</v>
      </c>
      <c r="C2792" t="s">
        <v>1315</v>
      </c>
      <c r="D2792" t="s">
        <v>1599</v>
      </c>
      <c r="E2792" t="s">
        <v>8095</v>
      </c>
      <c r="F2792" t="s">
        <v>1612</v>
      </c>
      <c r="I2792" t="s">
        <v>1077</v>
      </c>
      <c r="K2792">
        <v>1904</v>
      </c>
      <c r="L2792">
        <v>1905</v>
      </c>
      <c r="M2792" t="s">
        <v>222</v>
      </c>
      <c r="N2792" t="s">
        <v>222</v>
      </c>
      <c r="O2792" t="s">
        <v>6530</v>
      </c>
      <c r="P2792" t="s">
        <v>8096</v>
      </c>
      <c r="Q2792" t="str">
        <f>IF($C2792="","",IFERROR(VLOOKUP($C2792,sources!$A$2:$N$200,2,FALSE()),"?"))</f>
        <v>Web compilation</v>
      </c>
      <c r="S2792" t="str">
        <f>IF($C2792="","",IFERROR(VLOOKUP($C2792,sources!$A$2:$N$200,9,FALSE()),"?"))</f>
        <v>Mixed</v>
      </c>
    </row>
    <row r="2793" spans="1:19" x14ac:dyDescent="0.2">
      <c r="A2793" t="s">
        <v>8097</v>
      </c>
      <c r="B2793" t="s">
        <v>756</v>
      </c>
      <c r="C2793" t="s">
        <v>1315</v>
      </c>
      <c r="D2793" t="s">
        <v>1599</v>
      </c>
      <c r="E2793" t="s">
        <v>8098</v>
      </c>
      <c r="F2793" t="s">
        <v>1612</v>
      </c>
      <c r="I2793" t="s">
        <v>1077</v>
      </c>
      <c r="K2793">
        <v>1909</v>
      </c>
      <c r="L2793">
        <v>1909</v>
      </c>
      <c r="M2793" t="s">
        <v>222</v>
      </c>
      <c r="N2793" t="s">
        <v>222</v>
      </c>
      <c r="O2793" t="s">
        <v>6530</v>
      </c>
      <c r="P2793" t="s">
        <v>8099</v>
      </c>
      <c r="Q2793" t="str">
        <f>IF($C2793="","",IFERROR(VLOOKUP($C2793,sources!$A$2:$N$200,2,FALSE()),"?"))</f>
        <v>Web compilation</v>
      </c>
      <c r="S2793" t="str">
        <f>IF($C2793="","",IFERROR(VLOOKUP($C2793,sources!$A$2:$N$200,9,FALSE()),"?"))</f>
        <v>Mixed</v>
      </c>
    </row>
    <row r="2794" spans="1:19" x14ac:dyDescent="0.2">
      <c r="A2794" t="s">
        <v>8100</v>
      </c>
      <c r="B2794" t="s">
        <v>759</v>
      </c>
      <c r="C2794" t="s">
        <v>1315</v>
      </c>
      <c r="D2794" t="s">
        <v>1599</v>
      </c>
      <c r="E2794" t="s">
        <v>7768</v>
      </c>
      <c r="F2794" t="s">
        <v>1612</v>
      </c>
      <c r="I2794" t="s">
        <v>1077</v>
      </c>
      <c r="K2794">
        <v>1905</v>
      </c>
      <c r="L2794">
        <v>1907</v>
      </c>
      <c r="M2794" t="s">
        <v>222</v>
      </c>
      <c r="N2794" t="s">
        <v>222</v>
      </c>
      <c r="O2794" t="s">
        <v>6530</v>
      </c>
      <c r="P2794" t="s">
        <v>8101</v>
      </c>
      <c r="Q2794" t="str">
        <f>IF($C2794="","",IFERROR(VLOOKUP($C2794,sources!$A$2:$N$200,2,FALSE()),"?"))</f>
        <v>Web compilation</v>
      </c>
      <c r="S2794" t="str">
        <f>IF($C2794="","",IFERROR(VLOOKUP($C2794,sources!$A$2:$N$200,9,FALSE()),"?"))</f>
        <v>Mixed</v>
      </c>
    </row>
    <row r="2795" spans="1:19" x14ac:dyDescent="0.2">
      <c r="A2795" t="s">
        <v>8102</v>
      </c>
      <c r="B2795" t="s">
        <v>762</v>
      </c>
      <c r="C2795" t="s">
        <v>1315</v>
      </c>
      <c r="D2795" t="s">
        <v>1599</v>
      </c>
      <c r="E2795" t="s">
        <v>8103</v>
      </c>
      <c r="F2795" t="s">
        <v>1612</v>
      </c>
      <c r="I2795" t="s">
        <v>1077</v>
      </c>
      <c r="K2795">
        <v>1907</v>
      </c>
      <c r="L2795">
        <v>1907</v>
      </c>
      <c r="M2795" t="s">
        <v>222</v>
      </c>
      <c r="N2795" t="s">
        <v>222</v>
      </c>
      <c r="O2795" t="s">
        <v>6530</v>
      </c>
      <c r="P2795" t="s">
        <v>8104</v>
      </c>
      <c r="Q2795" t="str">
        <f>IF($C2795="","",IFERROR(VLOOKUP($C2795,sources!$A$2:$N$200,2,FALSE()),"?"))</f>
        <v>Web compilation</v>
      </c>
      <c r="S2795" t="str">
        <f>IF($C2795="","",IFERROR(VLOOKUP($C2795,sources!$A$2:$N$200,9,FALSE()),"?"))</f>
        <v>Mixed</v>
      </c>
    </row>
    <row r="2796" spans="1:19" x14ac:dyDescent="0.2">
      <c r="A2796" t="s">
        <v>8105</v>
      </c>
      <c r="B2796" t="s">
        <v>765</v>
      </c>
      <c r="C2796" t="s">
        <v>1315</v>
      </c>
      <c r="D2796" t="s">
        <v>1599</v>
      </c>
      <c r="E2796" t="s">
        <v>8106</v>
      </c>
      <c r="F2796" t="s">
        <v>1612</v>
      </c>
      <c r="I2796" t="s">
        <v>1077</v>
      </c>
      <c r="N2796" t="s">
        <v>222</v>
      </c>
      <c r="O2796" t="s">
        <v>6530</v>
      </c>
      <c r="P2796" t="s">
        <v>8107</v>
      </c>
      <c r="Q2796" t="str">
        <f>IF($C2796="","",IFERROR(VLOOKUP($C2796,sources!$A$2:$N$200,2,FALSE()),"?"))</f>
        <v>Web compilation</v>
      </c>
      <c r="S2796" t="str">
        <f>IF($C2796="","",IFERROR(VLOOKUP($C2796,sources!$A$2:$N$200,9,FALSE()),"?"))</f>
        <v>Mixed</v>
      </c>
    </row>
    <row r="2797" spans="1:19" x14ac:dyDescent="0.2">
      <c r="A2797" t="s">
        <v>8108</v>
      </c>
      <c r="B2797" t="s">
        <v>768</v>
      </c>
      <c r="C2797" t="s">
        <v>1315</v>
      </c>
      <c r="D2797" t="s">
        <v>1599</v>
      </c>
      <c r="E2797" t="s">
        <v>8109</v>
      </c>
      <c r="F2797" t="s">
        <v>1612</v>
      </c>
      <c r="I2797" t="s">
        <v>1077</v>
      </c>
      <c r="K2797">
        <v>1906</v>
      </c>
      <c r="L2797">
        <v>1906</v>
      </c>
      <c r="M2797" t="s">
        <v>222</v>
      </c>
      <c r="N2797" t="s">
        <v>222</v>
      </c>
      <c r="O2797" t="s">
        <v>6530</v>
      </c>
      <c r="P2797" t="s">
        <v>8110</v>
      </c>
      <c r="Q2797" t="str">
        <f>IF($C2797="","",IFERROR(VLOOKUP($C2797,sources!$A$2:$N$200,2,FALSE()),"?"))</f>
        <v>Web compilation</v>
      </c>
      <c r="S2797" t="str">
        <f>IF($C2797="","",IFERROR(VLOOKUP($C2797,sources!$A$2:$N$200,9,FALSE()),"?"))</f>
        <v>Mixed</v>
      </c>
    </row>
    <row r="2798" spans="1:19" x14ac:dyDescent="0.2">
      <c r="A2798" t="s">
        <v>8111</v>
      </c>
      <c r="B2798" t="s">
        <v>771</v>
      </c>
      <c r="C2798" t="s">
        <v>1315</v>
      </c>
      <c r="D2798" t="s">
        <v>1599</v>
      </c>
      <c r="E2798" t="s">
        <v>7779</v>
      </c>
      <c r="F2798" t="s">
        <v>1612</v>
      </c>
      <c r="I2798" t="s">
        <v>1077</v>
      </c>
      <c r="K2798">
        <v>1907</v>
      </c>
      <c r="L2798">
        <v>1907</v>
      </c>
      <c r="M2798" t="s">
        <v>222</v>
      </c>
      <c r="N2798" t="s">
        <v>222</v>
      </c>
      <c r="O2798" t="s">
        <v>6530</v>
      </c>
      <c r="P2798" t="s">
        <v>8112</v>
      </c>
      <c r="Q2798" t="str">
        <f>IF($C2798="","",IFERROR(VLOOKUP($C2798,sources!$A$2:$N$200,2,FALSE()),"?"))</f>
        <v>Web compilation</v>
      </c>
      <c r="S2798" t="str">
        <f>IF($C2798="","",IFERROR(VLOOKUP($C2798,sources!$A$2:$N$200,9,FALSE()),"?"))</f>
        <v>Mixed</v>
      </c>
    </row>
    <row r="2799" spans="1:19" x14ac:dyDescent="0.2">
      <c r="A2799" t="s">
        <v>8113</v>
      </c>
      <c r="B2799" t="s">
        <v>774</v>
      </c>
      <c r="C2799" t="s">
        <v>1315</v>
      </c>
      <c r="D2799" t="s">
        <v>1599</v>
      </c>
      <c r="E2799" t="s">
        <v>7782</v>
      </c>
      <c r="F2799" t="s">
        <v>1612</v>
      </c>
      <c r="I2799" t="s">
        <v>1077</v>
      </c>
      <c r="K2799">
        <v>1907</v>
      </c>
      <c r="L2799">
        <v>1911</v>
      </c>
      <c r="M2799" t="s">
        <v>222</v>
      </c>
      <c r="N2799" t="s">
        <v>222</v>
      </c>
      <c r="O2799" t="s">
        <v>6530</v>
      </c>
      <c r="P2799" t="s">
        <v>8114</v>
      </c>
      <c r="Q2799" t="str">
        <f>IF($C2799="","",IFERROR(VLOOKUP($C2799,sources!$A$2:$N$200,2,FALSE()),"?"))</f>
        <v>Web compilation</v>
      </c>
      <c r="S2799" t="str">
        <f>IF($C2799="","",IFERROR(VLOOKUP($C2799,sources!$A$2:$N$200,9,FALSE()),"?"))</f>
        <v>Mixed</v>
      </c>
    </row>
    <row r="2800" spans="1:19" x14ac:dyDescent="0.2">
      <c r="A2800" t="s">
        <v>8115</v>
      </c>
      <c r="B2800" t="s">
        <v>777</v>
      </c>
      <c r="C2800" t="s">
        <v>1315</v>
      </c>
      <c r="D2800" t="s">
        <v>1599</v>
      </c>
      <c r="E2800" t="s">
        <v>8116</v>
      </c>
      <c r="F2800" t="s">
        <v>1612</v>
      </c>
      <c r="I2800" t="s">
        <v>1077</v>
      </c>
      <c r="K2800">
        <v>1905</v>
      </c>
      <c r="L2800">
        <v>1905</v>
      </c>
      <c r="M2800" t="s">
        <v>222</v>
      </c>
      <c r="N2800" t="s">
        <v>222</v>
      </c>
      <c r="O2800" t="s">
        <v>6530</v>
      </c>
      <c r="P2800" t="s">
        <v>8117</v>
      </c>
      <c r="Q2800" t="str">
        <f>IF($C2800="","",IFERROR(VLOOKUP($C2800,sources!$A$2:$N$200,2,FALSE()),"?"))</f>
        <v>Web compilation</v>
      </c>
      <c r="S2800" t="str">
        <f>IF($C2800="","",IFERROR(VLOOKUP($C2800,sources!$A$2:$N$200,9,FALSE()),"?"))</f>
        <v>Mixed</v>
      </c>
    </row>
    <row r="2801" spans="1:19" x14ac:dyDescent="0.2">
      <c r="A2801" t="s">
        <v>8118</v>
      </c>
      <c r="B2801" t="s">
        <v>795</v>
      </c>
      <c r="C2801" t="s">
        <v>1315</v>
      </c>
      <c r="D2801" t="s">
        <v>1599</v>
      </c>
      <c r="E2801" t="s">
        <v>796</v>
      </c>
      <c r="F2801" t="s">
        <v>1612</v>
      </c>
      <c r="I2801" t="s">
        <v>1077</v>
      </c>
      <c r="K2801">
        <v>1907</v>
      </c>
      <c r="L2801">
        <v>1908</v>
      </c>
      <c r="M2801" t="s">
        <v>222</v>
      </c>
      <c r="N2801" t="s">
        <v>222</v>
      </c>
      <c r="O2801" t="s">
        <v>6530</v>
      </c>
      <c r="P2801" t="s">
        <v>8119</v>
      </c>
      <c r="Q2801" t="str">
        <f>IF($C2801="","",IFERROR(VLOOKUP($C2801,sources!$A$2:$N$200,2,FALSE()),"?"))</f>
        <v>Web compilation</v>
      </c>
      <c r="S2801" t="str">
        <f>IF($C2801="","",IFERROR(VLOOKUP($C2801,sources!$A$2:$N$200,9,FALSE()),"?"))</f>
        <v>Mixed</v>
      </c>
    </row>
    <row r="2802" spans="1:19" x14ac:dyDescent="0.2">
      <c r="A2802" t="s">
        <v>8120</v>
      </c>
      <c r="B2802" t="s">
        <v>802</v>
      </c>
      <c r="C2802" t="s">
        <v>1315</v>
      </c>
      <c r="D2802" t="s">
        <v>1585</v>
      </c>
      <c r="E2802" t="s">
        <v>803</v>
      </c>
      <c r="F2802" t="s">
        <v>1612</v>
      </c>
      <c r="I2802" t="s">
        <v>1077</v>
      </c>
      <c r="K2802">
        <v>1919</v>
      </c>
      <c r="L2802">
        <v>1919</v>
      </c>
      <c r="M2802" t="s">
        <v>222</v>
      </c>
      <c r="N2802" t="s">
        <v>228</v>
      </c>
      <c r="O2802" t="s">
        <v>6530</v>
      </c>
      <c r="P2802" t="s">
        <v>8121</v>
      </c>
      <c r="Q2802" t="str">
        <f>IF($C2802="","",IFERROR(VLOOKUP($C2802,sources!$A$2:$N$200,2,FALSE()),"?"))</f>
        <v>Web compilation</v>
      </c>
      <c r="S2802" t="str">
        <f>IF($C2802="","",IFERROR(VLOOKUP($C2802,sources!$A$2:$N$200,9,FALSE()),"?"))</f>
        <v>Mixed</v>
      </c>
    </row>
    <row r="2803" spans="1:19" x14ac:dyDescent="0.2">
      <c r="A2803" t="s">
        <v>8122</v>
      </c>
      <c r="B2803" t="s">
        <v>805</v>
      </c>
      <c r="C2803" t="s">
        <v>1315</v>
      </c>
      <c r="D2803" t="s">
        <v>1599</v>
      </c>
      <c r="E2803" t="s">
        <v>806</v>
      </c>
      <c r="F2803" t="s">
        <v>1612</v>
      </c>
      <c r="I2803" t="s">
        <v>1077</v>
      </c>
      <c r="K2803">
        <v>1927</v>
      </c>
      <c r="L2803">
        <v>1929</v>
      </c>
      <c r="M2803" t="s">
        <v>222</v>
      </c>
      <c r="N2803" t="s">
        <v>222</v>
      </c>
      <c r="O2803" t="s">
        <v>6530</v>
      </c>
      <c r="P2803" t="s">
        <v>8123</v>
      </c>
      <c r="Q2803" t="str">
        <f>IF($C2803="","",IFERROR(VLOOKUP($C2803,sources!$A$2:$N$200,2,FALSE()),"?"))</f>
        <v>Web compilation</v>
      </c>
      <c r="S2803" t="str">
        <f>IF($C2803="","",IFERROR(VLOOKUP($C2803,sources!$A$2:$N$200,9,FALSE()),"?"))</f>
        <v>Mixed</v>
      </c>
    </row>
    <row r="2804" spans="1:19" x14ac:dyDescent="0.2">
      <c r="A2804" t="s">
        <v>8124</v>
      </c>
      <c r="B2804" t="s">
        <v>810</v>
      </c>
      <c r="C2804" t="s">
        <v>1315</v>
      </c>
      <c r="D2804" t="s">
        <v>1599</v>
      </c>
      <c r="E2804" t="s">
        <v>8125</v>
      </c>
      <c r="F2804" t="s">
        <v>1612</v>
      </c>
      <c r="I2804" t="s">
        <v>1077</v>
      </c>
      <c r="K2804">
        <v>1907</v>
      </c>
      <c r="L2804">
        <v>1907</v>
      </c>
      <c r="M2804" t="s">
        <v>222</v>
      </c>
      <c r="N2804" t="s">
        <v>222</v>
      </c>
      <c r="O2804" t="s">
        <v>6530</v>
      </c>
      <c r="P2804" t="s">
        <v>8126</v>
      </c>
      <c r="Q2804" t="str">
        <f>IF($C2804="","",IFERROR(VLOOKUP($C2804,sources!$A$2:$N$200,2,FALSE()),"?"))</f>
        <v>Web compilation</v>
      </c>
      <c r="S2804" t="str">
        <f>IF($C2804="","",IFERROR(VLOOKUP($C2804,sources!$A$2:$N$200,9,FALSE()),"?"))</f>
        <v>Mixed</v>
      </c>
    </row>
    <row r="2805" spans="1:19" x14ac:dyDescent="0.2">
      <c r="A2805" t="s">
        <v>8127</v>
      </c>
      <c r="B2805" t="s">
        <v>815</v>
      </c>
      <c r="C2805" t="s">
        <v>1315</v>
      </c>
      <c r="D2805" t="s">
        <v>1599</v>
      </c>
      <c r="E2805" t="s">
        <v>6658</v>
      </c>
      <c r="F2805" t="s">
        <v>1612</v>
      </c>
      <c r="I2805" t="s">
        <v>1077</v>
      </c>
      <c r="K2805">
        <v>1907</v>
      </c>
      <c r="L2805">
        <v>1909</v>
      </c>
      <c r="M2805" t="s">
        <v>222</v>
      </c>
      <c r="N2805" t="s">
        <v>222</v>
      </c>
      <c r="O2805" t="s">
        <v>6530</v>
      </c>
      <c r="P2805" t="s">
        <v>8128</v>
      </c>
      <c r="Q2805" t="str">
        <f>IF($C2805="","",IFERROR(VLOOKUP($C2805,sources!$A$2:$N$200,2,FALSE()),"?"))</f>
        <v>Web compilation</v>
      </c>
      <c r="S2805" t="str">
        <f>IF($C2805="","",IFERROR(VLOOKUP($C2805,sources!$A$2:$N$200,9,FALSE()),"?"))</f>
        <v>Mixed</v>
      </c>
    </row>
    <row r="2806" spans="1:19" x14ac:dyDescent="0.2">
      <c r="A2806" t="s">
        <v>8129</v>
      </c>
      <c r="B2806" t="s">
        <v>820</v>
      </c>
      <c r="C2806" t="s">
        <v>1315</v>
      </c>
      <c r="D2806" t="s">
        <v>1599</v>
      </c>
      <c r="E2806" t="s">
        <v>821</v>
      </c>
      <c r="F2806" t="s">
        <v>1612</v>
      </c>
      <c r="I2806" t="s">
        <v>1077</v>
      </c>
      <c r="K2806">
        <v>1905</v>
      </c>
      <c r="L2806">
        <v>1905</v>
      </c>
      <c r="M2806" t="s">
        <v>222</v>
      </c>
      <c r="N2806" t="s">
        <v>222</v>
      </c>
      <c r="O2806" t="s">
        <v>6530</v>
      </c>
      <c r="P2806" t="s">
        <v>8130</v>
      </c>
      <c r="Q2806" t="str">
        <f>IF($C2806="","",IFERROR(VLOOKUP($C2806,sources!$A$2:$N$200,2,FALSE()),"?"))</f>
        <v>Web compilation</v>
      </c>
      <c r="S2806" t="str">
        <f>IF($C2806="","",IFERROR(VLOOKUP($C2806,sources!$A$2:$N$200,9,FALSE()),"?"))</f>
        <v>Mixed</v>
      </c>
    </row>
    <row r="2807" spans="1:19" x14ac:dyDescent="0.2">
      <c r="A2807" t="s">
        <v>8131</v>
      </c>
      <c r="B2807" t="s">
        <v>824</v>
      </c>
      <c r="C2807" t="s">
        <v>1315</v>
      </c>
      <c r="D2807" t="s">
        <v>1599</v>
      </c>
      <c r="E2807" t="s">
        <v>6537</v>
      </c>
      <c r="F2807" t="s">
        <v>1612</v>
      </c>
      <c r="I2807" t="s">
        <v>1077</v>
      </c>
      <c r="K2807">
        <v>1907</v>
      </c>
      <c r="L2807">
        <v>1909</v>
      </c>
      <c r="M2807" t="s">
        <v>222</v>
      </c>
      <c r="N2807" t="s">
        <v>222</v>
      </c>
      <c r="O2807" t="s">
        <v>6530</v>
      </c>
      <c r="P2807" t="s">
        <v>8132</v>
      </c>
      <c r="Q2807" t="str">
        <f>IF($C2807="","",IFERROR(VLOOKUP($C2807,sources!$A$2:$N$200,2,FALSE()),"?"))</f>
        <v>Web compilation</v>
      </c>
      <c r="S2807" t="str">
        <f>IF($C2807="","",IFERROR(VLOOKUP($C2807,sources!$A$2:$N$200,9,FALSE()),"?"))</f>
        <v>Mixed</v>
      </c>
    </row>
    <row r="2808" spans="1:19" x14ac:dyDescent="0.2">
      <c r="A2808" t="s">
        <v>8133</v>
      </c>
      <c r="B2808" t="s">
        <v>827</v>
      </c>
      <c r="C2808" t="s">
        <v>1315</v>
      </c>
      <c r="D2808" t="s">
        <v>1599</v>
      </c>
      <c r="E2808" t="s">
        <v>8134</v>
      </c>
      <c r="F2808" t="s">
        <v>1612</v>
      </c>
      <c r="I2808" t="s">
        <v>1077</v>
      </c>
      <c r="N2808" t="s">
        <v>222</v>
      </c>
      <c r="O2808" t="s">
        <v>6530</v>
      </c>
      <c r="P2808" t="s">
        <v>8135</v>
      </c>
      <c r="Q2808" t="str">
        <f>IF($C2808="","",IFERROR(VLOOKUP($C2808,sources!$A$2:$N$200,2,FALSE()),"?"))</f>
        <v>Web compilation</v>
      </c>
      <c r="S2808" t="str">
        <f>IF($C2808="","",IFERROR(VLOOKUP($C2808,sources!$A$2:$N$200,9,FALSE()),"?"))</f>
        <v>Mixed</v>
      </c>
    </row>
    <row r="2809" spans="1:19" x14ac:dyDescent="0.2">
      <c r="A2809" t="s">
        <v>8136</v>
      </c>
      <c r="B2809" t="s">
        <v>830</v>
      </c>
      <c r="C2809" t="s">
        <v>1315</v>
      </c>
      <c r="D2809" t="s">
        <v>1599</v>
      </c>
      <c r="E2809" t="s">
        <v>8137</v>
      </c>
      <c r="F2809" t="s">
        <v>1612</v>
      </c>
      <c r="I2809" t="s">
        <v>1077</v>
      </c>
      <c r="K2809">
        <v>1911</v>
      </c>
      <c r="L2809">
        <v>1911</v>
      </c>
      <c r="M2809" t="s">
        <v>222</v>
      </c>
      <c r="N2809" t="s">
        <v>222</v>
      </c>
      <c r="O2809" t="s">
        <v>6530</v>
      </c>
      <c r="P2809" t="s">
        <v>8138</v>
      </c>
      <c r="Q2809" t="str">
        <f>IF($C2809="","",IFERROR(VLOOKUP($C2809,sources!$A$2:$N$200,2,FALSE()),"?"))</f>
        <v>Web compilation</v>
      </c>
      <c r="S2809" t="str">
        <f>IF($C2809="","",IFERROR(VLOOKUP($C2809,sources!$A$2:$N$200,9,FALSE()),"?"))</f>
        <v>Mixed</v>
      </c>
    </row>
    <row r="2810" spans="1:19" x14ac:dyDescent="0.2">
      <c r="A2810" t="s">
        <v>8139</v>
      </c>
      <c r="B2810" t="s">
        <v>835</v>
      </c>
      <c r="C2810" t="s">
        <v>1315</v>
      </c>
      <c r="D2810" t="s">
        <v>1599</v>
      </c>
      <c r="E2810" t="s">
        <v>6544</v>
      </c>
      <c r="F2810" t="s">
        <v>1612</v>
      </c>
      <c r="I2810" t="s">
        <v>1077</v>
      </c>
      <c r="K2810">
        <v>1913</v>
      </c>
      <c r="L2810">
        <v>1913</v>
      </c>
      <c r="M2810" t="s">
        <v>222</v>
      </c>
      <c r="N2810" t="s">
        <v>222</v>
      </c>
      <c r="O2810" t="s">
        <v>6530</v>
      </c>
      <c r="P2810" t="s">
        <v>8140</v>
      </c>
      <c r="Q2810" t="str">
        <f>IF($C2810="","",IFERROR(VLOOKUP($C2810,sources!$A$2:$N$200,2,FALSE()),"?"))</f>
        <v>Web compilation</v>
      </c>
      <c r="S2810" t="str">
        <f>IF($C2810="","",IFERROR(VLOOKUP($C2810,sources!$A$2:$N$200,9,FALSE()),"?"))</f>
        <v>Mixed</v>
      </c>
    </row>
    <row r="2811" spans="1:19" x14ac:dyDescent="0.2">
      <c r="A2811" t="s">
        <v>8141</v>
      </c>
      <c r="B2811" t="s">
        <v>838</v>
      </c>
      <c r="C2811" t="s">
        <v>1315</v>
      </c>
      <c r="D2811" t="s">
        <v>1585</v>
      </c>
      <c r="E2811" t="s">
        <v>6547</v>
      </c>
      <c r="F2811" t="s">
        <v>1612</v>
      </c>
      <c r="I2811" t="s">
        <v>1077</v>
      </c>
      <c r="K2811">
        <v>1911</v>
      </c>
      <c r="L2811">
        <v>1913</v>
      </c>
      <c r="M2811" t="s">
        <v>222</v>
      </c>
      <c r="N2811" t="s">
        <v>222</v>
      </c>
      <c r="O2811" t="s">
        <v>6530</v>
      </c>
      <c r="P2811" t="s">
        <v>8142</v>
      </c>
      <c r="Q2811" t="str">
        <f>IF($C2811="","",IFERROR(VLOOKUP($C2811,sources!$A$2:$N$200,2,FALSE()),"?"))</f>
        <v>Web compilation</v>
      </c>
      <c r="S2811" t="str">
        <f>IF($C2811="","",IFERROR(VLOOKUP($C2811,sources!$A$2:$N$200,9,FALSE()),"?"))</f>
        <v>Mixed</v>
      </c>
    </row>
    <row r="2812" spans="1:19" x14ac:dyDescent="0.2">
      <c r="A2812" t="s">
        <v>8143</v>
      </c>
      <c r="B2812" t="s">
        <v>843</v>
      </c>
      <c r="C2812" t="s">
        <v>1315</v>
      </c>
      <c r="D2812" t="s">
        <v>1599</v>
      </c>
      <c r="E2812" t="s">
        <v>844</v>
      </c>
      <c r="F2812" t="s">
        <v>1612</v>
      </c>
      <c r="I2812" t="s">
        <v>1077</v>
      </c>
      <c r="K2812">
        <v>1950</v>
      </c>
      <c r="L2812">
        <v>1950</v>
      </c>
      <c r="M2812" t="s">
        <v>222</v>
      </c>
      <c r="N2812" t="s">
        <v>222</v>
      </c>
      <c r="O2812" t="s">
        <v>6530</v>
      </c>
      <c r="P2812" t="s">
        <v>8144</v>
      </c>
      <c r="Q2812" t="str">
        <f>IF($C2812="","",IFERROR(VLOOKUP($C2812,sources!$A$2:$N$200,2,FALSE()),"?"))</f>
        <v>Web compilation</v>
      </c>
      <c r="S2812" t="str">
        <f>IF($C2812="","",IFERROR(VLOOKUP($C2812,sources!$A$2:$N$200,9,FALSE()),"?"))</f>
        <v>Mixed</v>
      </c>
    </row>
    <row r="2813" spans="1:19" x14ac:dyDescent="0.2">
      <c r="A2813" t="s">
        <v>8145</v>
      </c>
      <c r="B2813" t="s">
        <v>847</v>
      </c>
      <c r="C2813" t="s">
        <v>1315</v>
      </c>
      <c r="D2813" t="s">
        <v>1599</v>
      </c>
      <c r="E2813" t="s">
        <v>848</v>
      </c>
      <c r="F2813" t="s">
        <v>1612</v>
      </c>
      <c r="I2813" t="s">
        <v>1077</v>
      </c>
      <c r="K2813">
        <v>1922</v>
      </c>
      <c r="L2813">
        <v>1934</v>
      </c>
      <c r="M2813" t="s">
        <v>222</v>
      </c>
      <c r="N2813" t="s">
        <v>222</v>
      </c>
      <c r="O2813" t="s">
        <v>6530</v>
      </c>
      <c r="P2813" t="s">
        <v>8146</v>
      </c>
      <c r="Q2813" t="str">
        <f>IF($C2813="","",IFERROR(VLOOKUP($C2813,sources!$A$2:$N$200,2,FALSE()),"?"))</f>
        <v>Web compilation</v>
      </c>
      <c r="S2813" t="str">
        <f>IF($C2813="","",IFERROR(VLOOKUP($C2813,sources!$A$2:$N$200,9,FALSE()),"?"))</f>
        <v>Mixed</v>
      </c>
    </row>
    <row r="2814" spans="1:19" x14ac:dyDescent="0.2">
      <c r="A2814" t="s">
        <v>8147</v>
      </c>
      <c r="B2814" t="s">
        <v>851</v>
      </c>
      <c r="C2814" t="s">
        <v>1315</v>
      </c>
      <c r="D2814" t="s">
        <v>1599</v>
      </c>
      <c r="E2814" t="s">
        <v>852</v>
      </c>
      <c r="F2814" t="s">
        <v>1612</v>
      </c>
      <c r="I2814" t="s">
        <v>1077</v>
      </c>
      <c r="K2814">
        <v>1964</v>
      </c>
      <c r="L2814">
        <v>1964</v>
      </c>
      <c r="M2814" t="s">
        <v>222</v>
      </c>
      <c r="N2814" t="s">
        <v>228</v>
      </c>
      <c r="O2814" t="s">
        <v>6530</v>
      </c>
      <c r="P2814" t="s">
        <v>8148</v>
      </c>
      <c r="Q2814" t="str">
        <f>IF($C2814="","",IFERROR(VLOOKUP($C2814,sources!$A$2:$N$200,2,FALSE()),"?"))</f>
        <v>Web compilation</v>
      </c>
      <c r="S2814" t="str">
        <f>IF($C2814="","",IFERROR(VLOOKUP($C2814,sources!$A$2:$N$200,9,FALSE()),"?"))</f>
        <v>Mixed</v>
      </c>
    </row>
    <row r="2815" spans="1:19" x14ac:dyDescent="0.2">
      <c r="A2815" t="s">
        <v>8149</v>
      </c>
      <c r="B2815" t="s">
        <v>871</v>
      </c>
      <c r="C2815" t="s">
        <v>1315</v>
      </c>
      <c r="D2815" t="s">
        <v>1599</v>
      </c>
      <c r="E2815" t="s">
        <v>873</v>
      </c>
      <c r="F2815" t="s">
        <v>1612</v>
      </c>
      <c r="I2815" t="s">
        <v>1077</v>
      </c>
      <c r="K2815">
        <v>1905</v>
      </c>
      <c r="L2815">
        <v>1906</v>
      </c>
      <c r="M2815" t="s">
        <v>222</v>
      </c>
      <c r="N2815" t="s">
        <v>222</v>
      </c>
      <c r="O2815" t="s">
        <v>6530</v>
      </c>
      <c r="P2815" t="s">
        <v>8150</v>
      </c>
      <c r="Q2815" t="str">
        <f>IF($C2815="","",IFERROR(VLOOKUP($C2815,sources!$A$2:$N$200,2,FALSE()),"?"))</f>
        <v>Web compilation</v>
      </c>
      <c r="S2815" t="str">
        <f>IF($C2815="","",IFERROR(VLOOKUP($C2815,sources!$A$2:$N$200,9,FALSE()),"?"))</f>
        <v>Mixed</v>
      </c>
    </row>
    <row r="2816" spans="1:19" x14ac:dyDescent="0.2">
      <c r="A2816" t="s">
        <v>8151</v>
      </c>
      <c r="B2816" t="s">
        <v>879</v>
      </c>
      <c r="C2816" t="s">
        <v>1315</v>
      </c>
      <c r="D2816" t="s">
        <v>1599</v>
      </c>
      <c r="E2816" t="s">
        <v>4832</v>
      </c>
      <c r="F2816" t="s">
        <v>1612</v>
      </c>
      <c r="I2816" t="s">
        <v>1077</v>
      </c>
      <c r="K2816">
        <v>1909</v>
      </c>
      <c r="L2816">
        <v>1911</v>
      </c>
      <c r="M2816" t="s">
        <v>222</v>
      </c>
      <c r="N2816" t="s">
        <v>222</v>
      </c>
      <c r="O2816" t="s">
        <v>6530</v>
      </c>
      <c r="P2816" t="s">
        <v>8152</v>
      </c>
      <c r="Q2816" t="str">
        <f>IF($C2816="","",IFERROR(VLOOKUP($C2816,sources!$A$2:$N$200,2,FALSE()),"?"))</f>
        <v>Web compilation</v>
      </c>
      <c r="S2816" t="str">
        <f>IF($C2816="","",IFERROR(VLOOKUP($C2816,sources!$A$2:$N$200,9,FALSE()),"?"))</f>
        <v>Mixed</v>
      </c>
    </row>
    <row r="2817" spans="1:19" x14ac:dyDescent="0.2">
      <c r="A2817" t="s">
        <v>8153</v>
      </c>
      <c r="B2817" t="s">
        <v>888</v>
      </c>
      <c r="C2817" t="s">
        <v>1315</v>
      </c>
      <c r="D2817" t="s">
        <v>1599</v>
      </c>
      <c r="E2817" t="s">
        <v>6693</v>
      </c>
      <c r="F2817" t="s">
        <v>1612</v>
      </c>
      <c r="I2817" t="s">
        <v>1077</v>
      </c>
      <c r="K2817">
        <v>1907</v>
      </c>
      <c r="L2817">
        <v>1909</v>
      </c>
      <c r="M2817" t="s">
        <v>222</v>
      </c>
      <c r="N2817" t="s">
        <v>222</v>
      </c>
      <c r="O2817" t="s">
        <v>6530</v>
      </c>
      <c r="P2817" t="s">
        <v>8154</v>
      </c>
      <c r="Q2817" t="str">
        <f>IF($C2817="","",IFERROR(VLOOKUP($C2817,sources!$A$2:$N$200,2,FALSE()),"?"))</f>
        <v>Web compilation</v>
      </c>
      <c r="S2817" t="str">
        <f>IF($C2817="","",IFERROR(VLOOKUP($C2817,sources!$A$2:$N$200,9,FALSE()),"?"))</f>
        <v>Mixed</v>
      </c>
    </row>
    <row r="2818" spans="1:19" x14ac:dyDescent="0.2">
      <c r="A2818" t="s">
        <v>8155</v>
      </c>
      <c r="B2818" t="s">
        <v>892</v>
      </c>
      <c r="C2818" t="s">
        <v>1315</v>
      </c>
      <c r="D2818" t="s">
        <v>1599</v>
      </c>
      <c r="E2818" t="s">
        <v>6644</v>
      </c>
      <c r="F2818" t="s">
        <v>1612</v>
      </c>
      <c r="I2818" t="s">
        <v>1077</v>
      </c>
      <c r="N2818" t="s">
        <v>222</v>
      </c>
      <c r="O2818" t="s">
        <v>6530</v>
      </c>
      <c r="P2818" t="s">
        <v>8156</v>
      </c>
      <c r="Q2818" t="str">
        <f>IF($C2818="","",IFERROR(VLOOKUP($C2818,sources!$A$2:$N$200,2,FALSE()),"?"))</f>
        <v>Web compilation</v>
      </c>
      <c r="S2818" t="str">
        <f>IF($C2818="","",IFERROR(VLOOKUP($C2818,sources!$A$2:$N$200,9,FALSE()),"?"))</f>
        <v>Mixed</v>
      </c>
    </row>
    <row r="2819" spans="1:19" x14ac:dyDescent="0.2">
      <c r="A2819" t="s">
        <v>8157</v>
      </c>
      <c r="B2819" t="s">
        <v>895</v>
      </c>
      <c r="C2819" t="s">
        <v>1315</v>
      </c>
      <c r="D2819" t="s">
        <v>1599</v>
      </c>
      <c r="E2819" t="s">
        <v>6565</v>
      </c>
      <c r="F2819" t="s">
        <v>1612</v>
      </c>
      <c r="I2819" t="s">
        <v>1077</v>
      </c>
      <c r="K2819">
        <v>1907</v>
      </c>
      <c r="L2819">
        <v>1909</v>
      </c>
      <c r="M2819" t="s">
        <v>222</v>
      </c>
      <c r="N2819" t="s">
        <v>222</v>
      </c>
      <c r="O2819" t="s">
        <v>6530</v>
      </c>
      <c r="P2819" t="s">
        <v>8158</v>
      </c>
      <c r="Q2819" t="str">
        <f>IF($C2819="","",IFERROR(VLOOKUP($C2819,sources!$A$2:$N$200,2,FALSE()),"?"))</f>
        <v>Web compilation</v>
      </c>
      <c r="S2819" t="str">
        <f>IF($C2819="","",IFERROR(VLOOKUP($C2819,sources!$A$2:$N$200,9,FALSE()),"?"))</f>
        <v>Mixed</v>
      </c>
    </row>
    <row r="2820" spans="1:19" x14ac:dyDescent="0.2">
      <c r="A2820" t="s">
        <v>8159</v>
      </c>
      <c r="B2820" t="s">
        <v>902</v>
      </c>
      <c r="C2820" t="s">
        <v>1315</v>
      </c>
      <c r="D2820" t="s">
        <v>1599</v>
      </c>
      <c r="E2820" t="s">
        <v>903</v>
      </c>
      <c r="F2820" t="s">
        <v>1612</v>
      </c>
      <c r="I2820" t="s">
        <v>1077</v>
      </c>
      <c r="K2820">
        <v>1940</v>
      </c>
      <c r="L2820">
        <v>1941</v>
      </c>
      <c r="M2820" t="s">
        <v>222</v>
      </c>
      <c r="N2820" t="s">
        <v>222</v>
      </c>
      <c r="O2820" t="s">
        <v>6530</v>
      </c>
      <c r="P2820" t="s">
        <v>8160</v>
      </c>
      <c r="Q2820" t="str">
        <f>IF($C2820="","",IFERROR(VLOOKUP($C2820,sources!$A$2:$N$200,2,FALSE()),"?"))</f>
        <v>Web compilation</v>
      </c>
      <c r="S2820" t="str">
        <f>IF($C2820="","",IFERROR(VLOOKUP($C2820,sources!$A$2:$N$200,9,FALSE()),"?"))</f>
        <v>Mixed</v>
      </c>
    </row>
    <row r="2821" spans="1:19" x14ac:dyDescent="0.2">
      <c r="A2821" t="s">
        <v>8161</v>
      </c>
      <c r="B2821" t="s">
        <v>907</v>
      </c>
      <c r="C2821" t="s">
        <v>1315</v>
      </c>
      <c r="D2821" t="s">
        <v>1599</v>
      </c>
      <c r="E2821" t="s">
        <v>6568</v>
      </c>
      <c r="F2821" t="s">
        <v>1612</v>
      </c>
      <c r="I2821" t="s">
        <v>1077</v>
      </c>
      <c r="K2821">
        <v>1913</v>
      </c>
      <c r="L2821">
        <v>1913</v>
      </c>
      <c r="M2821" t="s">
        <v>222</v>
      </c>
      <c r="N2821" t="s">
        <v>222</v>
      </c>
      <c r="O2821" t="s">
        <v>6530</v>
      </c>
      <c r="P2821" t="s">
        <v>8162</v>
      </c>
      <c r="Q2821" t="str">
        <f>IF($C2821="","",IFERROR(VLOOKUP($C2821,sources!$A$2:$N$200,2,FALSE()),"?"))</f>
        <v>Web compilation</v>
      </c>
      <c r="S2821" t="str">
        <f>IF($C2821="","",IFERROR(VLOOKUP($C2821,sources!$A$2:$N$200,9,FALSE()),"?"))</f>
        <v>Mixed</v>
      </c>
    </row>
    <row r="2822" spans="1:19" x14ac:dyDescent="0.2">
      <c r="A2822" t="s">
        <v>8163</v>
      </c>
      <c r="B2822" t="s">
        <v>915</v>
      </c>
      <c r="C2822" t="s">
        <v>1315</v>
      </c>
      <c r="D2822" t="s">
        <v>1599</v>
      </c>
      <c r="E2822" t="s">
        <v>628</v>
      </c>
      <c r="F2822" t="s">
        <v>1612</v>
      </c>
      <c r="I2822" t="s">
        <v>1077</v>
      </c>
      <c r="N2822" t="s">
        <v>222</v>
      </c>
      <c r="O2822" t="s">
        <v>6530</v>
      </c>
      <c r="P2822" t="s">
        <v>8164</v>
      </c>
      <c r="Q2822" t="str">
        <f>IF($C2822="","",IFERROR(VLOOKUP($C2822,sources!$A$2:$N$200,2,FALSE()),"?"))</f>
        <v>Web compilation</v>
      </c>
      <c r="S2822" t="str">
        <f>IF($C2822="","",IFERROR(VLOOKUP($C2822,sources!$A$2:$N$200,9,FALSE()),"?"))</f>
        <v>Mixed</v>
      </c>
    </row>
    <row r="2823" spans="1:19" x14ac:dyDescent="0.2">
      <c r="A2823" t="s">
        <v>8165</v>
      </c>
      <c r="B2823" t="s">
        <v>918</v>
      </c>
      <c r="C2823" t="s">
        <v>1315</v>
      </c>
      <c r="D2823" t="s">
        <v>1599</v>
      </c>
      <c r="E2823" t="s">
        <v>6575</v>
      </c>
      <c r="F2823" t="s">
        <v>1612</v>
      </c>
      <c r="I2823" t="s">
        <v>1077</v>
      </c>
      <c r="K2823">
        <v>1912</v>
      </c>
      <c r="L2823">
        <v>1913</v>
      </c>
      <c r="M2823" t="s">
        <v>222</v>
      </c>
      <c r="N2823" t="s">
        <v>222</v>
      </c>
      <c r="O2823" t="s">
        <v>6530</v>
      </c>
      <c r="P2823" t="s">
        <v>8166</v>
      </c>
      <c r="Q2823" t="str">
        <f>IF($C2823="","",IFERROR(VLOOKUP($C2823,sources!$A$2:$N$200,2,FALSE()),"?"))</f>
        <v>Web compilation</v>
      </c>
      <c r="S2823" t="str">
        <f>IF($C2823="","",IFERROR(VLOOKUP($C2823,sources!$A$2:$N$200,9,FALSE()),"?"))</f>
        <v>Mixed</v>
      </c>
    </row>
    <row r="2824" spans="1:19" x14ac:dyDescent="0.2">
      <c r="A2824" t="s">
        <v>8167</v>
      </c>
      <c r="B2824" t="s">
        <v>921</v>
      </c>
      <c r="C2824" t="s">
        <v>1315</v>
      </c>
      <c r="D2824" t="s">
        <v>1599</v>
      </c>
      <c r="E2824" t="s">
        <v>922</v>
      </c>
      <c r="F2824" t="s">
        <v>1612</v>
      </c>
      <c r="I2824" t="s">
        <v>1077</v>
      </c>
      <c r="N2824" t="s">
        <v>222</v>
      </c>
      <c r="O2824" t="s">
        <v>6530</v>
      </c>
      <c r="P2824" t="s">
        <v>8168</v>
      </c>
      <c r="Q2824" t="str">
        <f>IF($C2824="","",IFERROR(VLOOKUP($C2824,sources!$A$2:$N$200,2,FALSE()),"?"))</f>
        <v>Web compilation</v>
      </c>
      <c r="S2824" t="str">
        <f>IF($C2824="","",IFERROR(VLOOKUP($C2824,sources!$A$2:$N$200,9,FALSE()),"?"))</f>
        <v>Mixed</v>
      </c>
    </row>
    <row r="2825" spans="1:19" x14ac:dyDescent="0.2">
      <c r="A2825" t="s">
        <v>8169</v>
      </c>
      <c r="B2825" t="s">
        <v>951</v>
      </c>
      <c r="C2825" t="s">
        <v>1315</v>
      </c>
      <c r="D2825" t="s">
        <v>1599</v>
      </c>
      <c r="E2825" t="s">
        <v>953</v>
      </c>
      <c r="F2825" t="s">
        <v>1612</v>
      </c>
      <c r="I2825" t="s">
        <v>1077</v>
      </c>
      <c r="K2825">
        <v>1908</v>
      </c>
      <c r="L2825">
        <v>1908</v>
      </c>
      <c r="M2825" t="s">
        <v>222</v>
      </c>
      <c r="N2825" t="s">
        <v>228</v>
      </c>
      <c r="O2825" t="s">
        <v>6530</v>
      </c>
      <c r="P2825" t="s">
        <v>8170</v>
      </c>
      <c r="Q2825" t="str">
        <f>IF($C2825="","",IFERROR(VLOOKUP($C2825,sources!$A$2:$N$200,2,FALSE()),"?"))</f>
        <v>Web compilation</v>
      </c>
      <c r="S2825" t="str">
        <f>IF($C2825="","",IFERROR(VLOOKUP($C2825,sources!$A$2:$N$200,9,FALSE()),"?"))</f>
        <v>Mixed</v>
      </c>
    </row>
    <row r="2826" spans="1:19" x14ac:dyDescent="0.2">
      <c r="A2826" t="s">
        <v>8171</v>
      </c>
      <c r="B2826" t="s">
        <v>957</v>
      </c>
      <c r="C2826" t="s">
        <v>1315</v>
      </c>
      <c r="D2826" t="s">
        <v>1599</v>
      </c>
      <c r="E2826" t="s">
        <v>958</v>
      </c>
      <c r="F2826" t="s">
        <v>1612</v>
      </c>
      <c r="I2826" t="s">
        <v>1077</v>
      </c>
      <c r="K2826">
        <v>1907</v>
      </c>
      <c r="L2826">
        <v>1907</v>
      </c>
      <c r="M2826" t="s">
        <v>222</v>
      </c>
      <c r="N2826" t="s">
        <v>222</v>
      </c>
      <c r="O2826" t="s">
        <v>6530</v>
      </c>
      <c r="P2826" t="s">
        <v>8172</v>
      </c>
      <c r="Q2826" t="str">
        <f>IF($C2826="","",IFERROR(VLOOKUP($C2826,sources!$A$2:$N$200,2,FALSE()),"?"))</f>
        <v>Web compilation</v>
      </c>
      <c r="S2826" t="str">
        <f>IF($C2826="","",IFERROR(VLOOKUP($C2826,sources!$A$2:$N$200,9,FALSE()),"?"))</f>
        <v>Mixed</v>
      </c>
    </row>
    <row r="2827" spans="1:19" x14ac:dyDescent="0.2">
      <c r="A2827" t="s">
        <v>8173</v>
      </c>
      <c r="B2827" t="s">
        <v>962</v>
      </c>
      <c r="C2827" t="s">
        <v>1315</v>
      </c>
      <c r="D2827" t="s">
        <v>1599</v>
      </c>
      <c r="E2827" t="s">
        <v>6160</v>
      </c>
      <c r="F2827" t="s">
        <v>1612</v>
      </c>
      <c r="I2827" t="s">
        <v>1077</v>
      </c>
      <c r="K2827">
        <v>1913</v>
      </c>
      <c r="L2827">
        <v>1914</v>
      </c>
      <c r="M2827" t="s">
        <v>222</v>
      </c>
      <c r="N2827" t="s">
        <v>222</v>
      </c>
      <c r="O2827" t="s">
        <v>6530</v>
      </c>
      <c r="P2827" t="s">
        <v>8174</v>
      </c>
      <c r="Q2827" t="str">
        <f>IF($C2827="","",IFERROR(VLOOKUP($C2827,sources!$A$2:$N$200,2,FALSE()),"?"))</f>
        <v>Web compilation</v>
      </c>
      <c r="S2827" t="str">
        <f>IF($C2827="","",IFERROR(VLOOKUP($C2827,sources!$A$2:$N$200,9,FALSE()),"?"))</f>
        <v>Mixed</v>
      </c>
    </row>
    <row r="2828" spans="1:19" x14ac:dyDescent="0.2">
      <c r="A2828" t="s">
        <v>8175</v>
      </c>
      <c r="B2828" t="s">
        <v>966</v>
      </c>
      <c r="C2828" t="s">
        <v>1315</v>
      </c>
      <c r="D2828" t="s">
        <v>1599</v>
      </c>
      <c r="E2828" t="s">
        <v>8176</v>
      </c>
      <c r="F2828" t="s">
        <v>1612</v>
      </c>
      <c r="I2828" t="s">
        <v>1077</v>
      </c>
      <c r="N2828" t="s">
        <v>222</v>
      </c>
      <c r="O2828" t="s">
        <v>6530</v>
      </c>
      <c r="P2828" t="s">
        <v>8177</v>
      </c>
      <c r="Q2828" t="str">
        <f>IF($C2828="","",IFERROR(VLOOKUP($C2828,sources!$A$2:$N$200,2,FALSE()),"?"))</f>
        <v>Web compilation</v>
      </c>
      <c r="S2828" t="str">
        <f>IF($C2828="","",IFERROR(VLOOKUP($C2828,sources!$A$2:$N$200,9,FALSE()),"?"))</f>
        <v>Mixed</v>
      </c>
    </row>
    <row r="2829" spans="1:19" x14ac:dyDescent="0.2">
      <c r="A2829" t="s">
        <v>8178</v>
      </c>
      <c r="B2829" t="s">
        <v>955</v>
      </c>
      <c r="C2829" t="s">
        <v>1315</v>
      </c>
      <c r="D2829" t="s">
        <v>1599</v>
      </c>
      <c r="E2829" t="s">
        <v>6737</v>
      </c>
      <c r="F2829" t="s">
        <v>1612</v>
      </c>
      <c r="I2829" t="s">
        <v>1077</v>
      </c>
      <c r="K2829">
        <v>1911</v>
      </c>
      <c r="L2829">
        <v>1913</v>
      </c>
      <c r="M2829" t="s">
        <v>222</v>
      </c>
      <c r="N2829" t="s">
        <v>222</v>
      </c>
      <c r="O2829" t="s">
        <v>6530</v>
      </c>
      <c r="P2829" t="s">
        <v>8179</v>
      </c>
      <c r="Q2829" t="str">
        <f>IF($C2829="","",IFERROR(VLOOKUP($C2829,sources!$A$2:$N$200,2,FALSE()),"?"))</f>
        <v>Web compilation</v>
      </c>
      <c r="S2829" t="str">
        <f>IF($C2829="","",IFERROR(VLOOKUP($C2829,sources!$A$2:$N$200,9,FALSE()),"?"))</f>
        <v>Mixed</v>
      </c>
    </row>
    <row r="2830" spans="1:19" x14ac:dyDescent="0.2">
      <c r="A2830" t="s">
        <v>8180</v>
      </c>
      <c r="B2830" t="s">
        <v>978</v>
      </c>
      <c r="C2830" t="s">
        <v>1315</v>
      </c>
      <c r="D2830" t="s">
        <v>1599</v>
      </c>
      <c r="E2830" t="s">
        <v>8181</v>
      </c>
      <c r="F2830" t="s">
        <v>1612</v>
      </c>
      <c r="I2830" t="s">
        <v>1077</v>
      </c>
      <c r="K2830">
        <v>1906</v>
      </c>
      <c r="L2830">
        <v>1906</v>
      </c>
      <c r="M2830" t="s">
        <v>222</v>
      </c>
      <c r="N2830" t="s">
        <v>222</v>
      </c>
      <c r="O2830" t="s">
        <v>6530</v>
      </c>
      <c r="P2830" t="s">
        <v>8182</v>
      </c>
      <c r="Q2830" t="str">
        <f>IF($C2830="","",IFERROR(VLOOKUP($C2830,sources!$A$2:$N$200,2,FALSE()),"?"))</f>
        <v>Web compilation</v>
      </c>
      <c r="S2830" t="str">
        <f>IF($C2830="","",IFERROR(VLOOKUP($C2830,sources!$A$2:$N$200,9,FALSE()),"?"))</f>
        <v>Mixed</v>
      </c>
    </row>
    <row r="2831" spans="1:19" x14ac:dyDescent="0.2">
      <c r="A2831" t="s">
        <v>8183</v>
      </c>
      <c r="B2831" t="s">
        <v>990</v>
      </c>
      <c r="C2831" t="s">
        <v>1315</v>
      </c>
      <c r="D2831" t="s">
        <v>1599</v>
      </c>
      <c r="E2831" t="s">
        <v>8184</v>
      </c>
      <c r="F2831" t="s">
        <v>1612</v>
      </c>
      <c r="I2831" t="s">
        <v>1077</v>
      </c>
      <c r="K2831">
        <v>1905</v>
      </c>
      <c r="L2831">
        <v>1905</v>
      </c>
      <c r="M2831" t="s">
        <v>222</v>
      </c>
      <c r="N2831" t="s">
        <v>222</v>
      </c>
      <c r="O2831" t="s">
        <v>6530</v>
      </c>
      <c r="P2831" t="s">
        <v>8185</v>
      </c>
      <c r="Q2831" t="str">
        <f>IF($C2831="","",IFERROR(VLOOKUP($C2831,sources!$A$2:$N$200,2,FALSE()),"?"))</f>
        <v>Web compilation</v>
      </c>
      <c r="S2831" t="str">
        <f>IF($C2831="","",IFERROR(VLOOKUP($C2831,sources!$A$2:$N$200,9,FALSE()),"?"))</f>
        <v>Mixed</v>
      </c>
    </row>
    <row r="2832" spans="1:19" x14ac:dyDescent="0.2">
      <c r="A2832" t="s">
        <v>8186</v>
      </c>
      <c r="B2832" t="s">
        <v>993</v>
      </c>
      <c r="C2832" t="s">
        <v>1315</v>
      </c>
      <c r="D2832" t="s">
        <v>1599</v>
      </c>
      <c r="E2832" t="s">
        <v>6622</v>
      </c>
      <c r="F2832" t="s">
        <v>1612</v>
      </c>
      <c r="I2832" t="s">
        <v>1077</v>
      </c>
      <c r="K2832">
        <v>1907</v>
      </c>
      <c r="L2832">
        <v>1911</v>
      </c>
      <c r="M2832" t="s">
        <v>222</v>
      </c>
      <c r="N2832" t="s">
        <v>222</v>
      </c>
      <c r="O2832" t="s">
        <v>6530</v>
      </c>
      <c r="P2832" t="s">
        <v>8187</v>
      </c>
      <c r="Q2832" t="str">
        <f>IF($C2832="","",IFERROR(VLOOKUP($C2832,sources!$A$2:$N$200,2,FALSE()),"?"))</f>
        <v>Web compilation</v>
      </c>
      <c r="S2832" t="str">
        <f>IF($C2832="","",IFERROR(VLOOKUP($C2832,sources!$A$2:$N$200,9,FALSE()),"?"))</f>
        <v>Mixed</v>
      </c>
    </row>
    <row r="2833" spans="1:19" x14ac:dyDescent="0.2">
      <c r="A2833" t="s">
        <v>8188</v>
      </c>
      <c r="B2833" t="s">
        <v>1002</v>
      </c>
      <c r="C2833" t="s">
        <v>1315</v>
      </c>
      <c r="D2833" t="s">
        <v>1599</v>
      </c>
      <c r="E2833" t="s">
        <v>1004</v>
      </c>
      <c r="F2833" t="s">
        <v>1612</v>
      </c>
      <c r="I2833" t="s">
        <v>1077</v>
      </c>
      <c r="K2833">
        <v>1909</v>
      </c>
      <c r="L2833">
        <v>1911</v>
      </c>
      <c r="M2833" t="s">
        <v>222</v>
      </c>
      <c r="N2833" t="s">
        <v>222</v>
      </c>
      <c r="O2833" t="s">
        <v>6530</v>
      </c>
      <c r="P2833" t="s">
        <v>8189</v>
      </c>
      <c r="Q2833" t="str">
        <f>IF($C2833="","",IFERROR(VLOOKUP($C2833,sources!$A$2:$N$200,2,FALSE()),"?"))</f>
        <v>Web compilation</v>
      </c>
      <c r="S2833" t="str">
        <f>IF($C2833="","",IFERROR(VLOOKUP($C2833,sources!$A$2:$N$200,9,FALSE()),"?"))</f>
        <v>Mixed</v>
      </c>
    </row>
    <row r="2834" spans="1:19" x14ac:dyDescent="0.2">
      <c r="A2834" t="s">
        <v>8190</v>
      </c>
      <c r="B2834" t="s">
        <v>1013</v>
      </c>
      <c r="C2834" t="s">
        <v>1315</v>
      </c>
      <c r="D2834" t="s">
        <v>1599</v>
      </c>
      <c r="E2834" t="s">
        <v>1014</v>
      </c>
      <c r="F2834" t="s">
        <v>1612</v>
      </c>
      <c r="I2834" t="s">
        <v>1077</v>
      </c>
      <c r="K2834">
        <v>1907</v>
      </c>
      <c r="L2834">
        <v>1907</v>
      </c>
      <c r="M2834" t="s">
        <v>222</v>
      </c>
      <c r="N2834" t="s">
        <v>222</v>
      </c>
      <c r="O2834" t="s">
        <v>6530</v>
      </c>
      <c r="P2834" t="s">
        <v>8191</v>
      </c>
      <c r="Q2834" t="str">
        <f>IF($C2834="","",IFERROR(VLOOKUP($C2834,sources!$A$2:$N$200,2,FALSE()),"?"))</f>
        <v>Web compilation</v>
      </c>
      <c r="S2834" t="str">
        <f>IF($C2834="","",IFERROR(VLOOKUP($C2834,sources!$A$2:$N$200,9,FALSE()),"?"))</f>
        <v>Mixed</v>
      </c>
    </row>
    <row r="2835" spans="1:19" x14ac:dyDescent="0.2">
      <c r="A2835" t="s">
        <v>8192</v>
      </c>
      <c r="B2835" t="s">
        <v>1016</v>
      </c>
      <c r="C2835" t="s">
        <v>1315</v>
      </c>
      <c r="D2835" t="s">
        <v>1599</v>
      </c>
      <c r="E2835" t="s">
        <v>8193</v>
      </c>
      <c r="F2835" t="s">
        <v>1612</v>
      </c>
      <c r="I2835" t="s">
        <v>1077</v>
      </c>
      <c r="K2835">
        <v>1905</v>
      </c>
      <c r="L2835">
        <v>1905</v>
      </c>
      <c r="M2835" t="s">
        <v>222</v>
      </c>
      <c r="N2835" t="s">
        <v>222</v>
      </c>
      <c r="O2835" t="s">
        <v>6530</v>
      </c>
      <c r="P2835" t="s">
        <v>8194</v>
      </c>
      <c r="Q2835" t="str">
        <f>IF($C2835="","",IFERROR(VLOOKUP($C2835,sources!$A$2:$N$200,2,FALSE()),"?"))</f>
        <v>Web compilation</v>
      </c>
      <c r="S2835" t="str">
        <f>IF($C2835="","",IFERROR(VLOOKUP($C2835,sources!$A$2:$N$200,9,FALSE()),"?"))</f>
        <v>Mixed</v>
      </c>
    </row>
    <row r="2836" spans="1:19" x14ac:dyDescent="0.2">
      <c r="A2836" t="s">
        <v>8195</v>
      </c>
      <c r="B2836" t="s">
        <v>1021</v>
      </c>
      <c r="C2836" t="s">
        <v>1315</v>
      </c>
      <c r="D2836" t="s">
        <v>1599</v>
      </c>
      <c r="E2836" t="s">
        <v>1022</v>
      </c>
      <c r="F2836" t="s">
        <v>1612</v>
      </c>
      <c r="I2836" t="s">
        <v>1077</v>
      </c>
      <c r="K2836">
        <v>1911</v>
      </c>
      <c r="L2836">
        <v>1911</v>
      </c>
      <c r="M2836" t="s">
        <v>222</v>
      </c>
      <c r="N2836" t="s">
        <v>222</v>
      </c>
      <c r="O2836" t="s">
        <v>6530</v>
      </c>
      <c r="P2836" t="s">
        <v>8196</v>
      </c>
      <c r="Q2836" t="str">
        <f>IF($C2836="","",IFERROR(VLOOKUP($C2836,sources!$A$2:$N$200,2,FALSE()),"?"))</f>
        <v>Web compilation</v>
      </c>
      <c r="S2836" t="str">
        <f>IF($C2836="","",IFERROR(VLOOKUP($C2836,sources!$A$2:$N$200,9,FALSE()),"?"))</f>
        <v>Mixed</v>
      </c>
    </row>
    <row r="2837" spans="1:19" x14ac:dyDescent="0.2">
      <c r="A2837" t="s">
        <v>8197</v>
      </c>
      <c r="B2837" t="s">
        <v>780</v>
      </c>
      <c r="C2837" t="s">
        <v>1315</v>
      </c>
      <c r="D2837" t="s">
        <v>1599</v>
      </c>
      <c r="E2837" t="s">
        <v>4147</v>
      </c>
      <c r="F2837" t="s">
        <v>1612</v>
      </c>
      <c r="I2837" t="s">
        <v>1077</v>
      </c>
      <c r="K2837">
        <v>1906</v>
      </c>
      <c r="L2837">
        <v>1906</v>
      </c>
      <c r="M2837" t="s">
        <v>222</v>
      </c>
      <c r="N2837" t="s">
        <v>222</v>
      </c>
      <c r="O2837" t="s">
        <v>6530</v>
      </c>
      <c r="P2837" t="s">
        <v>8198</v>
      </c>
      <c r="Q2837" t="str">
        <f>IF($C2837="","",IFERROR(VLOOKUP($C2837,sources!$A$2:$N$200,2,FALSE()),"?"))</f>
        <v>Web compilation</v>
      </c>
      <c r="S2837" t="str">
        <f>IF($C2837="","",IFERROR(VLOOKUP($C2837,sources!$A$2:$N$200,9,FALSE()),"?"))</f>
        <v>Mixed</v>
      </c>
    </row>
    <row r="2838" spans="1:19" x14ac:dyDescent="0.2">
      <c r="A2838" t="s">
        <v>8199</v>
      </c>
      <c r="B2838" t="s">
        <v>783</v>
      </c>
      <c r="C2838" t="s">
        <v>1315</v>
      </c>
      <c r="D2838" t="s">
        <v>1599</v>
      </c>
      <c r="E2838" t="s">
        <v>8200</v>
      </c>
      <c r="F2838" t="s">
        <v>1612</v>
      </c>
      <c r="I2838" t="s">
        <v>1077</v>
      </c>
      <c r="K2838">
        <v>1913</v>
      </c>
      <c r="L2838">
        <v>1913</v>
      </c>
      <c r="M2838" t="s">
        <v>222</v>
      </c>
      <c r="N2838" t="s">
        <v>209</v>
      </c>
      <c r="O2838" t="s">
        <v>6530</v>
      </c>
      <c r="P2838" t="s">
        <v>8201</v>
      </c>
      <c r="Q2838" t="str">
        <f>IF($C2838="","",IFERROR(VLOOKUP($C2838,sources!$A$2:$N$200,2,FALSE()),"?"))</f>
        <v>Web compilation</v>
      </c>
      <c r="S2838" t="str">
        <f>IF($C2838="","",IFERROR(VLOOKUP($C2838,sources!$A$2:$N$200,9,FALSE()),"?"))</f>
        <v>Mixed</v>
      </c>
    </row>
    <row r="2839" spans="1:19" x14ac:dyDescent="0.2">
      <c r="A2839" t="s">
        <v>8202</v>
      </c>
      <c r="B2839" t="s">
        <v>786</v>
      </c>
      <c r="C2839" t="s">
        <v>1315</v>
      </c>
      <c r="D2839" t="s">
        <v>1599</v>
      </c>
      <c r="E2839" t="s">
        <v>8203</v>
      </c>
      <c r="F2839" t="s">
        <v>1612</v>
      </c>
      <c r="I2839" t="s">
        <v>1077</v>
      </c>
      <c r="K2839">
        <v>1905</v>
      </c>
      <c r="L2839">
        <v>1905</v>
      </c>
      <c r="M2839" t="s">
        <v>228</v>
      </c>
      <c r="N2839" t="s">
        <v>228</v>
      </c>
      <c r="O2839" t="s">
        <v>6530</v>
      </c>
      <c r="P2839" t="s">
        <v>8204</v>
      </c>
      <c r="Q2839" t="str">
        <f>IF($C2839="","",IFERROR(VLOOKUP($C2839,sources!$A$2:$N$200,2,FALSE()),"?"))</f>
        <v>Web compilation</v>
      </c>
      <c r="S2839" t="str">
        <f>IF($C2839="","",IFERROR(VLOOKUP($C2839,sources!$A$2:$N$200,9,FALSE()),"?"))</f>
        <v>Mixed</v>
      </c>
    </row>
    <row r="2840" spans="1:19" x14ac:dyDescent="0.2">
      <c r="A2840" t="s">
        <v>8205</v>
      </c>
      <c r="B2840" t="s">
        <v>943</v>
      </c>
      <c r="C2840" t="s">
        <v>1315</v>
      </c>
      <c r="D2840" t="s">
        <v>1599</v>
      </c>
      <c r="E2840" t="s">
        <v>6725</v>
      </c>
      <c r="F2840" t="s">
        <v>1612</v>
      </c>
      <c r="I2840" t="s">
        <v>1077</v>
      </c>
      <c r="N2840" t="s">
        <v>209</v>
      </c>
      <c r="O2840" t="s">
        <v>6530</v>
      </c>
      <c r="P2840" t="s">
        <v>8206</v>
      </c>
      <c r="Q2840" t="str">
        <f>IF($C2840="","",IFERROR(VLOOKUP($C2840,sources!$A$2:$N$200,2,FALSE()),"?"))</f>
        <v>Web compilation</v>
      </c>
      <c r="S2840" t="str">
        <f>IF($C2840="","",IFERROR(VLOOKUP($C2840,sources!$A$2:$N$200,9,FALSE()),"?"))</f>
        <v>Mixed</v>
      </c>
    </row>
    <row r="2841" spans="1:19" x14ac:dyDescent="0.2">
      <c r="A2841" t="s">
        <v>8207</v>
      </c>
      <c r="B2841" t="s">
        <v>789</v>
      </c>
      <c r="C2841" t="s">
        <v>1315</v>
      </c>
      <c r="D2841" t="s">
        <v>1666</v>
      </c>
      <c r="E2841" t="s">
        <v>7793</v>
      </c>
      <c r="F2841" t="s">
        <v>1612</v>
      </c>
      <c r="I2841" t="s">
        <v>1077</v>
      </c>
      <c r="N2841" t="s">
        <v>228</v>
      </c>
      <c r="O2841" t="s">
        <v>6530</v>
      </c>
      <c r="P2841" t="s">
        <v>8208</v>
      </c>
      <c r="Q2841" t="str">
        <f>IF($C2841="","",IFERROR(VLOOKUP($C2841,sources!$A$2:$N$200,2,FALSE()),"?"))</f>
        <v>Web compilation</v>
      </c>
      <c r="S2841" t="str">
        <f>IF($C2841="","",IFERROR(VLOOKUP($C2841,sources!$A$2:$N$200,9,FALSE()),"?"))</f>
        <v>Mixed</v>
      </c>
    </row>
    <row r="2842" spans="1:19" x14ac:dyDescent="0.2">
      <c r="A2842" t="s">
        <v>8209</v>
      </c>
      <c r="B2842" t="s">
        <v>792</v>
      </c>
      <c r="C2842" t="s">
        <v>1315</v>
      </c>
      <c r="D2842" t="s">
        <v>1666</v>
      </c>
      <c r="E2842" t="s">
        <v>793</v>
      </c>
      <c r="F2842" t="s">
        <v>1612</v>
      </c>
      <c r="I2842" t="s">
        <v>1077</v>
      </c>
      <c r="N2842" t="s">
        <v>228</v>
      </c>
      <c r="O2842" t="s">
        <v>6530</v>
      </c>
      <c r="P2842" t="s">
        <v>8210</v>
      </c>
      <c r="Q2842" t="str">
        <f>IF($C2842="","",IFERROR(VLOOKUP($C2842,sources!$A$2:$N$200,2,FALSE()),"?"))</f>
        <v>Web compilation</v>
      </c>
      <c r="S2842" t="str">
        <f>IF($C2842="","",IFERROR(VLOOKUP($C2842,sources!$A$2:$N$200,9,FALSE()),"?"))</f>
        <v>Mixed</v>
      </c>
    </row>
    <row r="2843" spans="1:19" x14ac:dyDescent="0.2">
      <c r="A2843" t="s">
        <v>8211</v>
      </c>
      <c r="B2843" t="s">
        <v>875</v>
      </c>
      <c r="C2843" t="s">
        <v>1315</v>
      </c>
      <c r="D2843" t="s">
        <v>1666</v>
      </c>
      <c r="E2843" t="s">
        <v>4829</v>
      </c>
      <c r="F2843" t="s">
        <v>1612</v>
      </c>
      <c r="I2843" t="s">
        <v>1077</v>
      </c>
      <c r="N2843" t="s">
        <v>228</v>
      </c>
      <c r="O2843" t="s">
        <v>6530</v>
      </c>
      <c r="P2843" t="s">
        <v>8212</v>
      </c>
      <c r="Q2843" t="str">
        <f>IF($C2843="","",IFERROR(VLOOKUP($C2843,sources!$A$2:$N$200,2,FALSE()),"?"))</f>
        <v>Web compilation</v>
      </c>
      <c r="S2843" t="str">
        <f>IF($C2843="","",IFERROR(VLOOKUP($C2843,sources!$A$2:$N$200,9,FALSE()),"?"))</f>
        <v>Mixed</v>
      </c>
    </row>
    <row r="2844" spans="1:19" x14ac:dyDescent="0.2">
      <c r="A2844" t="s">
        <v>8213</v>
      </c>
      <c r="B2844" t="s">
        <v>884</v>
      </c>
      <c r="C2844" t="s">
        <v>1315</v>
      </c>
      <c r="D2844" t="s">
        <v>1666</v>
      </c>
      <c r="E2844" t="s">
        <v>4835</v>
      </c>
      <c r="F2844" t="s">
        <v>1612</v>
      </c>
      <c r="I2844" t="s">
        <v>1077</v>
      </c>
      <c r="N2844" t="s">
        <v>228</v>
      </c>
      <c r="O2844" t="s">
        <v>6530</v>
      </c>
      <c r="P2844" t="s">
        <v>8214</v>
      </c>
      <c r="Q2844" t="str">
        <f>IF($C2844="","",IFERROR(VLOOKUP($C2844,sources!$A$2:$N$200,2,FALSE()),"?"))</f>
        <v>Web compilation</v>
      </c>
      <c r="S2844" t="str">
        <f>IF($C2844="","",IFERROR(VLOOKUP($C2844,sources!$A$2:$N$200,9,FALSE()),"?"))</f>
        <v>Mixed</v>
      </c>
    </row>
    <row r="2845" spans="1:19" x14ac:dyDescent="0.2">
      <c r="A2845" t="s">
        <v>8215</v>
      </c>
      <c r="B2845" t="s">
        <v>898</v>
      </c>
      <c r="C2845" t="s">
        <v>1315</v>
      </c>
      <c r="D2845" t="s">
        <v>1666</v>
      </c>
      <c r="E2845" t="s">
        <v>6647</v>
      </c>
      <c r="F2845" t="s">
        <v>1612</v>
      </c>
      <c r="I2845" t="s">
        <v>1077</v>
      </c>
      <c r="N2845" t="s">
        <v>228</v>
      </c>
      <c r="O2845" t="s">
        <v>6530</v>
      </c>
      <c r="P2845" t="s">
        <v>8216</v>
      </c>
      <c r="Q2845" t="str">
        <f>IF($C2845="","",IFERROR(VLOOKUP($C2845,sources!$A$2:$N$200,2,FALSE()),"?"))</f>
        <v>Web compilation</v>
      </c>
      <c r="S2845" t="str">
        <f>IF($C2845="","",IFERROR(VLOOKUP($C2845,sources!$A$2:$N$200,9,FALSE()),"?"))</f>
        <v>Mixed</v>
      </c>
    </row>
    <row r="2846" spans="1:19" x14ac:dyDescent="0.2">
      <c r="A2846" t="s">
        <v>8217</v>
      </c>
      <c r="B2846" t="s">
        <v>911</v>
      </c>
      <c r="C2846" t="s">
        <v>1315</v>
      </c>
      <c r="D2846" t="s">
        <v>1666</v>
      </c>
      <c r="E2846" t="s">
        <v>6706</v>
      </c>
      <c r="F2846" t="s">
        <v>1612</v>
      </c>
      <c r="I2846" t="s">
        <v>1077</v>
      </c>
      <c r="N2846" t="s">
        <v>228</v>
      </c>
      <c r="O2846" t="s">
        <v>6530</v>
      </c>
      <c r="P2846" t="s">
        <v>8214</v>
      </c>
      <c r="Q2846" t="str">
        <f>IF($C2846="","",IFERROR(VLOOKUP($C2846,sources!$A$2:$N$200,2,FALSE()),"?"))</f>
        <v>Web compilation</v>
      </c>
      <c r="S2846" t="str">
        <f>IF($C2846="","",IFERROR(VLOOKUP($C2846,sources!$A$2:$N$200,9,FALSE()),"?"))</f>
        <v>Mixed</v>
      </c>
    </row>
    <row r="2847" spans="1:19" x14ac:dyDescent="0.2">
      <c r="A2847" t="s">
        <v>8218</v>
      </c>
      <c r="B2847" t="s">
        <v>925</v>
      </c>
      <c r="C2847" t="s">
        <v>1315</v>
      </c>
      <c r="D2847" t="s">
        <v>1666</v>
      </c>
      <c r="E2847" t="s">
        <v>927</v>
      </c>
      <c r="F2847" t="s">
        <v>1612</v>
      </c>
      <c r="I2847" t="s">
        <v>1077</v>
      </c>
      <c r="N2847" t="s">
        <v>228</v>
      </c>
      <c r="O2847" t="s">
        <v>6530</v>
      </c>
      <c r="P2847" t="s">
        <v>8214</v>
      </c>
      <c r="Q2847" t="str">
        <f>IF($C2847="","",IFERROR(VLOOKUP($C2847,sources!$A$2:$N$200,2,FALSE()),"?"))</f>
        <v>Web compilation</v>
      </c>
      <c r="S2847" t="str">
        <f>IF($C2847="","",IFERROR(VLOOKUP($C2847,sources!$A$2:$N$200,9,FALSE()),"?"))</f>
        <v>Mixed</v>
      </c>
    </row>
    <row r="2848" spans="1:19" x14ac:dyDescent="0.2">
      <c r="A2848" t="s">
        <v>8219</v>
      </c>
      <c r="B2848" t="s">
        <v>929</v>
      </c>
      <c r="C2848" t="s">
        <v>1315</v>
      </c>
      <c r="D2848" t="s">
        <v>1666</v>
      </c>
      <c r="E2848" t="s">
        <v>930</v>
      </c>
      <c r="F2848" t="s">
        <v>1612</v>
      </c>
      <c r="I2848" t="s">
        <v>1077</v>
      </c>
      <c r="N2848" t="s">
        <v>228</v>
      </c>
      <c r="O2848" t="s">
        <v>6530</v>
      </c>
      <c r="P2848" t="s">
        <v>8220</v>
      </c>
      <c r="Q2848" t="str">
        <f>IF($C2848="","",IFERROR(VLOOKUP($C2848,sources!$A$2:$N$200,2,FALSE()),"?"))</f>
        <v>Web compilation</v>
      </c>
      <c r="S2848" t="str">
        <f>IF($C2848="","",IFERROR(VLOOKUP($C2848,sources!$A$2:$N$200,9,FALSE()),"?"))</f>
        <v>Mixed</v>
      </c>
    </row>
    <row r="2849" spans="1:19" x14ac:dyDescent="0.2">
      <c r="A2849" t="s">
        <v>8221</v>
      </c>
      <c r="B2849" t="s">
        <v>933</v>
      </c>
      <c r="C2849" t="s">
        <v>1315</v>
      </c>
      <c r="D2849" t="s">
        <v>1666</v>
      </c>
      <c r="E2849" t="s">
        <v>934</v>
      </c>
      <c r="F2849" t="s">
        <v>1612</v>
      </c>
      <c r="I2849" t="s">
        <v>1077</v>
      </c>
      <c r="N2849" t="s">
        <v>228</v>
      </c>
      <c r="O2849" t="s">
        <v>6530</v>
      </c>
      <c r="P2849" t="s">
        <v>8214</v>
      </c>
      <c r="Q2849" t="str">
        <f>IF($C2849="","",IFERROR(VLOOKUP($C2849,sources!$A$2:$N$200,2,FALSE()),"?"))</f>
        <v>Web compilation</v>
      </c>
      <c r="S2849" t="str">
        <f>IF($C2849="","",IFERROR(VLOOKUP($C2849,sources!$A$2:$N$200,9,FALSE()),"?"))</f>
        <v>Mixed</v>
      </c>
    </row>
    <row r="2850" spans="1:19" x14ac:dyDescent="0.2">
      <c r="A2850" t="s">
        <v>8222</v>
      </c>
      <c r="B2850" t="s">
        <v>936</v>
      </c>
      <c r="C2850" t="s">
        <v>1315</v>
      </c>
      <c r="D2850" t="s">
        <v>1666</v>
      </c>
      <c r="E2850" t="s">
        <v>937</v>
      </c>
      <c r="F2850" t="s">
        <v>1612</v>
      </c>
      <c r="I2850" t="s">
        <v>1077</v>
      </c>
      <c r="N2850" t="s">
        <v>222</v>
      </c>
      <c r="O2850" t="s">
        <v>6530</v>
      </c>
      <c r="P2850" t="s">
        <v>8223</v>
      </c>
      <c r="Q2850" t="str">
        <f>IF($C2850="","",IFERROR(VLOOKUP($C2850,sources!$A$2:$N$200,2,FALSE()),"?"))</f>
        <v>Web compilation</v>
      </c>
      <c r="S2850" t="str">
        <f>IF($C2850="","",IFERROR(VLOOKUP($C2850,sources!$A$2:$N$200,9,FALSE()),"?"))</f>
        <v>Mixed</v>
      </c>
    </row>
    <row r="2851" spans="1:19" x14ac:dyDescent="0.2">
      <c r="A2851" t="s">
        <v>8224</v>
      </c>
      <c r="B2851" t="s">
        <v>939</v>
      </c>
      <c r="C2851" t="s">
        <v>1315</v>
      </c>
      <c r="D2851" t="s">
        <v>1666</v>
      </c>
      <c r="E2851" t="s">
        <v>940</v>
      </c>
      <c r="F2851" t="s">
        <v>1612</v>
      </c>
      <c r="I2851" t="s">
        <v>1077</v>
      </c>
      <c r="N2851" t="s">
        <v>222</v>
      </c>
      <c r="O2851" t="s">
        <v>6530</v>
      </c>
      <c r="P2851" t="s">
        <v>8225</v>
      </c>
      <c r="Q2851" t="str">
        <f>IF($C2851="","",IFERROR(VLOOKUP($C2851,sources!$A$2:$N$200,2,FALSE()),"?"))</f>
        <v>Web compilation</v>
      </c>
      <c r="S2851" t="str">
        <f>IF($C2851="","",IFERROR(VLOOKUP($C2851,sources!$A$2:$N$200,9,FALSE()),"?"))</f>
        <v>Mixed</v>
      </c>
    </row>
    <row r="2852" spans="1:19" x14ac:dyDescent="0.2">
      <c r="A2852" t="s">
        <v>8226</v>
      </c>
      <c r="B2852" t="s">
        <v>974</v>
      </c>
      <c r="C2852" t="s">
        <v>1315</v>
      </c>
      <c r="D2852" t="s">
        <v>1666</v>
      </c>
      <c r="E2852" t="s">
        <v>6609</v>
      </c>
      <c r="F2852" t="s">
        <v>1612</v>
      </c>
      <c r="I2852" t="s">
        <v>1077</v>
      </c>
      <c r="N2852" t="s">
        <v>228</v>
      </c>
      <c r="O2852" t="s">
        <v>6530</v>
      </c>
      <c r="P2852" t="s">
        <v>8227</v>
      </c>
      <c r="Q2852" t="str">
        <f>IF($C2852="","",IFERROR(VLOOKUP($C2852,sources!$A$2:$N$200,2,FALSE()),"?"))</f>
        <v>Web compilation</v>
      </c>
      <c r="S2852" t="str">
        <f>IF($C2852="","",IFERROR(VLOOKUP($C2852,sources!$A$2:$N$200,9,FALSE()),"?"))</f>
        <v>Mixed</v>
      </c>
    </row>
    <row r="2853" spans="1:19" x14ac:dyDescent="0.2">
      <c r="A2853" t="s">
        <v>8228</v>
      </c>
      <c r="B2853" t="s">
        <v>981</v>
      </c>
      <c r="C2853" t="s">
        <v>1315</v>
      </c>
      <c r="D2853" t="s">
        <v>1599</v>
      </c>
      <c r="E2853" t="s">
        <v>982</v>
      </c>
      <c r="F2853" t="s">
        <v>1612</v>
      </c>
      <c r="I2853" t="s">
        <v>1077</v>
      </c>
      <c r="N2853" t="s">
        <v>222</v>
      </c>
      <c r="O2853" t="s">
        <v>6530</v>
      </c>
      <c r="P2853" t="s">
        <v>8229</v>
      </c>
      <c r="Q2853" t="str">
        <f>IF($C2853="","",IFERROR(VLOOKUP($C2853,sources!$A$2:$N$200,2,FALSE()),"?"))</f>
        <v>Web compilation</v>
      </c>
      <c r="S2853" t="str">
        <f>IF($C2853="","",IFERROR(VLOOKUP($C2853,sources!$A$2:$N$200,9,FALSE()),"?"))</f>
        <v>Mixed</v>
      </c>
    </row>
    <row r="2854" spans="1:19" x14ac:dyDescent="0.2">
      <c r="A2854" t="s">
        <v>8230</v>
      </c>
      <c r="B2854" t="s">
        <v>998</v>
      </c>
      <c r="C2854" t="s">
        <v>1315</v>
      </c>
      <c r="D2854" t="s">
        <v>1666</v>
      </c>
      <c r="E2854" t="s">
        <v>1000</v>
      </c>
      <c r="F2854" t="s">
        <v>1612</v>
      </c>
      <c r="I2854" t="s">
        <v>1077</v>
      </c>
      <c r="N2854" t="s">
        <v>222</v>
      </c>
      <c r="O2854" t="s">
        <v>6530</v>
      </c>
      <c r="P2854" t="s">
        <v>8231</v>
      </c>
      <c r="Q2854" t="str">
        <f>IF($C2854="","",IFERROR(VLOOKUP($C2854,sources!$A$2:$N$200,2,FALSE()),"?"))</f>
        <v>Web compilation</v>
      </c>
      <c r="S2854" t="str">
        <f>IF($C2854="","",IFERROR(VLOOKUP($C2854,sources!$A$2:$N$200,9,FALSE()),"?"))</f>
        <v>Mixed</v>
      </c>
    </row>
    <row r="2855" spans="1:19" x14ac:dyDescent="0.2">
      <c r="A2855" t="s">
        <v>8232</v>
      </c>
      <c r="B2855" t="s">
        <v>1027</v>
      </c>
      <c r="C2855" t="s">
        <v>1315</v>
      </c>
      <c r="D2855" t="s">
        <v>1666</v>
      </c>
      <c r="E2855" t="s">
        <v>6558</v>
      </c>
      <c r="F2855" t="s">
        <v>1612</v>
      </c>
      <c r="I2855" t="s">
        <v>1077</v>
      </c>
      <c r="N2855" t="s">
        <v>228</v>
      </c>
      <c r="O2855" t="s">
        <v>6530</v>
      </c>
      <c r="P2855" t="s">
        <v>8233</v>
      </c>
      <c r="Q2855" t="str">
        <f>IF($C2855="","",IFERROR(VLOOKUP($C2855,sources!$A$2:$N$200,2,FALSE()),"?"))</f>
        <v>Web compilation</v>
      </c>
      <c r="S2855" t="str">
        <f>IF($C2855="","",IFERROR(VLOOKUP($C2855,sources!$A$2:$N$200,9,FALSE()),"?"))</f>
        <v>Mixed</v>
      </c>
    </row>
    <row r="2856" spans="1:19" x14ac:dyDescent="0.2">
      <c r="A2856" t="s">
        <v>8234</v>
      </c>
      <c r="B2856" t="s">
        <v>1031</v>
      </c>
      <c r="C2856" t="s">
        <v>1315</v>
      </c>
      <c r="D2856" t="s">
        <v>1666</v>
      </c>
      <c r="E2856" t="s">
        <v>1032</v>
      </c>
      <c r="F2856" t="s">
        <v>1612</v>
      </c>
      <c r="I2856" t="s">
        <v>1077</v>
      </c>
      <c r="N2856" t="s">
        <v>228</v>
      </c>
      <c r="O2856" t="s">
        <v>6530</v>
      </c>
      <c r="P2856" t="s">
        <v>8214</v>
      </c>
      <c r="Q2856" t="str">
        <f>IF($C2856="","",IFERROR(VLOOKUP($C2856,sources!$A$2:$N$200,2,FALSE()),"?"))</f>
        <v>Web compilation</v>
      </c>
      <c r="S2856" t="str">
        <f>IF($C2856="","",IFERROR(VLOOKUP($C2856,sources!$A$2:$N$200,9,FALSE()),"?"))</f>
        <v>Mixed</v>
      </c>
    </row>
    <row r="2857" spans="1:19" x14ac:dyDescent="0.2">
      <c r="A2857" t="s">
        <v>8235</v>
      </c>
      <c r="B2857" t="s">
        <v>1036</v>
      </c>
      <c r="C2857" t="s">
        <v>1315</v>
      </c>
      <c r="D2857" t="s">
        <v>1666</v>
      </c>
      <c r="E2857" t="s">
        <v>1037</v>
      </c>
      <c r="F2857" t="s">
        <v>1612</v>
      </c>
      <c r="I2857" t="s">
        <v>1077</v>
      </c>
      <c r="N2857" t="s">
        <v>228</v>
      </c>
      <c r="O2857" t="s">
        <v>6530</v>
      </c>
      <c r="P2857" t="s">
        <v>8236</v>
      </c>
      <c r="Q2857" t="str">
        <f>IF($C2857="","",IFERROR(VLOOKUP($C2857,sources!$A$2:$N$200,2,FALSE()),"?"))</f>
        <v>Web compilation</v>
      </c>
      <c r="S2857" t="str">
        <f>IF($C2857="","",IFERROR(VLOOKUP($C2857,sources!$A$2:$N$200,9,FALSE()),"?"))</f>
        <v>Mixed</v>
      </c>
    </row>
    <row r="2858" spans="1:19" x14ac:dyDescent="0.2">
      <c r="A2858" t="s">
        <v>8237</v>
      </c>
      <c r="B2858" t="s">
        <v>1040</v>
      </c>
      <c r="C2858" t="s">
        <v>1315</v>
      </c>
      <c r="D2858" t="s">
        <v>1585</v>
      </c>
      <c r="E2858" t="s">
        <v>8238</v>
      </c>
      <c r="F2858" t="s">
        <v>1612</v>
      </c>
      <c r="I2858" t="s">
        <v>1077</v>
      </c>
      <c r="K2858">
        <v>1906</v>
      </c>
      <c r="L2858">
        <v>1906</v>
      </c>
      <c r="M2858" t="s">
        <v>222</v>
      </c>
      <c r="N2858" t="s">
        <v>222</v>
      </c>
      <c r="O2858" t="s">
        <v>6530</v>
      </c>
      <c r="P2858" t="s">
        <v>8239</v>
      </c>
      <c r="Q2858" t="str">
        <f>IF($C2858="","",IFERROR(VLOOKUP($C2858,sources!$A$2:$N$200,2,FALSE()),"?"))</f>
        <v>Web compilation</v>
      </c>
      <c r="S2858" t="str">
        <f>IF($C2858="","",IFERROR(VLOOKUP($C2858,sources!$A$2:$N$200,9,FALSE()),"?"))</f>
        <v>Mixed</v>
      </c>
    </row>
    <row r="2859" spans="1:19" x14ac:dyDescent="0.2">
      <c r="A2859" t="s">
        <v>8240</v>
      </c>
      <c r="B2859" t="s">
        <v>1045</v>
      </c>
      <c r="C2859" t="s">
        <v>1315</v>
      </c>
      <c r="D2859" t="s">
        <v>1666</v>
      </c>
      <c r="E2859" t="s">
        <v>1046</v>
      </c>
      <c r="F2859" t="s">
        <v>1612</v>
      </c>
      <c r="I2859" t="s">
        <v>1077</v>
      </c>
      <c r="N2859" t="s">
        <v>228</v>
      </c>
      <c r="O2859" t="s">
        <v>6530</v>
      </c>
      <c r="P2859" t="s">
        <v>8241</v>
      </c>
      <c r="Q2859" t="str">
        <f>IF($C2859="","",IFERROR(VLOOKUP($C2859,sources!$A$2:$N$200,2,FALSE()),"?"))</f>
        <v>Web compilation</v>
      </c>
      <c r="S2859" t="str">
        <f>IF($C2859="","",IFERROR(VLOOKUP($C2859,sources!$A$2:$N$200,9,FALSE()),"?"))</f>
        <v>Mixed</v>
      </c>
    </row>
    <row r="2860" spans="1:19" x14ac:dyDescent="0.2">
      <c r="A2860" t="s">
        <v>8242</v>
      </c>
      <c r="B2860" t="s">
        <v>854</v>
      </c>
      <c r="C2860" t="s">
        <v>1315</v>
      </c>
      <c r="D2860" t="s">
        <v>1599</v>
      </c>
      <c r="E2860" t="s">
        <v>523</v>
      </c>
      <c r="F2860" t="s">
        <v>1612</v>
      </c>
      <c r="I2860" t="s">
        <v>1077</v>
      </c>
      <c r="N2860" t="s">
        <v>209</v>
      </c>
      <c r="O2860" t="s">
        <v>6530</v>
      </c>
      <c r="P2860" t="s">
        <v>8243</v>
      </c>
      <c r="Q2860" t="str">
        <f>IF($C2860="","",IFERROR(VLOOKUP($C2860,sources!$A$2:$N$200,2,FALSE()),"?"))</f>
        <v>Web compilation</v>
      </c>
      <c r="S2860" t="str">
        <f>IF($C2860="","",IFERROR(VLOOKUP($C2860,sources!$A$2:$N$200,9,FALSE()),"?"))</f>
        <v>Mixed</v>
      </c>
    </row>
    <row r="2861" spans="1:19" x14ac:dyDescent="0.2">
      <c r="A2861" t="s">
        <v>8244</v>
      </c>
      <c r="B2861" t="s">
        <v>752</v>
      </c>
      <c r="C2861" t="s">
        <v>1528</v>
      </c>
      <c r="D2861" t="s">
        <v>1666</v>
      </c>
      <c r="E2861" t="s">
        <v>7827</v>
      </c>
      <c r="F2861" t="s">
        <v>1612</v>
      </c>
      <c r="I2861" t="s">
        <v>1077</v>
      </c>
      <c r="K2861">
        <v>1904</v>
      </c>
      <c r="L2861">
        <v>1904</v>
      </c>
      <c r="M2861" t="s">
        <v>228</v>
      </c>
      <c r="N2861" t="s">
        <v>228</v>
      </c>
      <c r="O2861" t="s">
        <v>8245</v>
      </c>
      <c r="P2861" t="s">
        <v>8246</v>
      </c>
      <c r="Q2861" t="str">
        <f>IF($C2861="","",IFERROR(VLOOKUP($C2861,sources!$A$2:$N$200,2,FALSE()),"?"))</f>
        <v>Map</v>
      </c>
      <c r="S2861" t="str">
        <f>IF($C2861="","",IFERROR(VLOOKUP($C2861,sources!$A$2:$N$200,9,FALSE()),"?"))</f>
        <v>US official</v>
      </c>
    </row>
    <row r="2862" spans="1:19" x14ac:dyDescent="0.2">
      <c r="A2862" t="s">
        <v>8247</v>
      </c>
      <c r="B2862" t="s">
        <v>871</v>
      </c>
      <c r="C2862" t="s">
        <v>1354</v>
      </c>
      <c r="D2862" t="s">
        <v>1666</v>
      </c>
      <c r="E2862" t="s">
        <v>872</v>
      </c>
      <c r="F2862" t="s">
        <v>1612</v>
      </c>
      <c r="I2862" t="s">
        <v>1077</v>
      </c>
      <c r="K2862">
        <v>1905</v>
      </c>
      <c r="L2862">
        <v>1906</v>
      </c>
      <c r="M2862" t="s">
        <v>228</v>
      </c>
      <c r="N2862" t="s">
        <v>228</v>
      </c>
      <c r="O2862" t="s">
        <v>8245</v>
      </c>
      <c r="P2862" t="s">
        <v>8248</v>
      </c>
      <c r="Q2862" t="str">
        <f>IF($C2862="","",IFERROR(VLOOKUP($C2862,sources!$A$2:$N$200,2,FALSE()),"?"))</f>
        <v>Map</v>
      </c>
      <c r="S2862" t="str">
        <f>IF($C2862="","",IFERROR(VLOOKUP($C2862,sources!$A$2:$N$200,9,FALSE()),"?"))</f>
        <v>US official</v>
      </c>
    </row>
    <row r="2863" spans="1:19" x14ac:dyDescent="0.2">
      <c r="A2863" t="s">
        <v>8249</v>
      </c>
      <c r="B2863" t="s">
        <v>1049</v>
      </c>
      <c r="C2863" t="s">
        <v>1412</v>
      </c>
      <c r="D2863" t="s">
        <v>1599</v>
      </c>
      <c r="E2863" t="s">
        <v>8250</v>
      </c>
      <c r="F2863" t="s">
        <v>1612</v>
      </c>
      <c r="I2863" t="s">
        <v>1077</v>
      </c>
      <c r="N2863" t="s">
        <v>222</v>
      </c>
      <c r="O2863" t="s">
        <v>8251</v>
      </c>
      <c r="P2863" t="s">
        <v>8252</v>
      </c>
      <c r="Q2863" t="str">
        <f>IF($C2863="","",IFERROR(VLOOKUP($C2863,sources!$A$2:$N$200,2,FALSE()),"?"))</f>
        <v>Web compilation</v>
      </c>
      <c r="S2863" t="str">
        <f>IF($C2863="","",IFERROR(VLOOKUP($C2863,sources!$A$2:$N$200,9,FALSE()),"?"))</f>
        <v>Caribbean community</v>
      </c>
    </row>
    <row r="2864" spans="1:19" x14ac:dyDescent="0.2">
      <c r="A2864" t="s">
        <v>8253</v>
      </c>
      <c r="B2864" t="s">
        <v>1049</v>
      </c>
      <c r="C2864" t="s">
        <v>1315</v>
      </c>
      <c r="D2864" t="s">
        <v>1599</v>
      </c>
      <c r="E2864" t="s">
        <v>8250</v>
      </c>
      <c r="F2864" t="s">
        <v>1612</v>
      </c>
      <c r="I2864" t="s">
        <v>1077</v>
      </c>
      <c r="K2864">
        <v>1914</v>
      </c>
      <c r="L2864">
        <v>1914</v>
      </c>
      <c r="M2864" t="s">
        <v>222</v>
      </c>
      <c r="N2864" t="s">
        <v>222</v>
      </c>
      <c r="O2864" t="s">
        <v>8251</v>
      </c>
      <c r="P2864" t="s">
        <v>8254</v>
      </c>
      <c r="Q2864" t="str">
        <f>IF($C2864="","",IFERROR(VLOOKUP($C2864,sources!$A$2:$N$200,2,FALSE()),"?"))</f>
        <v>Web compilation</v>
      </c>
      <c r="S2864" t="str">
        <f>IF($C2864="","",IFERROR(VLOOKUP($C2864,sources!$A$2:$N$200,9,FALSE()),"?"))</f>
        <v>Mixed</v>
      </c>
    </row>
    <row r="2865" spans="1:19" x14ac:dyDescent="0.2">
      <c r="A2865" t="s">
        <v>8255</v>
      </c>
      <c r="B2865" t="s">
        <v>1052</v>
      </c>
      <c r="C2865" t="s">
        <v>1412</v>
      </c>
      <c r="D2865" t="s">
        <v>1599</v>
      </c>
      <c r="E2865" t="s">
        <v>8256</v>
      </c>
      <c r="F2865" t="s">
        <v>1612</v>
      </c>
      <c r="I2865" t="s">
        <v>1077</v>
      </c>
      <c r="N2865" t="s">
        <v>222</v>
      </c>
      <c r="O2865" t="s">
        <v>8251</v>
      </c>
      <c r="P2865" t="s">
        <v>8257</v>
      </c>
      <c r="Q2865" t="str">
        <f>IF($C2865="","",IFERROR(VLOOKUP($C2865,sources!$A$2:$N$200,2,FALSE()),"?"))</f>
        <v>Web compilation</v>
      </c>
      <c r="S2865" t="str">
        <f>IF($C2865="","",IFERROR(VLOOKUP($C2865,sources!$A$2:$N$200,9,FALSE()),"?"))</f>
        <v>Caribbean community</v>
      </c>
    </row>
    <row r="2866" spans="1:19" x14ac:dyDescent="0.2">
      <c r="A2866" t="s">
        <v>8258</v>
      </c>
      <c r="B2866" t="s">
        <v>1056</v>
      </c>
      <c r="C2866" t="s">
        <v>1354</v>
      </c>
      <c r="D2866" t="s">
        <v>1594</v>
      </c>
      <c r="E2866" t="s">
        <v>8259</v>
      </c>
      <c r="F2866" t="s">
        <v>1612</v>
      </c>
      <c r="G2866">
        <v>9.1137759999999997</v>
      </c>
      <c r="H2866">
        <v>-79.718427000000005</v>
      </c>
      <c r="I2866" t="s">
        <v>1595</v>
      </c>
      <c r="J2866">
        <v>200</v>
      </c>
      <c r="K2866">
        <v>1905</v>
      </c>
      <c r="L2866">
        <v>1906</v>
      </c>
      <c r="M2866" t="s">
        <v>228</v>
      </c>
      <c r="N2866" t="s">
        <v>222</v>
      </c>
      <c r="O2866" t="s">
        <v>8251</v>
      </c>
      <c r="P2866" t="s">
        <v>8260</v>
      </c>
      <c r="Q2866" t="str">
        <f>IF($C2866="","",IFERROR(VLOOKUP($C2866,sources!$A$2:$N$200,2,FALSE()),"?"))</f>
        <v>Map</v>
      </c>
      <c r="S2866" t="str">
        <f>IF($C2866="","",IFERROR(VLOOKUP($C2866,sources!$A$2:$N$200,9,FALSE()),"?"))</f>
        <v>US official</v>
      </c>
    </row>
    <row r="2867" spans="1:19" x14ac:dyDescent="0.2">
      <c r="A2867" t="s">
        <v>8261</v>
      </c>
      <c r="B2867" t="s">
        <v>1056</v>
      </c>
      <c r="C2867" t="s">
        <v>1315</v>
      </c>
      <c r="D2867" t="s">
        <v>1599</v>
      </c>
      <c r="E2867" t="s">
        <v>8262</v>
      </c>
      <c r="F2867" t="s">
        <v>1612</v>
      </c>
      <c r="I2867" t="s">
        <v>1077</v>
      </c>
      <c r="K2867">
        <v>1907</v>
      </c>
      <c r="L2867">
        <v>1907</v>
      </c>
      <c r="M2867" t="s">
        <v>222</v>
      </c>
      <c r="N2867" t="s">
        <v>222</v>
      </c>
      <c r="O2867" t="s">
        <v>8251</v>
      </c>
      <c r="P2867" t="s">
        <v>8263</v>
      </c>
      <c r="Q2867" t="str">
        <f>IF($C2867="","",IFERROR(VLOOKUP($C2867,sources!$A$2:$N$200,2,FALSE()),"?"))</f>
        <v>Web compilation</v>
      </c>
      <c r="S2867" t="str">
        <f>IF($C2867="","",IFERROR(VLOOKUP($C2867,sources!$A$2:$N$200,9,FALSE()),"?"))</f>
        <v>Mixed</v>
      </c>
    </row>
    <row r="2868" spans="1:19" x14ac:dyDescent="0.2">
      <c r="A2868" t="s">
        <v>8264</v>
      </c>
      <c r="B2868" t="s">
        <v>1056</v>
      </c>
      <c r="C2868" t="s">
        <v>1412</v>
      </c>
      <c r="D2868" t="s">
        <v>1599</v>
      </c>
      <c r="E2868" t="s">
        <v>8265</v>
      </c>
      <c r="F2868" t="s">
        <v>1612</v>
      </c>
      <c r="I2868" t="s">
        <v>1077</v>
      </c>
      <c r="N2868" t="s">
        <v>222</v>
      </c>
      <c r="O2868" t="s">
        <v>8251</v>
      </c>
      <c r="P2868" t="s">
        <v>8266</v>
      </c>
      <c r="Q2868" t="str">
        <f>IF($C2868="","",IFERROR(VLOOKUP($C2868,sources!$A$2:$N$200,2,FALSE()),"?"))</f>
        <v>Web compilation</v>
      </c>
      <c r="S2868" t="str">
        <f>IF($C2868="","",IFERROR(VLOOKUP($C2868,sources!$A$2:$N$200,9,FALSE()),"?"))</f>
        <v>Caribbean community</v>
      </c>
    </row>
    <row r="2869" spans="1:19" x14ac:dyDescent="0.2">
      <c r="A2869" t="s">
        <v>8267</v>
      </c>
      <c r="B2869" t="s">
        <v>1061</v>
      </c>
      <c r="C2869" t="s">
        <v>1315</v>
      </c>
      <c r="D2869" t="s">
        <v>1599</v>
      </c>
      <c r="E2869" t="s">
        <v>1062</v>
      </c>
      <c r="F2869" t="s">
        <v>1612</v>
      </c>
      <c r="I2869" t="s">
        <v>1077</v>
      </c>
      <c r="K2869">
        <v>1913</v>
      </c>
      <c r="L2869">
        <v>1913</v>
      </c>
      <c r="M2869" t="s">
        <v>222</v>
      </c>
      <c r="N2869" t="s">
        <v>222</v>
      </c>
      <c r="O2869" t="s">
        <v>8251</v>
      </c>
      <c r="P2869" t="s">
        <v>8268</v>
      </c>
      <c r="Q2869" t="str">
        <f>IF($C2869="","",IFERROR(VLOOKUP($C2869,sources!$A$2:$N$200,2,FALSE()),"?"))</f>
        <v>Web compilation</v>
      </c>
      <c r="S2869" t="str">
        <f>IF($C2869="","",IFERROR(VLOOKUP($C2869,sources!$A$2:$N$200,9,FALSE()),"?"))</f>
        <v>Mixed</v>
      </c>
    </row>
    <row r="2870" spans="1:19" x14ac:dyDescent="0.2">
      <c r="A2870" t="s">
        <v>8269</v>
      </c>
      <c r="B2870" t="s">
        <v>1061</v>
      </c>
      <c r="C2870" t="s">
        <v>1315</v>
      </c>
      <c r="D2870" t="s">
        <v>1603</v>
      </c>
      <c r="E2870" t="s">
        <v>1062</v>
      </c>
      <c r="F2870" t="s">
        <v>1612</v>
      </c>
      <c r="I2870" t="s">
        <v>1077</v>
      </c>
      <c r="K2870">
        <v>1913</v>
      </c>
      <c r="L2870">
        <v>1913</v>
      </c>
      <c r="M2870" t="s">
        <v>222</v>
      </c>
      <c r="N2870" t="s">
        <v>222</v>
      </c>
      <c r="O2870" t="s">
        <v>8251</v>
      </c>
      <c r="P2870" t="s">
        <v>8270</v>
      </c>
      <c r="Q2870" t="str">
        <f>IF($C2870="","",IFERROR(VLOOKUP($C2870,sources!$A$2:$N$200,2,FALSE()),"?"))</f>
        <v>Web compilation</v>
      </c>
      <c r="S2870" t="str">
        <f>IF($C2870="","",IFERROR(VLOOKUP($C2870,sources!$A$2:$N$200,9,FALSE()),"?"))</f>
        <v>Mixed</v>
      </c>
    </row>
    <row r="2871" spans="1:19" x14ac:dyDescent="0.2">
      <c r="A2871" t="s">
        <v>8271</v>
      </c>
      <c r="B2871" t="s">
        <v>1065</v>
      </c>
      <c r="C2871" t="s">
        <v>1315</v>
      </c>
      <c r="D2871" t="s">
        <v>1599</v>
      </c>
      <c r="E2871" t="s">
        <v>1066</v>
      </c>
      <c r="F2871" t="s">
        <v>1612</v>
      </c>
      <c r="I2871" t="s">
        <v>1077</v>
      </c>
      <c r="K2871">
        <v>1913</v>
      </c>
      <c r="L2871">
        <v>1913</v>
      </c>
      <c r="M2871" t="s">
        <v>222</v>
      </c>
      <c r="N2871" t="s">
        <v>222</v>
      </c>
      <c r="O2871" t="s">
        <v>8251</v>
      </c>
      <c r="P2871" t="s">
        <v>8272</v>
      </c>
      <c r="Q2871" t="str">
        <f>IF($C2871="","",IFERROR(VLOOKUP($C2871,sources!$A$2:$N$200,2,FALSE()),"?"))</f>
        <v>Web compilation</v>
      </c>
      <c r="S2871" t="str">
        <f>IF($C2871="","",IFERROR(VLOOKUP($C2871,sources!$A$2:$N$200,9,FALSE()),"?"))</f>
        <v>Mixed</v>
      </c>
    </row>
    <row r="2872" spans="1:19" x14ac:dyDescent="0.2">
      <c r="A2872" t="s">
        <v>8273</v>
      </c>
      <c r="B2872" t="s">
        <v>1065</v>
      </c>
      <c r="C2872" t="s">
        <v>1315</v>
      </c>
      <c r="D2872" t="s">
        <v>1603</v>
      </c>
      <c r="E2872" t="s">
        <v>1066</v>
      </c>
      <c r="F2872" t="s">
        <v>1612</v>
      </c>
      <c r="I2872" t="s">
        <v>1077</v>
      </c>
      <c r="K2872">
        <v>1913</v>
      </c>
      <c r="L2872">
        <v>1913</v>
      </c>
      <c r="M2872" t="s">
        <v>222</v>
      </c>
      <c r="N2872" t="s">
        <v>222</v>
      </c>
      <c r="O2872" t="s">
        <v>8251</v>
      </c>
      <c r="P2872" t="s">
        <v>8270</v>
      </c>
      <c r="Q2872" t="str">
        <f>IF($C2872="","",IFERROR(VLOOKUP($C2872,sources!$A$2:$N$200,2,FALSE()),"?"))</f>
        <v>Web compilation</v>
      </c>
      <c r="S2872" t="str">
        <f>IF($C2872="","",IFERROR(VLOOKUP($C2872,sources!$A$2:$N$200,9,FALSE()),"?"))</f>
        <v>Mixed</v>
      </c>
    </row>
    <row r="2873" spans="1:19" x14ac:dyDescent="0.2">
      <c r="A2873" t="s">
        <v>8274</v>
      </c>
      <c r="B2873" t="s">
        <v>1068</v>
      </c>
      <c r="C2873" t="s">
        <v>1315</v>
      </c>
      <c r="D2873" t="s">
        <v>1599</v>
      </c>
      <c r="E2873" t="s">
        <v>1069</v>
      </c>
      <c r="F2873" t="s">
        <v>1612</v>
      </c>
      <c r="I2873" t="s">
        <v>1077</v>
      </c>
      <c r="K2873">
        <v>1913</v>
      </c>
      <c r="L2873">
        <v>1913</v>
      </c>
      <c r="M2873" t="s">
        <v>222</v>
      </c>
      <c r="N2873" t="s">
        <v>222</v>
      </c>
      <c r="O2873" t="s">
        <v>8251</v>
      </c>
      <c r="P2873" t="s">
        <v>8275</v>
      </c>
      <c r="Q2873" t="str">
        <f>IF($C2873="","",IFERROR(VLOOKUP($C2873,sources!$A$2:$N$200,2,FALSE()),"?"))</f>
        <v>Web compilation</v>
      </c>
      <c r="S2873" t="str">
        <f>IF($C2873="","",IFERROR(VLOOKUP($C2873,sources!$A$2:$N$200,9,FALSE()),"?"))</f>
        <v>Mixed</v>
      </c>
    </row>
    <row r="2874" spans="1:19" x14ac:dyDescent="0.2">
      <c r="A2874" t="s">
        <v>8276</v>
      </c>
      <c r="B2874" t="s">
        <v>1068</v>
      </c>
      <c r="C2874" t="s">
        <v>1315</v>
      </c>
      <c r="D2874" t="s">
        <v>1603</v>
      </c>
      <c r="E2874" t="s">
        <v>1069</v>
      </c>
      <c r="F2874" t="s">
        <v>1612</v>
      </c>
      <c r="I2874" t="s">
        <v>1077</v>
      </c>
      <c r="K2874">
        <v>1913</v>
      </c>
      <c r="L2874">
        <v>1913</v>
      </c>
      <c r="M2874" t="s">
        <v>222</v>
      </c>
      <c r="N2874" t="s">
        <v>222</v>
      </c>
      <c r="O2874" t="s">
        <v>8251</v>
      </c>
      <c r="P2874" t="s">
        <v>8270</v>
      </c>
      <c r="Q2874" t="str">
        <f>IF($C2874="","",IFERROR(VLOOKUP($C2874,sources!$A$2:$N$200,2,FALSE()),"?"))</f>
        <v>Web compilation</v>
      </c>
      <c r="S2874" t="str">
        <f>IF($C2874="","",IFERROR(VLOOKUP($C2874,sources!$A$2:$N$200,9,FALSE()),"?"))</f>
        <v>Mixed</v>
      </c>
    </row>
    <row r="2875" spans="1:19" x14ac:dyDescent="0.2">
      <c r="A2875" t="s">
        <v>8277</v>
      </c>
      <c r="B2875" t="s">
        <v>1072</v>
      </c>
      <c r="C2875" t="s">
        <v>1315</v>
      </c>
      <c r="D2875" t="s">
        <v>1599</v>
      </c>
      <c r="E2875" t="s">
        <v>1073</v>
      </c>
      <c r="F2875" t="s">
        <v>1612</v>
      </c>
      <c r="I2875" t="s">
        <v>1077</v>
      </c>
      <c r="K2875">
        <v>1913</v>
      </c>
      <c r="L2875">
        <v>1913</v>
      </c>
      <c r="M2875" t="s">
        <v>222</v>
      </c>
      <c r="N2875" t="s">
        <v>222</v>
      </c>
      <c r="O2875" t="s">
        <v>8251</v>
      </c>
      <c r="P2875" t="s">
        <v>8278</v>
      </c>
      <c r="Q2875" t="str">
        <f>IF($C2875="","",IFERROR(VLOOKUP($C2875,sources!$A$2:$N$200,2,FALSE()),"?"))</f>
        <v>Web compilation</v>
      </c>
      <c r="S2875" t="str">
        <f>IF($C2875="","",IFERROR(VLOOKUP($C2875,sources!$A$2:$N$200,9,FALSE()),"?"))</f>
        <v>Mixed</v>
      </c>
    </row>
    <row r="2876" spans="1:19" x14ac:dyDescent="0.2">
      <c r="A2876" t="s">
        <v>8279</v>
      </c>
      <c r="B2876" t="s">
        <v>1072</v>
      </c>
      <c r="C2876" t="s">
        <v>1315</v>
      </c>
      <c r="D2876" t="s">
        <v>1603</v>
      </c>
      <c r="E2876" t="s">
        <v>1073</v>
      </c>
      <c r="F2876" t="s">
        <v>1612</v>
      </c>
      <c r="I2876" t="s">
        <v>1077</v>
      </c>
      <c r="K2876">
        <v>1913</v>
      </c>
      <c r="L2876">
        <v>1913</v>
      </c>
      <c r="M2876" t="s">
        <v>222</v>
      </c>
      <c r="N2876" t="s">
        <v>222</v>
      </c>
      <c r="O2876" t="s">
        <v>8251</v>
      </c>
      <c r="P2876" t="s">
        <v>8270</v>
      </c>
      <c r="Q2876" t="str">
        <f>IF($C2876="","",IFERROR(VLOOKUP($C2876,sources!$A$2:$N$200,2,FALSE()),"?"))</f>
        <v>Web compilation</v>
      </c>
      <c r="S2876" t="str">
        <f>IF($C2876="","",IFERROR(VLOOKUP($C2876,sources!$A$2:$N$200,9,FALSE()),"?"))</f>
        <v>Mixed</v>
      </c>
    </row>
    <row r="2877" spans="1:19" x14ac:dyDescent="0.2">
      <c r="A2877" t="s">
        <v>8280</v>
      </c>
      <c r="B2877" t="s">
        <v>1075</v>
      </c>
      <c r="C2877" t="s">
        <v>1315</v>
      </c>
      <c r="D2877" t="s">
        <v>1585</v>
      </c>
      <c r="E2877" t="s">
        <v>1076</v>
      </c>
      <c r="F2877" t="s">
        <v>1612</v>
      </c>
      <c r="I2877" t="s">
        <v>1077</v>
      </c>
      <c r="K2877">
        <v>1919</v>
      </c>
      <c r="L2877">
        <v>1919</v>
      </c>
      <c r="M2877" t="s">
        <v>222</v>
      </c>
      <c r="N2877" t="s">
        <v>228</v>
      </c>
      <c r="O2877" t="s">
        <v>8251</v>
      </c>
      <c r="P2877" t="s">
        <v>8281</v>
      </c>
      <c r="Q2877" t="str">
        <f>IF($C2877="","",IFERROR(VLOOKUP($C2877,sources!$A$2:$N$200,2,FALSE()),"?"))</f>
        <v>Web compilation</v>
      </c>
      <c r="S2877" t="str">
        <f>IF($C2877="","",IFERROR(VLOOKUP($C2877,sources!$A$2:$N$200,9,FALSE()),"?"))</f>
        <v>Mixed</v>
      </c>
    </row>
    <row r="2878" spans="1:19" x14ac:dyDescent="0.2">
      <c r="A2878" t="s">
        <v>8282</v>
      </c>
      <c r="B2878" t="s">
        <v>1080</v>
      </c>
      <c r="C2878" t="s">
        <v>1398</v>
      </c>
      <c r="D2878" t="s">
        <v>1599</v>
      </c>
      <c r="E2878" t="s">
        <v>8283</v>
      </c>
      <c r="F2878" t="s">
        <v>1612</v>
      </c>
      <c r="I2878" t="s">
        <v>1077</v>
      </c>
      <c r="K2878">
        <v>1950</v>
      </c>
      <c r="L2878">
        <v>1950</v>
      </c>
      <c r="M2878" t="s">
        <v>222</v>
      </c>
      <c r="N2878" t="s">
        <v>222</v>
      </c>
      <c r="O2878" t="s">
        <v>8251</v>
      </c>
      <c r="P2878" t="s">
        <v>8284</v>
      </c>
      <c r="Q2878" t="str">
        <f>IF($C2878="","",IFERROR(VLOOKUP($C2878,sources!$A$2:$N$200,2,FALSE()),"?"))</f>
        <v>Map</v>
      </c>
      <c r="S2878" t="str">
        <f>IF($C2878="","",IFERROR(VLOOKUP($C2878,sources!$A$2:$N$200,9,FALSE()),"?"))</f>
        <v>US official</v>
      </c>
    </row>
    <row r="2879" spans="1:19" x14ac:dyDescent="0.2">
      <c r="A2879" t="s">
        <v>8285</v>
      </c>
      <c r="B2879" t="s">
        <v>1084</v>
      </c>
      <c r="C2879" t="s">
        <v>1398</v>
      </c>
      <c r="D2879" t="s">
        <v>1599</v>
      </c>
      <c r="E2879" t="s">
        <v>8286</v>
      </c>
      <c r="F2879" t="s">
        <v>1612</v>
      </c>
      <c r="I2879" t="s">
        <v>1077</v>
      </c>
      <c r="K2879">
        <v>1950</v>
      </c>
      <c r="L2879">
        <v>1950</v>
      </c>
      <c r="M2879" t="s">
        <v>222</v>
      </c>
      <c r="N2879" t="s">
        <v>222</v>
      </c>
      <c r="O2879" t="s">
        <v>8251</v>
      </c>
      <c r="P2879" t="s">
        <v>8287</v>
      </c>
      <c r="Q2879" t="str">
        <f>IF($C2879="","",IFERROR(VLOOKUP($C2879,sources!$A$2:$N$200,2,FALSE()),"?"))</f>
        <v>Map</v>
      </c>
      <c r="S2879" t="str">
        <f>IF($C2879="","",IFERROR(VLOOKUP($C2879,sources!$A$2:$N$200,9,FALSE()),"?"))</f>
        <v>US official</v>
      </c>
    </row>
    <row r="2880" spans="1:19" x14ac:dyDescent="0.2">
      <c r="A2880" t="s">
        <v>8288</v>
      </c>
      <c r="B2880" t="s">
        <v>1087</v>
      </c>
      <c r="C2880" t="s">
        <v>1398</v>
      </c>
      <c r="D2880" t="s">
        <v>1599</v>
      </c>
      <c r="E2880" t="s">
        <v>8289</v>
      </c>
      <c r="F2880" t="s">
        <v>1612</v>
      </c>
      <c r="I2880" t="s">
        <v>1077</v>
      </c>
      <c r="K2880">
        <v>1950</v>
      </c>
      <c r="L2880">
        <v>1950</v>
      </c>
      <c r="M2880" t="s">
        <v>222</v>
      </c>
      <c r="N2880" t="s">
        <v>222</v>
      </c>
      <c r="O2880" t="s">
        <v>8251</v>
      </c>
      <c r="P2880" t="s">
        <v>8290</v>
      </c>
      <c r="Q2880" t="str">
        <f>IF($C2880="","",IFERROR(VLOOKUP($C2880,sources!$A$2:$N$200,2,FALSE()),"?"))</f>
        <v>Map</v>
      </c>
      <c r="S2880" t="str">
        <f>IF($C2880="","",IFERROR(VLOOKUP($C2880,sources!$A$2:$N$200,9,FALSE()),"?"))</f>
        <v>US official</v>
      </c>
    </row>
    <row r="2881" spans="1:19" x14ac:dyDescent="0.2">
      <c r="A2881" t="s">
        <v>8291</v>
      </c>
      <c r="B2881" t="s">
        <v>1091</v>
      </c>
      <c r="C2881" t="s">
        <v>1398</v>
      </c>
      <c r="D2881" t="s">
        <v>1599</v>
      </c>
      <c r="E2881" t="s">
        <v>8292</v>
      </c>
      <c r="F2881" t="s">
        <v>1612</v>
      </c>
      <c r="I2881" t="s">
        <v>1077</v>
      </c>
      <c r="K2881">
        <v>1950</v>
      </c>
      <c r="L2881">
        <v>1950</v>
      </c>
      <c r="M2881" t="s">
        <v>222</v>
      </c>
      <c r="N2881" t="s">
        <v>222</v>
      </c>
      <c r="O2881" t="s">
        <v>8251</v>
      </c>
      <c r="P2881" t="s">
        <v>8293</v>
      </c>
      <c r="Q2881" t="str">
        <f>IF($C2881="","",IFERROR(VLOOKUP($C2881,sources!$A$2:$N$200,2,FALSE()),"?"))</f>
        <v>Map</v>
      </c>
      <c r="S2881" t="str">
        <f>IF($C2881="","",IFERROR(VLOOKUP($C2881,sources!$A$2:$N$200,9,FALSE()),"?"))</f>
        <v>US official</v>
      </c>
    </row>
    <row r="2882" spans="1:19" x14ac:dyDescent="0.2">
      <c r="A2882" t="s">
        <v>8294</v>
      </c>
      <c r="B2882" t="s">
        <v>1095</v>
      </c>
      <c r="C2882" t="s">
        <v>1398</v>
      </c>
      <c r="D2882" t="s">
        <v>1599</v>
      </c>
      <c r="E2882" t="s">
        <v>8295</v>
      </c>
      <c r="F2882" t="s">
        <v>1612</v>
      </c>
      <c r="I2882" t="s">
        <v>1077</v>
      </c>
      <c r="K2882">
        <v>1950</v>
      </c>
      <c r="L2882">
        <v>1950</v>
      </c>
      <c r="M2882" t="s">
        <v>222</v>
      </c>
      <c r="N2882" t="s">
        <v>222</v>
      </c>
      <c r="O2882" t="s">
        <v>8251</v>
      </c>
      <c r="P2882" t="s">
        <v>8296</v>
      </c>
      <c r="Q2882" t="str">
        <f>IF($C2882="","",IFERROR(VLOOKUP($C2882,sources!$A$2:$N$200,2,FALSE()),"?"))</f>
        <v>Map</v>
      </c>
      <c r="S2882" t="str">
        <f>IF($C2882="","",IFERROR(VLOOKUP($C2882,sources!$A$2:$N$200,9,FALSE()),"?"))</f>
        <v>US official</v>
      </c>
    </row>
    <row r="2883" spans="1:19" x14ac:dyDescent="0.2">
      <c r="A2883" t="s">
        <v>8297</v>
      </c>
      <c r="B2883" t="s">
        <v>1099</v>
      </c>
      <c r="C2883" t="s">
        <v>1398</v>
      </c>
      <c r="D2883" t="s">
        <v>1599</v>
      </c>
      <c r="E2883" t="s">
        <v>8298</v>
      </c>
      <c r="F2883" t="s">
        <v>1612</v>
      </c>
      <c r="I2883" t="s">
        <v>1077</v>
      </c>
      <c r="K2883">
        <v>1950</v>
      </c>
      <c r="L2883">
        <v>1950</v>
      </c>
      <c r="M2883" t="s">
        <v>222</v>
      </c>
      <c r="N2883" t="s">
        <v>222</v>
      </c>
      <c r="O2883" t="s">
        <v>8251</v>
      </c>
      <c r="P2883" t="s">
        <v>8299</v>
      </c>
      <c r="Q2883" t="str">
        <f>IF($C2883="","",IFERROR(VLOOKUP($C2883,sources!$A$2:$N$200,2,FALSE()),"?"))</f>
        <v>Map</v>
      </c>
      <c r="S2883" t="str">
        <f>IF($C2883="","",IFERROR(VLOOKUP($C2883,sources!$A$2:$N$200,9,FALSE()),"?"))</f>
        <v>US official</v>
      </c>
    </row>
    <row r="2884" spans="1:19" x14ac:dyDescent="0.2">
      <c r="A2884" t="s">
        <v>8300</v>
      </c>
      <c r="B2884" t="s">
        <v>1103</v>
      </c>
      <c r="C2884" t="s">
        <v>1398</v>
      </c>
      <c r="D2884" t="s">
        <v>1599</v>
      </c>
      <c r="E2884" t="s">
        <v>8301</v>
      </c>
      <c r="F2884" t="s">
        <v>1612</v>
      </c>
      <c r="I2884" t="s">
        <v>1077</v>
      </c>
      <c r="K2884">
        <v>1950</v>
      </c>
      <c r="L2884">
        <v>1950</v>
      </c>
      <c r="M2884" t="s">
        <v>222</v>
      </c>
      <c r="N2884" t="s">
        <v>222</v>
      </c>
      <c r="O2884" t="s">
        <v>8251</v>
      </c>
      <c r="P2884" t="s">
        <v>8302</v>
      </c>
      <c r="Q2884" t="str">
        <f>IF($C2884="","",IFERROR(VLOOKUP($C2884,sources!$A$2:$N$200,2,FALSE()),"?"))</f>
        <v>Map</v>
      </c>
      <c r="S2884" t="str">
        <f>IF($C2884="","",IFERROR(VLOOKUP($C2884,sources!$A$2:$N$200,9,FALSE()),"?"))</f>
        <v>US official</v>
      </c>
    </row>
    <row r="2885" spans="1:19" x14ac:dyDescent="0.2">
      <c r="A2885" t="s">
        <v>8303</v>
      </c>
      <c r="B2885" t="s">
        <v>1106</v>
      </c>
      <c r="C2885" t="s">
        <v>1398</v>
      </c>
      <c r="D2885" t="s">
        <v>1599</v>
      </c>
      <c r="E2885" t="s">
        <v>8304</v>
      </c>
      <c r="F2885" t="s">
        <v>1612</v>
      </c>
      <c r="I2885" t="s">
        <v>1077</v>
      </c>
      <c r="K2885">
        <v>1950</v>
      </c>
      <c r="L2885">
        <v>1950</v>
      </c>
      <c r="M2885" t="s">
        <v>222</v>
      </c>
      <c r="N2885" t="s">
        <v>222</v>
      </c>
      <c r="O2885" t="s">
        <v>8251</v>
      </c>
      <c r="P2885" t="s">
        <v>8305</v>
      </c>
      <c r="Q2885" t="str">
        <f>IF($C2885="","",IFERROR(VLOOKUP($C2885,sources!$A$2:$N$200,2,FALSE()),"?"))</f>
        <v>Map</v>
      </c>
      <c r="S2885" t="str">
        <f>IF($C2885="","",IFERROR(VLOOKUP($C2885,sources!$A$2:$N$200,9,FALSE()),"?"))</f>
        <v>US official</v>
      </c>
    </row>
    <row r="2886" spans="1:19" x14ac:dyDescent="0.2">
      <c r="A2886" t="s">
        <v>8306</v>
      </c>
      <c r="B2886" t="s">
        <v>1109</v>
      </c>
      <c r="C2886" t="s">
        <v>1398</v>
      </c>
      <c r="D2886" t="s">
        <v>1599</v>
      </c>
      <c r="E2886" t="s">
        <v>8307</v>
      </c>
      <c r="F2886" t="s">
        <v>1612</v>
      </c>
      <c r="I2886" t="s">
        <v>1077</v>
      </c>
      <c r="K2886">
        <v>1950</v>
      </c>
      <c r="L2886">
        <v>1950</v>
      </c>
      <c r="M2886" t="s">
        <v>222</v>
      </c>
      <c r="N2886" t="s">
        <v>222</v>
      </c>
      <c r="O2886" t="s">
        <v>8251</v>
      </c>
      <c r="P2886" t="s">
        <v>8308</v>
      </c>
      <c r="Q2886" t="str">
        <f>IF($C2886="","",IFERROR(VLOOKUP($C2886,sources!$A$2:$N$200,2,FALSE()),"?"))</f>
        <v>Map</v>
      </c>
      <c r="S2886" t="str">
        <f>IF($C2886="","",IFERROR(VLOOKUP($C2886,sources!$A$2:$N$200,9,FALSE()),"?"))</f>
        <v>US official</v>
      </c>
    </row>
    <row r="2887" spans="1:19" x14ac:dyDescent="0.2">
      <c r="A2887" t="s">
        <v>8309</v>
      </c>
      <c r="B2887" t="s">
        <v>1112</v>
      </c>
      <c r="C2887" t="s">
        <v>1398</v>
      </c>
      <c r="D2887" t="s">
        <v>1599</v>
      </c>
      <c r="E2887" t="s">
        <v>8310</v>
      </c>
      <c r="F2887" t="s">
        <v>1612</v>
      </c>
      <c r="I2887" t="s">
        <v>1077</v>
      </c>
      <c r="K2887">
        <v>1950</v>
      </c>
      <c r="L2887">
        <v>1950</v>
      </c>
      <c r="M2887" t="s">
        <v>222</v>
      </c>
      <c r="N2887" t="s">
        <v>222</v>
      </c>
      <c r="O2887" t="s">
        <v>8251</v>
      </c>
      <c r="P2887" t="s">
        <v>8311</v>
      </c>
      <c r="Q2887" t="str">
        <f>IF($C2887="","",IFERROR(VLOOKUP($C2887,sources!$A$2:$N$200,2,FALSE()),"?"))</f>
        <v>Map</v>
      </c>
      <c r="S2887" t="str">
        <f>IF($C2887="","",IFERROR(VLOOKUP($C2887,sources!$A$2:$N$200,9,FALSE()),"?"))</f>
        <v>US official</v>
      </c>
    </row>
    <row r="2888" spans="1:19" x14ac:dyDescent="0.2">
      <c r="A2888" t="s">
        <v>8312</v>
      </c>
      <c r="B2888" t="s">
        <v>1115</v>
      </c>
      <c r="C2888" t="s">
        <v>1398</v>
      </c>
      <c r="D2888" t="s">
        <v>1599</v>
      </c>
      <c r="E2888" t="s">
        <v>8313</v>
      </c>
      <c r="F2888" t="s">
        <v>1612</v>
      </c>
      <c r="I2888" t="s">
        <v>1077</v>
      </c>
      <c r="K2888">
        <v>1950</v>
      </c>
      <c r="L2888">
        <v>1950</v>
      </c>
      <c r="M2888" t="s">
        <v>222</v>
      </c>
      <c r="N2888" t="s">
        <v>222</v>
      </c>
      <c r="O2888" t="s">
        <v>8251</v>
      </c>
      <c r="P2888" t="s">
        <v>8314</v>
      </c>
      <c r="Q2888" t="str">
        <f>IF($C2888="","",IFERROR(VLOOKUP($C2888,sources!$A$2:$N$200,2,FALSE()),"?"))</f>
        <v>Map</v>
      </c>
      <c r="S2888" t="str">
        <f>IF($C2888="","",IFERROR(VLOOKUP($C2888,sources!$A$2:$N$200,9,FALSE()),"?"))</f>
        <v>US official</v>
      </c>
    </row>
    <row r="2889" spans="1:19" x14ac:dyDescent="0.2">
      <c r="A2889" t="s">
        <v>8315</v>
      </c>
      <c r="B2889" t="s">
        <v>1118</v>
      </c>
      <c r="C2889" t="s">
        <v>1398</v>
      </c>
      <c r="D2889" t="s">
        <v>1599</v>
      </c>
      <c r="E2889" t="s">
        <v>8316</v>
      </c>
      <c r="F2889" t="s">
        <v>1612</v>
      </c>
      <c r="I2889" t="s">
        <v>1077</v>
      </c>
      <c r="K2889">
        <v>1950</v>
      </c>
      <c r="L2889">
        <v>1950</v>
      </c>
      <c r="M2889" t="s">
        <v>222</v>
      </c>
      <c r="N2889" t="s">
        <v>222</v>
      </c>
      <c r="O2889" t="s">
        <v>8251</v>
      </c>
      <c r="P2889" t="s">
        <v>8317</v>
      </c>
      <c r="Q2889" t="str">
        <f>IF($C2889="","",IFERROR(VLOOKUP($C2889,sources!$A$2:$N$200,2,FALSE()),"?"))</f>
        <v>Map</v>
      </c>
      <c r="S2889" t="str">
        <f>IF($C2889="","",IFERROR(VLOOKUP($C2889,sources!$A$2:$N$200,9,FALSE()),"?"))</f>
        <v>US official</v>
      </c>
    </row>
    <row r="2890" spans="1:19" x14ac:dyDescent="0.2">
      <c r="A2890" t="s">
        <v>8318</v>
      </c>
      <c r="B2890" t="s">
        <v>1122</v>
      </c>
      <c r="C2890" t="s">
        <v>1315</v>
      </c>
      <c r="D2890" t="s">
        <v>1599</v>
      </c>
      <c r="E2890" t="s">
        <v>1123</v>
      </c>
      <c r="F2890" t="s">
        <v>1612</v>
      </c>
      <c r="I2890" t="s">
        <v>1077</v>
      </c>
      <c r="K2890">
        <v>1964</v>
      </c>
      <c r="L2890">
        <v>1964</v>
      </c>
      <c r="M2890" t="s">
        <v>222</v>
      </c>
      <c r="N2890" t="s">
        <v>228</v>
      </c>
      <c r="O2890" t="s">
        <v>8251</v>
      </c>
      <c r="P2890" t="s">
        <v>8319</v>
      </c>
      <c r="Q2890" t="str">
        <f>IF($C2890="","",IFERROR(VLOOKUP($C2890,sources!$A$2:$N$200,2,FALSE()),"?"))</f>
        <v>Web compilation</v>
      </c>
      <c r="S2890" t="str">
        <f>IF($C2890="","",IFERROR(VLOOKUP($C2890,sources!$A$2:$N$200,9,FALSE()),"?"))</f>
        <v>Mixed</v>
      </c>
    </row>
    <row r="2891" spans="1:19" x14ac:dyDescent="0.2">
      <c r="A2891" t="s">
        <v>8320</v>
      </c>
      <c r="B2891" t="s">
        <v>1126</v>
      </c>
      <c r="C2891" t="s">
        <v>1315</v>
      </c>
      <c r="D2891" t="s">
        <v>1599</v>
      </c>
      <c r="E2891" t="s">
        <v>1127</v>
      </c>
      <c r="F2891" t="s">
        <v>1612</v>
      </c>
      <c r="I2891" t="s">
        <v>1077</v>
      </c>
      <c r="K2891">
        <v>1964</v>
      </c>
      <c r="L2891">
        <v>1964</v>
      </c>
      <c r="M2891" t="s">
        <v>222</v>
      </c>
      <c r="N2891" t="s">
        <v>228</v>
      </c>
      <c r="O2891" t="s">
        <v>8251</v>
      </c>
      <c r="P2891" t="s">
        <v>8321</v>
      </c>
      <c r="Q2891" t="str">
        <f>IF($C2891="","",IFERROR(VLOOKUP($C2891,sources!$A$2:$N$200,2,FALSE()),"?"))</f>
        <v>Web compilation</v>
      </c>
      <c r="S2891" t="str">
        <f>IF($C2891="","",IFERROR(VLOOKUP($C2891,sources!$A$2:$N$200,9,FALSE()),"?"))</f>
        <v>Mixed</v>
      </c>
    </row>
    <row r="2892" spans="1:19" x14ac:dyDescent="0.2">
      <c r="A2892" t="s">
        <v>8322</v>
      </c>
      <c r="B2892" t="s">
        <v>1129</v>
      </c>
      <c r="C2892" t="s">
        <v>1315</v>
      </c>
      <c r="D2892" t="s">
        <v>1599</v>
      </c>
      <c r="E2892" t="s">
        <v>8047</v>
      </c>
      <c r="F2892" t="s">
        <v>1612</v>
      </c>
      <c r="I2892" t="s">
        <v>1077</v>
      </c>
      <c r="N2892" t="s">
        <v>222</v>
      </c>
      <c r="O2892" t="s">
        <v>8251</v>
      </c>
      <c r="P2892" t="s">
        <v>8323</v>
      </c>
      <c r="Q2892" t="str">
        <f>IF($C2892="","",IFERROR(VLOOKUP($C2892,sources!$A$2:$N$200,2,FALSE()),"?"))</f>
        <v>Web compilation</v>
      </c>
      <c r="S2892" t="str">
        <f>IF($C2892="","",IFERROR(VLOOKUP($C2892,sources!$A$2:$N$200,9,FALSE()),"?"))</f>
        <v>Mixed</v>
      </c>
    </row>
    <row r="2893" spans="1:19" x14ac:dyDescent="0.2">
      <c r="A2893" t="s">
        <v>8324</v>
      </c>
      <c r="B2893" t="s">
        <v>921</v>
      </c>
      <c r="C2893" t="s">
        <v>1315</v>
      </c>
      <c r="D2893" t="s">
        <v>1585</v>
      </c>
      <c r="E2893" t="s">
        <v>8325</v>
      </c>
      <c r="F2893" t="s">
        <v>1612</v>
      </c>
      <c r="I2893" t="s">
        <v>1077</v>
      </c>
      <c r="N2893" t="s">
        <v>228</v>
      </c>
      <c r="O2893" t="s">
        <v>8251</v>
      </c>
      <c r="P2893" t="s">
        <v>8326</v>
      </c>
      <c r="Q2893" t="str">
        <f>IF($C2893="","",IFERROR(VLOOKUP($C2893,sources!$A$2:$N$200,2,FALSE()),"?"))</f>
        <v>Web compilation</v>
      </c>
      <c r="S2893" t="str">
        <f>IF($C2893="","",IFERROR(VLOOKUP($C2893,sources!$A$2:$N$200,9,FALSE()),"?"))</f>
        <v>Mixed</v>
      </c>
    </row>
    <row r="2894" spans="1:19" x14ac:dyDescent="0.2">
      <c r="A2894" t="s">
        <v>8327</v>
      </c>
      <c r="B2894" t="s">
        <v>675</v>
      </c>
      <c r="C2894" t="s">
        <v>1222</v>
      </c>
      <c r="D2894" t="s">
        <v>1666</v>
      </c>
      <c r="E2894" t="s">
        <v>4051</v>
      </c>
      <c r="F2894" t="s">
        <v>1612</v>
      </c>
      <c r="I2894" t="s">
        <v>1077</v>
      </c>
      <c r="N2894" t="s">
        <v>228</v>
      </c>
      <c r="O2894" t="s">
        <v>6530</v>
      </c>
      <c r="P2894" t="s">
        <v>8328</v>
      </c>
      <c r="Q2894" t="str">
        <f>IF($C2894="","",IFERROR(VLOOKUP($C2894,sources!$A$2:$N$200,2,FALSE()),"?"))</f>
        <v>Newspaper</v>
      </c>
      <c r="S2894" t="str">
        <f>IF($C2894="","",IFERROR(VLOOKUP($C2894,sources!$A$2:$N$200,9,FALSE()),"?"))</f>
        <v>US press</v>
      </c>
    </row>
    <row r="2895" spans="1:19" x14ac:dyDescent="0.2">
      <c r="A2895" t="s">
        <v>8329</v>
      </c>
      <c r="B2895" t="s">
        <v>689</v>
      </c>
      <c r="C2895" t="s">
        <v>1222</v>
      </c>
      <c r="D2895" t="s">
        <v>1666</v>
      </c>
      <c r="E2895" t="s">
        <v>7715</v>
      </c>
      <c r="F2895" t="s">
        <v>1612</v>
      </c>
      <c r="I2895" t="s">
        <v>1077</v>
      </c>
      <c r="N2895" t="s">
        <v>228</v>
      </c>
      <c r="O2895" t="s">
        <v>6530</v>
      </c>
      <c r="P2895" t="s">
        <v>8330</v>
      </c>
      <c r="Q2895" t="str">
        <f>IF($C2895="","",IFERROR(VLOOKUP($C2895,sources!$A$2:$N$200,2,FALSE()),"?"))</f>
        <v>Newspaper</v>
      </c>
      <c r="S2895" t="str">
        <f>IF($C2895="","",IFERROR(VLOOKUP($C2895,sources!$A$2:$N$200,9,FALSE()),"?"))</f>
        <v>US press</v>
      </c>
    </row>
    <row r="2896" spans="1:19" x14ac:dyDescent="0.2">
      <c r="A2896" t="s">
        <v>8331</v>
      </c>
      <c r="B2896" t="s">
        <v>699</v>
      </c>
      <c r="C2896" t="s">
        <v>1222</v>
      </c>
      <c r="D2896" t="s">
        <v>1666</v>
      </c>
      <c r="E2896" t="s">
        <v>7724</v>
      </c>
      <c r="F2896" t="s">
        <v>1612</v>
      </c>
      <c r="I2896" t="s">
        <v>1077</v>
      </c>
      <c r="N2896" t="s">
        <v>228</v>
      </c>
      <c r="O2896" t="s">
        <v>6530</v>
      </c>
      <c r="P2896" t="s">
        <v>8332</v>
      </c>
      <c r="Q2896" t="str">
        <f>IF($C2896="","",IFERROR(VLOOKUP($C2896,sources!$A$2:$N$200,2,FALSE()),"?"))</f>
        <v>Newspaper</v>
      </c>
      <c r="S2896" t="str">
        <f>IF($C2896="","",IFERROR(VLOOKUP($C2896,sources!$A$2:$N$200,9,FALSE()),"?"))</f>
        <v>US press</v>
      </c>
    </row>
    <row r="2897" spans="1:19" x14ac:dyDescent="0.2">
      <c r="A2897" t="s">
        <v>8333</v>
      </c>
      <c r="B2897" t="s">
        <v>749</v>
      </c>
      <c r="C2897" t="s">
        <v>1222</v>
      </c>
      <c r="D2897" t="s">
        <v>1666</v>
      </c>
      <c r="E2897" t="s">
        <v>7760</v>
      </c>
      <c r="F2897" t="s">
        <v>1612</v>
      </c>
      <c r="I2897" t="s">
        <v>1077</v>
      </c>
      <c r="N2897" t="s">
        <v>228</v>
      </c>
      <c r="O2897" t="s">
        <v>6530</v>
      </c>
      <c r="P2897" t="s">
        <v>8334</v>
      </c>
      <c r="Q2897" t="str">
        <f>IF($C2897="","",IFERROR(VLOOKUP($C2897,sources!$A$2:$N$200,2,FALSE()),"?"))</f>
        <v>Newspaper</v>
      </c>
      <c r="S2897" t="str">
        <f>IF($C2897="","",IFERROR(VLOOKUP($C2897,sources!$A$2:$N$200,9,FALSE()),"?"))</f>
        <v>US press</v>
      </c>
    </row>
    <row r="2898" spans="1:19" x14ac:dyDescent="0.2">
      <c r="A2898" t="s">
        <v>8335</v>
      </c>
      <c r="B2898" t="s">
        <v>1049</v>
      </c>
      <c r="C2898" t="s">
        <v>1167</v>
      </c>
      <c r="D2898" t="s">
        <v>1599</v>
      </c>
      <c r="E2898" t="s">
        <v>8250</v>
      </c>
      <c r="F2898" t="s">
        <v>1612</v>
      </c>
      <c r="I2898" t="s">
        <v>1077</v>
      </c>
      <c r="N2898" t="s">
        <v>8336</v>
      </c>
      <c r="O2898" t="s">
        <v>6530</v>
      </c>
      <c r="P2898" t="s">
        <v>8337</v>
      </c>
      <c r="Q2898" t="str">
        <f>IF($C2898="","",IFERROR(VLOOKUP($C2898,sources!$A$2:$N$200,2,FALSE()),"?"))</f>
        <v>Report</v>
      </c>
      <c r="S2898" t="str">
        <f>IF($C2898="","",IFERROR(VLOOKUP($C2898,sources!$A$2:$N$200,9,FALSE()),"?"))</f>
        <v>US official</v>
      </c>
    </row>
    <row r="2899" spans="1:19" x14ac:dyDescent="0.2">
      <c r="A2899" t="s">
        <v>8338</v>
      </c>
      <c r="B2899" t="s">
        <v>1049</v>
      </c>
      <c r="C2899" t="s">
        <v>1403</v>
      </c>
      <c r="D2899" t="s">
        <v>1666</v>
      </c>
      <c r="E2899" t="s">
        <v>8250</v>
      </c>
      <c r="F2899" t="s">
        <v>1612</v>
      </c>
      <c r="I2899" t="s">
        <v>1077</v>
      </c>
      <c r="N2899" t="s">
        <v>228</v>
      </c>
      <c r="O2899" t="s">
        <v>6530</v>
      </c>
      <c r="P2899" t="s">
        <v>7796</v>
      </c>
      <c r="Q2899" t="str">
        <f>IF($C2899="","",IFERROR(VLOOKUP($C2899,sources!$A$2:$N$200,2,FALSE()),"?"))</f>
        <v>Newspaper</v>
      </c>
      <c r="S2899" t="str">
        <f>IF($C2899="","",IFERROR(VLOOKUP($C2899,sources!$A$2:$N$200,9,FALSE()),"?"))</f>
        <v>Caribbean community</v>
      </c>
    </row>
    <row r="2900" spans="1:19" x14ac:dyDescent="0.2">
      <c r="A2900" t="s">
        <v>8339</v>
      </c>
      <c r="B2900" t="s">
        <v>1049</v>
      </c>
      <c r="C2900" t="s">
        <v>1277</v>
      </c>
      <c r="D2900" t="s">
        <v>1666</v>
      </c>
      <c r="E2900" t="s">
        <v>8250</v>
      </c>
      <c r="F2900" t="s">
        <v>1612</v>
      </c>
      <c r="I2900" t="s">
        <v>1077</v>
      </c>
      <c r="N2900" t="s">
        <v>209</v>
      </c>
      <c r="O2900" t="s">
        <v>6530</v>
      </c>
      <c r="P2900" t="s">
        <v>8340</v>
      </c>
      <c r="Q2900" t="str">
        <f>IF($C2900="","",IFERROR(VLOOKUP($C2900,sources!$A$2:$N$200,2,FALSE()),"?"))</f>
        <v>Administrative</v>
      </c>
      <c r="S2900" t="str">
        <f>IF($C2900="","",IFERROR(VLOOKUP($C2900,sources!$A$2:$N$200,9,FALSE()),"?"))</f>
        <v>US official</v>
      </c>
    </row>
    <row r="2901" spans="1:19" x14ac:dyDescent="0.2">
      <c r="A2901" t="s">
        <v>8341</v>
      </c>
      <c r="B2901" t="s">
        <v>1052</v>
      </c>
      <c r="C2901" t="s">
        <v>1167</v>
      </c>
      <c r="D2901" t="s">
        <v>1666</v>
      </c>
      <c r="E2901" t="s">
        <v>8342</v>
      </c>
      <c r="F2901" t="s">
        <v>1612</v>
      </c>
      <c r="I2901" t="s">
        <v>1077</v>
      </c>
      <c r="N2901" t="s">
        <v>228</v>
      </c>
      <c r="O2901" t="s">
        <v>6530</v>
      </c>
      <c r="P2901" t="s">
        <v>8343</v>
      </c>
      <c r="Q2901" t="str">
        <f>IF($C2901="","",IFERROR(VLOOKUP($C2901,sources!$A$2:$N$200,2,FALSE()),"?"))</f>
        <v>Report</v>
      </c>
      <c r="S2901" t="str">
        <f>IF($C2901="","",IFERROR(VLOOKUP($C2901,sources!$A$2:$N$200,9,FALSE()),"?"))</f>
        <v>US official</v>
      </c>
    </row>
    <row r="2902" spans="1:19" x14ac:dyDescent="0.2">
      <c r="A2902" t="s">
        <v>8344</v>
      </c>
      <c r="B2902" t="s">
        <v>1052</v>
      </c>
      <c r="C2902" t="s">
        <v>1403</v>
      </c>
      <c r="D2902" t="s">
        <v>1666</v>
      </c>
      <c r="E2902" t="s">
        <v>8342</v>
      </c>
      <c r="F2902" t="s">
        <v>1612</v>
      </c>
      <c r="I2902" t="s">
        <v>1077</v>
      </c>
      <c r="N2902" t="s">
        <v>228</v>
      </c>
      <c r="O2902" t="s">
        <v>6530</v>
      </c>
      <c r="P2902" t="s">
        <v>8345</v>
      </c>
      <c r="Q2902" t="str">
        <f>IF($C2902="","",IFERROR(VLOOKUP($C2902,sources!$A$2:$N$200,2,FALSE()),"?"))</f>
        <v>Newspaper</v>
      </c>
      <c r="S2902" t="str">
        <f>IF($C2902="","",IFERROR(VLOOKUP($C2902,sources!$A$2:$N$200,9,FALSE()),"?"))</f>
        <v>Caribbean community</v>
      </c>
    </row>
    <row r="2903" spans="1:19" x14ac:dyDescent="0.2">
      <c r="A2903" t="s">
        <v>8346</v>
      </c>
      <c r="B2903" t="s">
        <v>1052</v>
      </c>
      <c r="C2903" t="s">
        <v>1277</v>
      </c>
      <c r="D2903" t="s">
        <v>1666</v>
      </c>
      <c r="E2903" t="s">
        <v>8342</v>
      </c>
      <c r="F2903" t="s">
        <v>1612</v>
      </c>
      <c r="I2903" t="s">
        <v>1077</v>
      </c>
      <c r="N2903" t="s">
        <v>209</v>
      </c>
      <c r="O2903" t="s">
        <v>6530</v>
      </c>
      <c r="P2903" t="s">
        <v>8347</v>
      </c>
      <c r="Q2903" t="str">
        <f>IF($C2903="","",IFERROR(VLOOKUP($C2903,sources!$A$2:$N$200,2,FALSE()),"?"))</f>
        <v>Administrative</v>
      </c>
      <c r="S2903" t="str">
        <f>IF($C2903="","",IFERROR(VLOOKUP($C2903,sources!$A$2:$N$200,9,FALSE()),"?"))</f>
        <v>US official</v>
      </c>
    </row>
    <row r="2904" spans="1:19" x14ac:dyDescent="0.2">
      <c r="A2904" t="s">
        <v>8348</v>
      </c>
      <c r="B2904" t="s">
        <v>1056</v>
      </c>
      <c r="C2904" t="s">
        <v>1167</v>
      </c>
      <c r="D2904" t="s">
        <v>1599</v>
      </c>
      <c r="E2904" t="s">
        <v>8262</v>
      </c>
      <c r="F2904" t="s">
        <v>1612</v>
      </c>
      <c r="I2904" t="s">
        <v>1077</v>
      </c>
      <c r="K2904">
        <v>1905</v>
      </c>
      <c r="L2904">
        <v>1913</v>
      </c>
      <c r="M2904" t="s">
        <v>222</v>
      </c>
      <c r="N2904" t="s">
        <v>222</v>
      </c>
      <c r="O2904" t="s">
        <v>6530</v>
      </c>
      <c r="P2904" t="s">
        <v>8349</v>
      </c>
      <c r="Q2904" t="str">
        <f>IF($C2904="","",IFERROR(VLOOKUP($C2904,sources!$A$2:$N$200,2,FALSE()),"?"))</f>
        <v>Report</v>
      </c>
      <c r="S2904" t="str">
        <f>IF($C2904="","",IFERROR(VLOOKUP($C2904,sources!$A$2:$N$200,9,FALSE()),"?"))</f>
        <v>US official</v>
      </c>
    </row>
    <row r="2905" spans="1:19" x14ac:dyDescent="0.2">
      <c r="A2905" t="s">
        <v>8350</v>
      </c>
      <c r="B2905" t="s">
        <v>1056</v>
      </c>
      <c r="C2905" t="s">
        <v>1403</v>
      </c>
      <c r="D2905" t="s">
        <v>1666</v>
      </c>
      <c r="E2905" t="s">
        <v>8262</v>
      </c>
      <c r="F2905" t="s">
        <v>1612</v>
      </c>
      <c r="I2905" t="s">
        <v>1077</v>
      </c>
      <c r="N2905" t="s">
        <v>228</v>
      </c>
      <c r="O2905" t="s">
        <v>6530</v>
      </c>
      <c r="P2905" t="s">
        <v>7796</v>
      </c>
      <c r="Q2905" t="str">
        <f>IF($C2905="","",IFERROR(VLOOKUP($C2905,sources!$A$2:$N$200,2,FALSE()),"?"))</f>
        <v>Newspaper</v>
      </c>
      <c r="S2905" t="str">
        <f>IF($C2905="","",IFERROR(VLOOKUP($C2905,sources!$A$2:$N$200,9,FALSE()),"?"))</f>
        <v>Caribbean community</v>
      </c>
    </row>
    <row r="2906" spans="1:19" x14ac:dyDescent="0.2">
      <c r="A2906" t="s">
        <v>8351</v>
      </c>
      <c r="B2906" t="s">
        <v>1056</v>
      </c>
      <c r="C2906" t="s">
        <v>1277</v>
      </c>
      <c r="D2906" t="s">
        <v>1666</v>
      </c>
      <c r="E2906" t="s">
        <v>8262</v>
      </c>
      <c r="F2906" t="s">
        <v>1612</v>
      </c>
      <c r="I2906" t="s">
        <v>1077</v>
      </c>
      <c r="N2906" t="s">
        <v>209</v>
      </c>
      <c r="O2906" t="s">
        <v>6530</v>
      </c>
      <c r="P2906" t="s">
        <v>8352</v>
      </c>
      <c r="Q2906" t="str">
        <f>IF($C2906="","",IFERROR(VLOOKUP($C2906,sources!$A$2:$N$200,2,FALSE()),"?"))</f>
        <v>Administrative</v>
      </c>
      <c r="S2906" t="str">
        <f>IF($C2906="","",IFERROR(VLOOKUP($C2906,sources!$A$2:$N$200,9,FALSE()),"?"))</f>
        <v>US official</v>
      </c>
    </row>
    <row r="2907" spans="1:19" x14ac:dyDescent="0.2">
      <c r="A2907" t="s">
        <v>8353</v>
      </c>
      <c r="B2907" t="s">
        <v>1061</v>
      </c>
      <c r="C2907" t="s">
        <v>1167</v>
      </c>
      <c r="D2907" t="s">
        <v>1599</v>
      </c>
      <c r="E2907" t="s">
        <v>1062</v>
      </c>
      <c r="F2907" t="s">
        <v>1612</v>
      </c>
      <c r="I2907" t="s">
        <v>1077</v>
      </c>
      <c r="K2907">
        <v>1913</v>
      </c>
      <c r="L2907">
        <v>1913</v>
      </c>
      <c r="M2907" t="s">
        <v>222</v>
      </c>
      <c r="N2907" t="s">
        <v>222</v>
      </c>
      <c r="O2907" t="s">
        <v>6530</v>
      </c>
      <c r="P2907" t="s">
        <v>8354</v>
      </c>
      <c r="Q2907" t="str">
        <f>IF($C2907="","",IFERROR(VLOOKUP($C2907,sources!$A$2:$N$200,2,FALSE()),"?"))</f>
        <v>Report</v>
      </c>
      <c r="S2907" t="str">
        <f>IF($C2907="","",IFERROR(VLOOKUP($C2907,sources!$A$2:$N$200,9,FALSE()),"?"))</f>
        <v>US official</v>
      </c>
    </row>
    <row r="2908" spans="1:19" x14ac:dyDescent="0.2">
      <c r="A2908" t="s">
        <v>8355</v>
      </c>
      <c r="B2908" t="s">
        <v>1061</v>
      </c>
      <c r="C2908" t="s">
        <v>1403</v>
      </c>
      <c r="D2908" t="s">
        <v>1666</v>
      </c>
      <c r="E2908" t="s">
        <v>1062</v>
      </c>
      <c r="F2908" t="s">
        <v>1612</v>
      </c>
      <c r="I2908" t="s">
        <v>1077</v>
      </c>
      <c r="N2908" t="s">
        <v>228</v>
      </c>
      <c r="O2908" t="s">
        <v>6530</v>
      </c>
      <c r="P2908" t="s">
        <v>8356</v>
      </c>
      <c r="Q2908" t="str">
        <f>IF($C2908="","",IFERROR(VLOOKUP($C2908,sources!$A$2:$N$200,2,FALSE()),"?"))</f>
        <v>Newspaper</v>
      </c>
      <c r="S2908" t="str">
        <f>IF($C2908="","",IFERROR(VLOOKUP($C2908,sources!$A$2:$N$200,9,FALSE()),"?"))</f>
        <v>Caribbean community</v>
      </c>
    </row>
    <row r="2909" spans="1:19" x14ac:dyDescent="0.2">
      <c r="A2909" t="s">
        <v>8357</v>
      </c>
      <c r="B2909" t="s">
        <v>1061</v>
      </c>
      <c r="C2909" t="s">
        <v>1412</v>
      </c>
      <c r="D2909" t="s">
        <v>1666</v>
      </c>
      <c r="E2909" t="s">
        <v>1062</v>
      </c>
      <c r="F2909" t="s">
        <v>1612</v>
      </c>
      <c r="I2909" t="s">
        <v>1077</v>
      </c>
      <c r="N2909" t="s">
        <v>209</v>
      </c>
      <c r="O2909" t="s">
        <v>6530</v>
      </c>
      <c r="P2909" t="s">
        <v>8358</v>
      </c>
      <c r="Q2909" t="str">
        <f>IF($C2909="","",IFERROR(VLOOKUP($C2909,sources!$A$2:$N$200,2,FALSE()),"?"))</f>
        <v>Web compilation</v>
      </c>
      <c r="S2909" t="str">
        <f>IF($C2909="","",IFERROR(VLOOKUP($C2909,sources!$A$2:$N$200,9,FALSE()),"?"))</f>
        <v>Caribbean community</v>
      </c>
    </row>
    <row r="2910" spans="1:19" x14ac:dyDescent="0.2">
      <c r="A2910" t="s">
        <v>8359</v>
      </c>
      <c r="B2910" t="s">
        <v>1061</v>
      </c>
      <c r="C2910" t="s">
        <v>1277</v>
      </c>
      <c r="D2910" t="s">
        <v>1666</v>
      </c>
      <c r="E2910" t="s">
        <v>1062</v>
      </c>
      <c r="F2910" t="s">
        <v>1612</v>
      </c>
      <c r="I2910" t="s">
        <v>1077</v>
      </c>
      <c r="N2910" t="s">
        <v>209</v>
      </c>
      <c r="O2910" t="s">
        <v>6530</v>
      </c>
      <c r="P2910" t="s">
        <v>8347</v>
      </c>
      <c r="Q2910" t="str">
        <f>IF($C2910="","",IFERROR(VLOOKUP($C2910,sources!$A$2:$N$200,2,FALSE()),"?"))</f>
        <v>Administrative</v>
      </c>
      <c r="S2910" t="str">
        <f>IF($C2910="","",IFERROR(VLOOKUP($C2910,sources!$A$2:$N$200,9,FALSE()),"?"))</f>
        <v>US official</v>
      </c>
    </row>
    <row r="2911" spans="1:19" x14ac:dyDescent="0.2">
      <c r="A2911" t="s">
        <v>8360</v>
      </c>
      <c r="B2911" t="s">
        <v>1065</v>
      </c>
      <c r="C2911" t="s">
        <v>1167</v>
      </c>
      <c r="D2911" t="s">
        <v>1666</v>
      </c>
      <c r="E2911" t="s">
        <v>1066</v>
      </c>
      <c r="F2911" t="s">
        <v>1612</v>
      </c>
      <c r="I2911" t="s">
        <v>1077</v>
      </c>
      <c r="N2911" t="s">
        <v>228</v>
      </c>
      <c r="O2911" t="s">
        <v>6530</v>
      </c>
      <c r="P2911" t="s">
        <v>8361</v>
      </c>
      <c r="Q2911" t="str">
        <f>IF($C2911="","",IFERROR(VLOOKUP($C2911,sources!$A$2:$N$200,2,FALSE()),"?"))</f>
        <v>Report</v>
      </c>
      <c r="S2911" t="str">
        <f>IF($C2911="","",IFERROR(VLOOKUP($C2911,sources!$A$2:$N$200,9,FALSE()),"?"))</f>
        <v>US official</v>
      </c>
    </row>
    <row r="2912" spans="1:19" x14ac:dyDescent="0.2">
      <c r="A2912" t="s">
        <v>8362</v>
      </c>
      <c r="B2912" t="s">
        <v>1065</v>
      </c>
      <c r="C2912" t="s">
        <v>1403</v>
      </c>
      <c r="D2912" t="s">
        <v>1666</v>
      </c>
      <c r="E2912" t="s">
        <v>1066</v>
      </c>
      <c r="F2912" t="s">
        <v>1612</v>
      </c>
      <c r="I2912" t="s">
        <v>1077</v>
      </c>
      <c r="N2912" t="s">
        <v>228</v>
      </c>
      <c r="O2912" t="s">
        <v>6530</v>
      </c>
      <c r="P2912" t="s">
        <v>8356</v>
      </c>
      <c r="Q2912" t="str">
        <f>IF($C2912="","",IFERROR(VLOOKUP($C2912,sources!$A$2:$N$200,2,FALSE()),"?"))</f>
        <v>Newspaper</v>
      </c>
      <c r="S2912" t="str">
        <f>IF($C2912="","",IFERROR(VLOOKUP($C2912,sources!$A$2:$N$200,9,FALSE()),"?"))</f>
        <v>Caribbean community</v>
      </c>
    </row>
    <row r="2913" spans="1:19" x14ac:dyDescent="0.2">
      <c r="A2913" t="s">
        <v>8363</v>
      </c>
      <c r="B2913" t="s">
        <v>1065</v>
      </c>
      <c r="C2913" t="s">
        <v>1412</v>
      </c>
      <c r="D2913" t="s">
        <v>1666</v>
      </c>
      <c r="E2913" t="s">
        <v>1066</v>
      </c>
      <c r="F2913" t="s">
        <v>1612</v>
      </c>
      <c r="I2913" t="s">
        <v>1077</v>
      </c>
      <c r="N2913" t="s">
        <v>209</v>
      </c>
      <c r="O2913" t="s">
        <v>6530</v>
      </c>
      <c r="P2913" t="s">
        <v>8364</v>
      </c>
      <c r="Q2913" t="str">
        <f>IF($C2913="","",IFERROR(VLOOKUP($C2913,sources!$A$2:$N$200,2,FALSE()),"?"))</f>
        <v>Web compilation</v>
      </c>
      <c r="S2913" t="str">
        <f>IF($C2913="","",IFERROR(VLOOKUP($C2913,sources!$A$2:$N$200,9,FALSE()),"?"))</f>
        <v>Caribbean community</v>
      </c>
    </row>
    <row r="2914" spans="1:19" x14ac:dyDescent="0.2">
      <c r="A2914" t="s">
        <v>8365</v>
      </c>
      <c r="B2914" t="s">
        <v>1065</v>
      </c>
      <c r="C2914" t="s">
        <v>1277</v>
      </c>
      <c r="D2914" t="s">
        <v>1666</v>
      </c>
      <c r="E2914" t="s">
        <v>1066</v>
      </c>
      <c r="F2914" t="s">
        <v>1612</v>
      </c>
      <c r="I2914" t="s">
        <v>1077</v>
      </c>
      <c r="N2914" t="s">
        <v>209</v>
      </c>
      <c r="O2914" t="s">
        <v>6530</v>
      </c>
      <c r="P2914" t="s">
        <v>8347</v>
      </c>
      <c r="Q2914" t="str">
        <f>IF($C2914="","",IFERROR(VLOOKUP($C2914,sources!$A$2:$N$200,2,FALSE()),"?"))</f>
        <v>Administrative</v>
      </c>
      <c r="S2914" t="str">
        <f>IF($C2914="","",IFERROR(VLOOKUP($C2914,sources!$A$2:$N$200,9,FALSE()),"?"))</f>
        <v>US official</v>
      </c>
    </row>
    <row r="2915" spans="1:19" x14ac:dyDescent="0.2">
      <c r="A2915" t="s">
        <v>8366</v>
      </c>
      <c r="B2915" t="s">
        <v>1068</v>
      </c>
      <c r="C2915" t="s">
        <v>1167</v>
      </c>
      <c r="D2915" t="s">
        <v>1666</v>
      </c>
      <c r="E2915" t="s">
        <v>1069</v>
      </c>
      <c r="F2915" t="s">
        <v>1612</v>
      </c>
      <c r="I2915" t="s">
        <v>1077</v>
      </c>
      <c r="N2915" t="s">
        <v>228</v>
      </c>
      <c r="O2915" t="s">
        <v>6530</v>
      </c>
      <c r="P2915" t="s">
        <v>8367</v>
      </c>
      <c r="Q2915" t="str">
        <f>IF($C2915="","",IFERROR(VLOOKUP($C2915,sources!$A$2:$N$200,2,FALSE()),"?"))</f>
        <v>Report</v>
      </c>
      <c r="S2915" t="str">
        <f>IF($C2915="","",IFERROR(VLOOKUP($C2915,sources!$A$2:$N$200,9,FALSE()),"?"))</f>
        <v>US official</v>
      </c>
    </row>
    <row r="2916" spans="1:19" x14ac:dyDescent="0.2">
      <c r="A2916" t="s">
        <v>8368</v>
      </c>
      <c r="B2916" t="s">
        <v>1068</v>
      </c>
      <c r="C2916" t="s">
        <v>1403</v>
      </c>
      <c r="D2916" t="s">
        <v>1666</v>
      </c>
      <c r="E2916" t="s">
        <v>1069</v>
      </c>
      <c r="F2916" t="s">
        <v>1612</v>
      </c>
      <c r="I2916" t="s">
        <v>1077</v>
      </c>
      <c r="N2916" t="s">
        <v>228</v>
      </c>
      <c r="O2916" t="s">
        <v>6530</v>
      </c>
      <c r="P2916" t="s">
        <v>8369</v>
      </c>
      <c r="Q2916" t="str">
        <f>IF($C2916="","",IFERROR(VLOOKUP($C2916,sources!$A$2:$N$200,2,FALSE()),"?"))</f>
        <v>Newspaper</v>
      </c>
      <c r="S2916" t="str">
        <f>IF($C2916="","",IFERROR(VLOOKUP($C2916,sources!$A$2:$N$200,9,FALSE()),"?"))</f>
        <v>Caribbean community</v>
      </c>
    </row>
    <row r="2917" spans="1:19" x14ac:dyDescent="0.2">
      <c r="A2917" t="s">
        <v>8370</v>
      </c>
      <c r="B2917" t="s">
        <v>1068</v>
      </c>
      <c r="C2917" t="s">
        <v>1412</v>
      </c>
      <c r="D2917" t="s">
        <v>1666</v>
      </c>
      <c r="E2917" t="s">
        <v>1069</v>
      </c>
      <c r="F2917" t="s">
        <v>1612</v>
      </c>
      <c r="I2917" t="s">
        <v>1077</v>
      </c>
      <c r="N2917" t="s">
        <v>209</v>
      </c>
      <c r="O2917" t="s">
        <v>6530</v>
      </c>
      <c r="P2917" t="s">
        <v>8364</v>
      </c>
      <c r="Q2917" t="str">
        <f>IF($C2917="","",IFERROR(VLOOKUP($C2917,sources!$A$2:$N$200,2,FALSE()),"?"))</f>
        <v>Web compilation</v>
      </c>
      <c r="S2917" t="str">
        <f>IF($C2917="","",IFERROR(VLOOKUP($C2917,sources!$A$2:$N$200,9,FALSE()),"?"))</f>
        <v>Caribbean community</v>
      </c>
    </row>
    <row r="2918" spans="1:19" x14ac:dyDescent="0.2">
      <c r="A2918" t="s">
        <v>8371</v>
      </c>
      <c r="B2918" t="s">
        <v>1068</v>
      </c>
      <c r="C2918" t="s">
        <v>1277</v>
      </c>
      <c r="D2918" t="s">
        <v>1666</v>
      </c>
      <c r="E2918" t="s">
        <v>1069</v>
      </c>
      <c r="F2918" t="s">
        <v>1612</v>
      </c>
      <c r="I2918" t="s">
        <v>1077</v>
      </c>
      <c r="N2918" t="s">
        <v>209</v>
      </c>
      <c r="O2918" t="s">
        <v>6530</v>
      </c>
      <c r="P2918" t="s">
        <v>8347</v>
      </c>
      <c r="Q2918" t="str">
        <f>IF($C2918="","",IFERROR(VLOOKUP($C2918,sources!$A$2:$N$200,2,FALSE()),"?"))</f>
        <v>Administrative</v>
      </c>
      <c r="S2918" t="str">
        <f>IF($C2918="","",IFERROR(VLOOKUP($C2918,sources!$A$2:$N$200,9,FALSE()),"?"))</f>
        <v>US official</v>
      </c>
    </row>
    <row r="2919" spans="1:19" x14ac:dyDescent="0.2">
      <c r="A2919" t="s">
        <v>8372</v>
      </c>
      <c r="B2919" t="s">
        <v>1072</v>
      </c>
      <c r="C2919" t="s">
        <v>1167</v>
      </c>
      <c r="D2919" t="s">
        <v>1666</v>
      </c>
      <c r="E2919" t="s">
        <v>1073</v>
      </c>
      <c r="F2919" t="s">
        <v>1612</v>
      </c>
      <c r="I2919" t="s">
        <v>1077</v>
      </c>
      <c r="N2919" t="s">
        <v>228</v>
      </c>
      <c r="O2919" t="s">
        <v>6530</v>
      </c>
      <c r="P2919" t="s">
        <v>8373</v>
      </c>
      <c r="Q2919" t="str">
        <f>IF($C2919="","",IFERROR(VLOOKUP($C2919,sources!$A$2:$N$200,2,FALSE()),"?"))</f>
        <v>Report</v>
      </c>
      <c r="S2919" t="str">
        <f>IF($C2919="","",IFERROR(VLOOKUP($C2919,sources!$A$2:$N$200,9,FALSE()),"?"))</f>
        <v>US official</v>
      </c>
    </row>
    <row r="2920" spans="1:19" x14ac:dyDescent="0.2">
      <c r="A2920" t="s">
        <v>8374</v>
      </c>
      <c r="B2920" t="s">
        <v>1072</v>
      </c>
      <c r="C2920" t="s">
        <v>1403</v>
      </c>
      <c r="D2920" t="s">
        <v>1666</v>
      </c>
      <c r="E2920" t="s">
        <v>1073</v>
      </c>
      <c r="F2920" t="s">
        <v>1612</v>
      </c>
      <c r="I2920" t="s">
        <v>1077</v>
      </c>
      <c r="N2920" t="s">
        <v>228</v>
      </c>
      <c r="O2920" t="s">
        <v>6530</v>
      </c>
      <c r="P2920" t="s">
        <v>8356</v>
      </c>
      <c r="Q2920" t="str">
        <f>IF($C2920="","",IFERROR(VLOOKUP($C2920,sources!$A$2:$N$200,2,FALSE()),"?"))</f>
        <v>Newspaper</v>
      </c>
      <c r="S2920" t="str">
        <f>IF($C2920="","",IFERROR(VLOOKUP($C2920,sources!$A$2:$N$200,9,FALSE()),"?"))</f>
        <v>Caribbean community</v>
      </c>
    </row>
    <row r="2921" spans="1:19" x14ac:dyDescent="0.2">
      <c r="A2921" t="s">
        <v>8375</v>
      </c>
      <c r="B2921" t="s">
        <v>1072</v>
      </c>
      <c r="C2921" t="s">
        <v>1412</v>
      </c>
      <c r="D2921" t="s">
        <v>1666</v>
      </c>
      <c r="E2921" t="s">
        <v>1073</v>
      </c>
      <c r="F2921" t="s">
        <v>1612</v>
      </c>
      <c r="I2921" t="s">
        <v>1077</v>
      </c>
      <c r="N2921" t="s">
        <v>209</v>
      </c>
      <c r="O2921" t="s">
        <v>6530</v>
      </c>
      <c r="P2921" t="s">
        <v>8364</v>
      </c>
      <c r="Q2921" t="str">
        <f>IF($C2921="","",IFERROR(VLOOKUP($C2921,sources!$A$2:$N$200,2,FALSE()),"?"))</f>
        <v>Web compilation</v>
      </c>
      <c r="S2921" t="str">
        <f>IF($C2921="","",IFERROR(VLOOKUP($C2921,sources!$A$2:$N$200,9,FALSE()),"?"))</f>
        <v>Caribbean community</v>
      </c>
    </row>
    <row r="2922" spans="1:19" x14ac:dyDescent="0.2">
      <c r="A2922" t="s">
        <v>8376</v>
      </c>
      <c r="B2922" t="s">
        <v>1072</v>
      </c>
      <c r="C2922" t="s">
        <v>1277</v>
      </c>
      <c r="D2922" t="s">
        <v>1666</v>
      </c>
      <c r="E2922" t="s">
        <v>1073</v>
      </c>
      <c r="F2922" t="s">
        <v>1612</v>
      </c>
      <c r="I2922" t="s">
        <v>1077</v>
      </c>
      <c r="N2922" t="s">
        <v>209</v>
      </c>
      <c r="O2922" t="s">
        <v>6530</v>
      </c>
      <c r="P2922" t="s">
        <v>8377</v>
      </c>
      <c r="Q2922" t="str">
        <f>IF($C2922="","",IFERROR(VLOOKUP($C2922,sources!$A$2:$N$200,2,FALSE()),"?"))</f>
        <v>Administrative</v>
      </c>
      <c r="S2922" t="str">
        <f>IF($C2922="","",IFERROR(VLOOKUP($C2922,sources!$A$2:$N$200,9,FALSE()),"?"))</f>
        <v>US official</v>
      </c>
    </row>
    <row r="2923" spans="1:19" x14ac:dyDescent="0.2">
      <c r="A2923" t="s">
        <v>8378</v>
      </c>
      <c r="B2923" t="s">
        <v>1075</v>
      </c>
      <c r="C2923" t="s">
        <v>1167</v>
      </c>
      <c r="D2923" t="s">
        <v>1599</v>
      </c>
      <c r="E2923" t="s">
        <v>8379</v>
      </c>
      <c r="F2923" t="s">
        <v>1612</v>
      </c>
      <c r="I2923" t="s">
        <v>1077</v>
      </c>
      <c r="N2923" t="s">
        <v>8336</v>
      </c>
      <c r="O2923" t="s">
        <v>6530</v>
      </c>
      <c r="P2923" t="s">
        <v>8380</v>
      </c>
      <c r="Q2923" t="str">
        <f>IF($C2923="","",IFERROR(VLOOKUP($C2923,sources!$A$2:$N$200,2,FALSE()),"?"))</f>
        <v>Report</v>
      </c>
      <c r="S2923" t="str">
        <f>IF($C2923="","",IFERROR(VLOOKUP($C2923,sources!$A$2:$N$200,9,FALSE()),"?"))</f>
        <v>US official</v>
      </c>
    </row>
    <row r="2924" spans="1:19" x14ac:dyDescent="0.2">
      <c r="A2924" t="s">
        <v>8381</v>
      </c>
      <c r="B2924" t="s">
        <v>1075</v>
      </c>
      <c r="C2924" t="s">
        <v>1403</v>
      </c>
      <c r="D2924" t="s">
        <v>1666</v>
      </c>
      <c r="E2924" t="s">
        <v>1076</v>
      </c>
      <c r="F2924" t="s">
        <v>1612</v>
      </c>
      <c r="I2924" t="s">
        <v>1077</v>
      </c>
      <c r="N2924" t="s">
        <v>228</v>
      </c>
      <c r="O2924" t="s">
        <v>6530</v>
      </c>
      <c r="P2924" t="s">
        <v>8382</v>
      </c>
      <c r="Q2924" t="str">
        <f>IF($C2924="","",IFERROR(VLOOKUP($C2924,sources!$A$2:$N$200,2,FALSE()),"?"))</f>
        <v>Newspaper</v>
      </c>
      <c r="S2924" t="str">
        <f>IF($C2924="","",IFERROR(VLOOKUP($C2924,sources!$A$2:$N$200,9,FALSE()),"?"))</f>
        <v>Caribbean community</v>
      </c>
    </row>
    <row r="2925" spans="1:19" x14ac:dyDescent="0.2">
      <c r="A2925" t="s">
        <v>8383</v>
      </c>
      <c r="B2925" t="s">
        <v>1075</v>
      </c>
      <c r="C2925" t="s">
        <v>1412</v>
      </c>
      <c r="D2925" t="s">
        <v>1666</v>
      </c>
      <c r="E2925" t="s">
        <v>1076</v>
      </c>
      <c r="F2925" t="s">
        <v>1612</v>
      </c>
      <c r="I2925" t="s">
        <v>1077</v>
      </c>
      <c r="N2925" t="s">
        <v>209</v>
      </c>
      <c r="O2925" t="s">
        <v>6530</v>
      </c>
      <c r="P2925" t="s">
        <v>7725</v>
      </c>
      <c r="Q2925" t="str">
        <f>IF($C2925="","",IFERROR(VLOOKUP($C2925,sources!$A$2:$N$200,2,FALSE()),"?"))</f>
        <v>Web compilation</v>
      </c>
      <c r="S2925" t="str">
        <f>IF($C2925="","",IFERROR(VLOOKUP($C2925,sources!$A$2:$N$200,9,FALSE()),"?"))</f>
        <v>Caribbean community</v>
      </c>
    </row>
    <row r="2926" spans="1:19" x14ac:dyDescent="0.2">
      <c r="A2926" t="s">
        <v>8384</v>
      </c>
      <c r="B2926" t="s">
        <v>1075</v>
      </c>
      <c r="C2926" t="s">
        <v>1277</v>
      </c>
      <c r="D2926" t="s">
        <v>1666</v>
      </c>
      <c r="E2926" t="s">
        <v>1076</v>
      </c>
      <c r="F2926" t="s">
        <v>1612</v>
      </c>
      <c r="I2926" t="s">
        <v>1077</v>
      </c>
      <c r="N2926" t="s">
        <v>209</v>
      </c>
      <c r="O2926" t="s">
        <v>6530</v>
      </c>
      <c r="P2926" t="s">
        <v>8352</v>
      </c>
      <c r="Q2926" t="str">
        <f>IF($C2926="","",IFERROR(VLOOKUP($C2926,sources!$A$2:$N$200,2,FALSE()),"?"))</f>
        <v>Administrative</v>
      </c>
      <c r="S2926" t="str">
        <f>IF($C2926="","",IFERROR(VLOOKUP($C2926,sources!$A$2:$N$200,9,FALSE()),"?"))</f>
        <v>US official</v>
      </c>
    </row>
    <row r="2927" spans="1:19" x14ac:dyDescent="0.2">
      <c r="A2927" t="s">
        <v>8385</v>
      </c>
      <c r="B2927" t="s">
        <v>1087</v>
      </c>
      <c r="C2927" t="s">
        <v>1167</v>
      </c>
      <c r="D2927" t="s">
        <v>1666</v>
      </c>
      <c r="E2927" t="s">
        <v>1088</v>
      </c>
      <c r="F2927" t="s">
        <v>1612</v>
      </c>
      <c r="I2927" t="s">
        <v>1077</v>
      </c>
      <c r="N2927" t="s">
        <v>209</v>
      </c>
      <c r="O2927" t="s">
        <v>6530</v>
      </c>
      <c r="P2927" t="s">
        <v>8386</v>
      </c>
      <c r="Q2927" t="str">
        <f>IF($C2927="","",IFERROR(VLOOKUP($C2927,sources!$A$2:$N$200,2,FALSE()),"?"))</f>
        <v>Report</v>
      </c>
      <c r="S2927" t="str">
        <f>IF($C2927="","",IFERROR(VLOOKUP($C2927,sources!$A$2:$N$200,9,FALSE()),"?"))</f>
        <v>US official</v>
      </c>
    </row>
    <row r="2928" spans="1:19" x14ac:dyDescent="0.2">
      <c r="A2928" t="s">
        <v>8387</v>
      </c>
      <c r="B2928" t="s">
        <v>1087</v>
      </c>
      <c r="C2928" t="s">
        <v>1403</v>
      </c>
      <c r="D2928" t="s">
        <v>1666</v>
      </c>
      <c r="E2928" t="s">
        <v>1088</v>
      </c>
      <c r="F2928" t="s">
        <v>1612</v>
      </c>
      <c r="I2928" t="s">
        <v>1077</v>
      </c>
      <c r="N2928" t="s">
        <v>228</v>
      </c>
      <c r="O2928" t="s">
        <v>6530</v>
      </c>
      <c r="P2928" t="s">
        <v>8356</v>
      </c>
      <c r="Q2928" t="str">
        <f>IF($C2928="","",IFERROR(VLOOKUP($C2928,sources!$A$2:$N$200,2,FALSE()),"?"))</f>
        <v>Newspaper</v>
      </c>
      <c r="S2928" t="str">
        <f>IF($C2928="","",IFERROR(VLOOKUP($C2928,sources!$A$2:$N$200,9,FALSE()),"?"))</f>
        <v>Caribbean community</v>
      </c>
    </row>
    <row r="2929" spans="1:19" x14ac:dyDescent="0.2">
      <c r="A2929" t="s">
        <v>8388</v>
      </c>
      <c r="B2929" t="s">
        <v>1087</v>
      </c>
      <c r="C2929" t="s">
        <v>1412</v>
      </c>
      <c r="D2929" t="s">
        <v>1666</v>
      </c>
      <c r="E2929" t="s">
        <v>1088</v>
      </c>
      <c r="F2929" t="s">
        <v>1612</v>
      </c>
      <c r="I2929" t="s">
        <v>1077</v>
      </c>
      <c r="N2929" t="s">
        <v>209</v>
      </c>
      <c r="O2929" t="s">
        <v>6530</v>
      </c>
      <c r="P2929" t="s">
        <v>8364</v>
      </c>
      <c r="Q2929" t="str">
        <f>IF($C2929="","",IFERROR(VLOOKUP($C2929,sources!$A$2:$N$200,2,FALSE()),"?"))</f>
        <v>Web compilation</v>
      </c>
      <c r="S2929" t="str">
        <f>IF($C2929="","",IFERROR(VLOOKUP($C2929,sources!$A$2:$N$200,9,FALSE()),"?"))</f>
        <v>Caribbean community</v>
      </c>
    </row>
    <row r="2930" spans="1:19" x14ac:dyDescent="0.2">
      <c r="A2930" t="s">
        <v>8389</v>
      </c>
      <c r="B2930" t="s">
        <v>1087</v>
      </c>
      <c r="C2930" t="s">
        <v>1277</v>
      </c>
      <c r="D2930" t="s">
        <v>1666</v>
      </c>
      <c r="E2930" t="s">
        <v>1088</v>
      </c>
      <c r="F2930" t="s">
        <v>1612</v>
      </c>
      <c r="I2930" t="s">
        <v>1077</v>
      </c>
      <c r="N2930" t="s">
        <v>209</v>
      </c>
      <c r="O2930" t="s">
        <v>6530</v>
      </c>
      <c r="P2930" t="s">
        <v>8347</v>
      </c>
      <c r="Q2930" t="str">
        <f>IF($C2930="","",IFERROR(VLOOKUP($C2930,sources!$A$2:$N$200,2,FALSE()),"?"))</f>
        <v>Administrative</v>
      </c>
      <c r="S2930" t="str">
        <f>IF($C2930="","",IFERROR(VLOOKUP($C2930,sources!$A$2:$N$200,9,FALSE()),"?"))</f>
        <v>US official</v>
      </c>
    </row>
    <row r="2931" spans="1:19" x14ac:dyDescent="0.2">
      <c r="A2931" t="s">
        <v>8390</v>
      </c>
      <c r="B2931" t="s">
        <v>1091</v>
      </c>
      <c r="C2931" t="s">
        <v>1167</v>
      </c>
      <c r="D2931" t="s">
        <v>1666</v>
      </c>
      <c r="E2931" t="s">
        <v>1092</v>
      </c>
      <c r="F2931" t="s">
        <v>1612</v>
      </c>
      <c r="I2931" t="s">
        <v>1077</v>
      </c>
      <c r="N2931" t="s">
        <v>228</v>
      </c>
      <c r="O2931" t="s">
        <v>6530</v>
      </c>
      <c r="P2931" t="s">
        <v>8391</v>
      </c>
      <c r="Q2931" t="str">
        <f>IF($C2931="","",IFERROR(VLOOKUP($C2931,sources!$A$2:$N$200,2,FALSE()),"?"))</f>
        <v>Report</v>
      </c>
      <c r="S2931" t="str">
        <f>IF($C2931="","",IFERROR(VLOOKUP($C2931,sources!$A$2:$N$200,9,FALSE()),"?"))</f>
        <v>US official</v>
      </c>
    </row>
    <row r="2932" spans="1:19" x14ac:dyDescent="0.2">
      <c r="A2932" t="s">
        <v>8392</v>
      </c>
      <c r="B2932" t="s">
        <v>1091</v>
      </c>
      <c r="C2932" t="s">
        <v>1403</v>
      </c>
      <c r="D2932" t="s">
        <v>1666</v>
      </c>
      <c r="E2932" t="s">
        <v>1092</v>
      </c>
      <c r="F2932" t="s">
        <v>1612</v>
      </c>
      <c r="I2932" t="s">
        <v>1077</v>
      </c>
      <c r="N2932" t="s">
        <v>228</v>
      </c>
      <c r="O2932" t="s">
        <v>6530</v>
      </c>
      <c r="P2932" t="s">
        <v>8393</v>
      </c>
      <c r="Q2932" t="str">
        <f>IF($C2932="","",IFERROR(VLOOKUP($C2932,sources!$A$2:$N$200,2,FALSE()),"?"))</f>
        <v>Newspaper</v>
      </c>
      <c r="S2932" t="str">
        <f>IF($C2932="","",IFERROR(VLOOKUP($C2932,sources!$A$2:$N$200,9,FALSE()),"?"))</f>
        <v>Caribbean community</v>
      </c>
    </row>
    <row r="2933" spans="1:19" x14ac:dyDescent="0.2">
      <c r="A2933" t="s">
        <v>8394</v>
      </c>
      <c r="B2933" t="s">
        <v>1091</v>
      </c>
      <c r="C2933" t="s">
        <v>1412</v>
      </c>
      <c r="D2933" t="s">
        <v>1666</v>
      </c>
      <c r="E2933" t="s">
        <v>1092</v>
      </c>
      <c r="F2933" t="s">
        <v>1612</v>
      </c>
      <c r="I2933" t="s">
        <v>1077</v>
      </c>
      <c r="N2933" t="s">
        <v>209</v>
      </c>
      <c r="O2933" t="s">
        <v>6530</v>
      </c>
      <c r="P2933" t="s">
        <v>8395</v>
      </c>
      <c r="Q2933" t="str">
        <f>IF($C2933="","",IFERROR(VLOOKUP($C2933,sources!$A$2:$N$200,2,FALSE()),"?"))</f>
        <v>Web compilation</v>
      </c>
      <c r="S2933" t="str">
        <f>IF($C2933="","",IFERROR(VLOOKUP($C2933,sources!$A$2:$N$200,9,FALSE()),"?"))</f>
        <v>Caribbean community</v>
      </c>
    </row>
    <row r="2934" spans="1:19" x14ac:dyDescent="0.2">
      <c r="A2934" t="s">
        <v>8396</v>
      </c>
      <c r="B2934" t="s">
        <v>1091</v>
      </c>
      <c r="C2934" t="s">
        <v>1277</v>
      </c>
      <c r="D2934" t="s">
        <v>1666</v>
      </c>
      <c r="E2934" t="s">
        <v>1092</v>
      </c>
      <c r="F2934" t="s">
        <v>1612</v>
      </c>
      <c r="I2934" t="s">
        <v>1077</v>
      </c>
      <c r="N2934" t="s">
        <v>209</v>
      </c>
      <c r="O2934" t="s">
        <v>6530</v>
      </c>
      <c r="P2934" t="s">
        <v>8397</v>
      </c>
      <c r="Q2934" t="str">
        <f>IF($C2934="","",IFERROR(VLOOKUP($C2934,sources!$A$2:$N$200,2,FALSE()),"?"))</f>
        <v>Administrative</v>
      </c>
      <c r="S2934" t="str">
        <f>IF($C2934="","",IFERROR(VLOOKUP($C2934,sources!$A$2:$N$200,9,FALSE()),"?"))</f>
        <v>US official</v>
      </c>
    </row>
    <row r="2935" spans="1:19" x14ac:dyDescent="0.2">
      <c r="A2935" t="s">
        <v>8398</v>
      </c>
      <c r="B2935" t="s">
        <v>1095</v>
      </c>
      <c r="C2935" t="s">
        <v>1167</v>
      </c>
      <c r="D2935" t="s">
        <v>1666</v>
      </c>
      <c r="E2935" t="s">
        <v>1096</v>
      </c>
      <c r="F2935" t="s">
        <v>1612</v>
      </c>
      <c r="I2935" t="s">
        <v>1077</v>
      </c>
      <c r="N2935" t="s">
        <v>209</v>
      </c>
      <c r="O2935" t="s">
        <v>6530</v>
      </c>
      <c r="P2935" t="s">
        <v>8399</v>
      </c>
      <c r="Q2935" t="str">
        <f>IF($C2935="","",IFERROR(VLOOKUP($C2935,sources!$A$2:$N$200,2,FALSE()),"?"))</f>
        <v>Report</v>
      </c>
      <c r="S2935" t="str">
        <f>IF($C2935="","",IFERROR(VLOOKUP($C2935,sources!$A$2:$N$200,9,FALSE()),"?"))</f>
        <v>US official</v>
      </c>
    </row>
    <row r="2936" spans="1:19" x14ac:dyDescent="0.2">
      <c r="A2936" t="s">
        <v>8400</v>
      </c>
      <c r="B2936" t="s">
        <v>1095</v>
      </c>
      <c r="C2936" t="s">
        <v>1403</v>
      </c>
      <c r="D2936" t="s">
        <v>1666</v>
      </c>
      <c r="E2936" t="s">
        <v>1096</v>
      </c>
      <c r="F2936" t="s">
        <v>1612</v>
      </c>
      <c r="I2936" t="s">
        <v>1077</v>
      </c>
      <c r="N2936" t="s">
        <v>209</v>
      </c>
      <c r="O2936" t="s">
        <v>6530</v>
      </c>
      <c r="P2936" t="s">
        <v>8401</v>
      </c>
      <c r="Q2936" t="str">
        <f>IF($C2936="","",IFERROR(VLOOKUP($C2936,sources!$A$2:$N$200,2,FALSE()),"?"))</f>
        <v>Newspaper</v>
      </c>
      <c r="S2936" t="str">
        <f>IF($C2936="","",IFERROR(VLOOKUP($C2936,sources!$A$2:$N$200,9,FALSE()),"?"))</f>
        <v>Caribbean community</v>
      </c>
    </row>
    <row r="2937" spans="1:19" x14ac:dyDescent="0.2">
      <c r="A2937" t="s">
        <v>8402</v>
      </c>
      <c r="B2937" t="s">
        <v>1095</v>
      </c>
      <c r="C2937" t="s">
        <v>1412</v>
      </c>
      <c r="D2937" t="s">
        <v>1666</v>
      </c>
      <c r="E2937" t="s">
        <v>1096</v>
      </c>
      <c r="F2937" t="s">
        <v>1612</v>
      </c>
      <c r="I2937" t="s">
        <v>1077</v>
      </c>
      <c r="N2937" t="s">
        <v>209</v>
      </c>
      <c r="O2937" t="s">
        <v>6530</v>
      </c>
      <c r="P2937" t="s">
        <v>8403</v>
      </c>
      <c r="Q2937" t="str">
        <f>IF($C2937="","",IFERROR(VLOOKUP($C2937,sources!$A$2:$N$200,2,FALSE()),"?"))</f>
        <v>Web compilation</v>
      </c>
      <c r="S2937" t="str">
        <f>IF($C2937="","",IFERROR(VLOOKUP($C2937,sources!$A$2:$N$200,9,FALSE()),"?"))</f>
        <v>Caribbean community</v>
      </c>
    </row>
    <row r="2938" spans="1:19" x14ac:dyDescent="0.2">
      <c r="A2938" t="s">
        <v>8404</v>
      </c>
      <c r="B2938" t="s">
        <v>1095</v>
      </c>
      <c r="C2938" t="s">
        <v>1277</v>
      </c>
      <c r="D2938" t="s">
        <v>1599</v>
      </c>
      <c r="E2938" t="s">
        <v>8405</v>
      </c>
      <c r="F2938" t="s">
        <v>1612</v>
      </c>
      <c r="I2938" t="s">
        <v>1077</v>
      </c>
      <c r="N2938" t="s">
        <v>8406</v>
      </c>
      <c r="O2938" t="s">
        <v>6530</v>
      </c>
      <c r="P2938" t="s">
        <v>8407</v>
      </c>
      <c r="Q2938" t="str">
        <f>IF($C2938="","",IFERROR(VLOOKUP($C2938,sources!$A$2:$N$200,2,FALSE()),"?"))</f>
        <v>Administrative</v>
      </c>
      <c r="S2938" t="str">
        <f>IF($C2938="","",IFERROR(VLOOKUP($C2938,sources!$A$2:$N$200,9,FALSE()),"?"))</f>
        <v>US official</v>
      </c>
    </row>
    <row r="2939" spans="1:19" x14ac:dyDescent="0.2">
      <c r="A2939" t="s">
        <v>8408</v>
      </c>
      <c r="B2939" t="s">
        <v>1099</v>
      </c>
      <c r="C2939" t="s">
        <v>1167</v>
      </c>
      <c r="D2939" t="s">
        <v>1666</v>
      </c>
      <c r="E2939" t="s">
        <v>1100</v>
      </c>
      <c r="F2939" t="s">
        <v>1612</v>
      </c>
      <c r="I2939" t="s">
        <v>1077</v>
      </c>
      <c r="N2939" t="s">
        <v>209</v>
      </c>
      <c r="O2939" t="s">
        <v>6530</v>
      </c>
      <c r="P2939" t="s">
        <v>8409</v>
      </c>
      <c r="Q2939" t="str">
        <f>IF($C2939="","",IFERROR(VLOOKUP($C2939,sources!$A$2:$N$200,2,FALSE()),"?"))</f>
        <v>Report</v>
      </c>
      <c r="S2939" t="str">
        <f>IF($C2939="","",IFERROR(VLOOKUP($C2939,sources!$A$2:$N$200,9,FALSE()),"?"))</f>
        <v>US official</v>
      </c>
    </row>
    <row r="2940" spans="1:19" x14ac:dyDescent="0.2">
      <c r="A2940" t="s">
        <v>8410</v>
      </c>
      <c r="B2940" t="s">
        <v>1099</v>
      </c>
      <c r="C2940" t="s">
        <v>1403</v>
      </c>
      <c r="D2940" t="s">
        <v>1666</v>
      </c>
      <c r="E2940" t="s">
        <v>1100</v>
      </c>
      <c r="F2940" t="s">
        <v>1612</v>
      </c>
      <c r="I2940" t="s">
        <v>1077</v>
      </c>
      <c r="N2940" t="s">
        <v>228</v>
      </c>
      <c r="O2940" t="s">
        <v>6530</v>
      </c>
      <c r="P2940" t="s">
        <v>8382</v>
      </c>
      <c r="Q2940" t="str">
        <f>IF($C2940="","",IFERROR(VLOOKUP($C2940,sources!$A$2:$N$200,2,FALSE()),"?"))</f>
        <v>Newspaper</v>
      </c>
      <c r="S2940" t="str">
        <f>IF($C2940="","",IFERROR(VLOOKUP($C2940,sources!$A$2:$N$200,9,FALSE()),"?"))</f>
        <v>Caribbean community</v>
      </c>
    </row>
    <row r="2941" spans="1:19" x14ac:dyDescent="0.2">
      <c r="A2941" t="s">
        <v>8411</v>
      </c>
      <c r="B2941" t="s">
        <v>1099</v>
      </c>
      <c r="C2941" t="s">
        <v>1412</v>
      </c>
      <c r="D2941" t="s">
        <v>1599</v>
      </c>
      <c r="E2941" t="s">
        <v>1100</v>
      </c>
      <c r="F2941" t="s">
        <v>1612</v>
      </c>
      <c r="I2941" t="s">
        <v>1077</v>
      </c>
      <c r="K2941">
        <v>1963</v>
      </c>
      <c r="L2941">
        <v>1963</v>
      </c>
      <c r="M2941" t="s">
        <v>222</v>
      </c>
      <c r="N2941" t="s">
        <v>222</v>
      </c>
      <c r="O2941" t="s">
        <v>6530</v>
      </c>
      <c r="P2941" t="s">
        <v>8412</v>
      </c>
      <c r="Q2941" t="str">
        <f>IF($C2941="","",IFERROR(VLOOKUP($C2941,sources!$A$2:$N$200,2,FALSE()),"?"))</f>
        <v>Web compilation</v>
      </c>
      <c r="S2941" t="str">
        <f>IF($C2941="","",IFERROR(VLOOKUP($C2941,sources!$A$2:$N$200,9,FALSE()),"?"))</f>
        <v>Caribbean community</v>
      </c>
    </row>
    <row r="2942" spans="1:19" x14ac:dyDescent="0.2">
      <c r="A2942" t="s">
        <v>8413</v>
      </c>
      <c r="B2942" t="s">
        <v>1099</v>
      </c>
      <c r="C2942" t="s">
        <v>1277</v>
      </c>
      <c r="D2942" t="s">
        <v>1599</v>
      </c>
      <c r="E2942" t="s">
        <v>1100</v>
      </c>
      <c r="F2942" t="s">
        <v>1612</v>
      </c>
      <c r="I2942" t="s">
        <v>1077</v>
      </c>
      <c r="N2942" t="s">
        <v>8406</v>
      </c>
      <c r="O2942" t="s">
        <v>6530</v>
      </c>
      <c r="P2942" t="s">
        <v>8414</v>
      </c>
      <c r="Q2942" t="str">
        <f>IF($C2942="","",IFERROR(VLOOKUP($C2942,sources!$A$2:$N$200,2,FALSE()),"?"))</f>
        <v>Administrative</v>
      </c>
      <c r="S2942" t="str">
        <f>IF($C2942="","",IFERROR(VLOOKUP($C2942,sources!$A$2:$N$200,9,FALSE()),"?"))</f>
        <v>US official</v>
      </c>
    </row>
    <row r="2943" spans="1:19" x14ac:dyDescent="0.2">
      <c r="A2943" t="s">
        <v>8415</v>
      </c>
      <c r="B2943" t="s">
        <v>1129</v>
      </c>
      <c r="C2943" t="s">
        <v>1167</v>
      </c>
      <c r="D2943" t="s">
        <v>1666</v>
      </c>
      <c r="E2943" t="s">
        <v>8416</v>
      </c>
      <c r="F2943" t="s">
        <v>1612</v>
      </c>
      <c r="I2943" t="s">
        <v>1077</v>
      </c>
      <c r="N2943" t="s">
        <v>228</v>
      </c>
      <c r="O2943" t="s">
        <v>6530</v>
      </c>
      <c r="P2943" t="s">
        <v>8417</v>
      </c>
      <c r="Q2943" t="str">
        <f>IF($C2943="","",IFERROR(VLOOKUP($C2943,sources!$A$2:$N$200,2,FALSE()),"?"))</f>
        <v>Report</v>
      </c>
      <c r="S2943" t="str">
        <f>IF($C2943="","",IFERROR(VLOOKUP($C2943,sources!$A$2:$N$200,9,FALSE()),"?"))</f>
        <v>US official</v>
      </c>
    </row>
    <row r="2944" spans="1:19" x14ac:dyDescent="0.2">
      <c r="A2944" t="s">
        <v>8418</v>
      </c>
      <c r="B2944" t="s">
        <v>1129</v>
      </c>
      <c r="C2944" t="s">
        <v>1403</v>
      </c>
      <c r="D2944" t="s">
        <v>1666</v>
      </c>
      <c r="E2944" t="s">
        <v>8416</v>
      </c>
      <c r="F2944" t="s">
        <v>1612</v>
      </c>
      <c r="I2944" t="s">
        <v>1077</v>
      </c>
      <c r="N2944" t="s">
        <v>228</v>
      </c>
      <c r="O2944" t="s">
        <v>6530</v>
      </c>
      <c r="P2944" t="s">
        <v>8356</v>
      </c>
      <c r="Q2944" t="str">
        <f>IF($C2944="","",IFERROR(VLOOKUP($C2944,sources!$A$2:$N$200,2,FALSE()),"?"))</f>
        <v>Newspaper</v>
      </c>
      <c r="S2944" t="str">
        <f>IF($C2944="","",IFERROR(VLOOKUP($C2944,sources!$A$2:$N$200,9,FALSE()),"?"))</f>
        <v>Caribbean community</v>
      </c>
    </row>
    <row r="2945" spans="1:19" x14ac:dyDescent="0.2">
      <c r="A2945" t="s">
        <v>8419</v>
      </c>
      <c r="B2945" t="s">
        <v>1129</v>
      </c>
      <c r="C2945" t="s">
        <v>1412</v>
      </c>
      <c r="D2945" t="s">
        <v>1666</v>
      </c>
      <c r="E2945" t="s">
        <v>8416</v>
      </c>
      <c r="F2945" t="s">
        <v>1612</v>
      </c>
      <c r="I2945" t="s">
        <v>1077</v>
      </c>
      <c r="N2945" t="s">
        <v>209</v>
      </c>
      <c r="O2945" t="s">
        <v>6530</v>
      </c>
      <c r="P2945" t="s">
        <v>8420</v>
      </c>
      <c r="Q2945" t="str">
        <f>IF($C2945="","",IFERROR(VLOOKUP($C2945,sources!$A$2:$N$200,2,FALSE()),"?"))</f>
        <v>Web compilation</v>
      </c>
      <c r="S2945" t="str">
        <f>IF($C2945="","",IFERROR(VLOOKUP($C2945,sources!$A$2:$N$200,9,FALSE()),"?"))</f>
        <v>Caribbean community</v>
      </c>
    </row>
    <row r="2946" spans="1:19" x14ac:dyDescent="0.2">
      <c r="A2946" t="s">
        <v>8421</v>
      </c>
      <c r="B2946" t="s">
        <v>1129</v>
      </c>
      <c r="C2946" t="s">
        <v>1277</v>
      </c>
      <c r="D2946" t="s">
        <v>1666</v>
      </c>
      <c r="E2946" t="s">
        <v>8416</v>
      </c>
      <c r="F2946" t="s">
        <v>1612</v>
      </c>
      <c r="I2946" t="s">
        <v>1077</v>
      </c>
      <c r="N2946" t="s">
        <v>209</v>
      </c>
      <c r="O2946" t="s">
        <v>6530</v>
      </c>
      <c r="P2946" t="s">
        <v>8347</v>
      </c>
      <c r="Q2946" t="str">
        <f>IF($C2946="","",IFERROR(VLOOKUP($C2946,sources!$A$2:$N$200,2,FALSE()),"?"))</f>
        <v>Administrative</v>
      </c>
      <c r="S2946" t="str">
        <f>IF($C2946="","",IFERROR(VLOOKUP($C2946,sources!$A$2:$N$200,9,FALSE()),"?"))</f>
        <v>US official</v>
      </c>
    </row>
    <row r="2947" spans="1:19" x14ac:dyDescent="0.2">
      <c r="A2947" t="s">
        <v>8422</v>
      </c>
      <c r="B2947" t="s">
        <v>866</v>
      </c>
      <c r="C2947" t="s">
        <v>1389</v>
      </c>
      <c r="D2947" t="s">
        <v>1594</v>
      </c>
      <c r="E2947" t="s">
        <v>8423</v>
      </c>
      <c r="F2947" t="s">
        <v>1612</v>
      </c>
      <c r="G2947">
        <v>9.1755999999999993</v>
      </c>
      <c r="H2947">
        <v>-79.801329999999993</v>
      </c>
      <c r="I2947" t="s">
        <v>4813</v>
      </c>
      <c r="J2947">
        <v>300</v>
      </c>
      <c r="K2947">
        <v>1940</v>
      </c>
      <c r="L2947">
        <v>1940</v>
      </c>
      <c r="M2947" t="s">
        <v>222</v>
      </c>
      <c r="N2947" t="s">
        <v>222</v>
      </c>
      <c r="O2947" t="s">
        <v>8424</v>
      </c>
      <c r="P2947" t="s">
        <v>8425</v>
      </c>
      <c r="Q2947" t="str">
        <f>IF($C2947="","",IFERROR(VLOOKUP($C2947,sources!$A$2:$N$200,2,FALSE()),"?"))</f>
        <v>Map</v>
      </c>
      <c r="S2947" t="str">
        <f>IF($C2947="","",IFERROR(VLOOKUP($C2947,sources!$A$2:$N$200,9,FALSE()),"?"))</f>
        <v>US official</v>
      </c>
    </row>
    <row r="2948" spans="1:19" x14ac:dyDescent="0.2">
      <c r="A2948" t="s">
        <v>8426</v>
      </c>
      <c r="B2948" t="s">
        <v>549</v>
      </c>
      <c r="C2948" t="s">
        <v>1389</v>
      </c>
      <c r="D2948" t="s">
        <v>1594</v>
      </c>
      <c r="E2948" t="s">
        <v>8427</v>
      </c>
      <c r="F2948" t="s">
        <v>1612</v>
      </c>
      <c r="G2948">
        <v>9.2956009999999996</v>
      </c>
      <c r="H2948">
        <v>-79.892565000000005</v>
      </c>
      <c r="I2948" t="s">
        <v>4813</v>
      </c>
      <c r="J2948">
        <v>400</v>
      </c>
      <c r="K2948">
        <v>1940</v>
      </c>
      <c r="L2948">
        <v>1940</v>
      </c>
      <c r="M2948" t="s">
        <v>222</v>
      </c>
      <c r="N2948" t="s">
        <v>228</v>
      </c>
      <c r="O2948" t="s">
        <v>8424</v>
      </c>
      <c r="P2948" t="s">
        <v>8428</v>
      </c>
      <c r="Q2948" t="str">
        <f>IF($C2948="","",IFERROR(VLOOKUP($C2948,sources!$A$2:$N$200,2,FALSE()),"?"))</f>
        <v>Map</v>
      </c>
      <c r="S2948" t="str">
        <f>IF($C2948="","",IFERROR(VLOOKUP($C2948,sources!$A$2:$N$200,9,FALSE()),"?"))</f>
        <v>US official</v>
      </c>
    </row>
    <row r="2949" spans="1:19" x14ac:dyDescent="0.2">
      <c r="A2949" t="s">
        <v>8429</v>
      </c>
      <c r="B2949" t="s">
        <v>1049</v>
      </c>
      <c r="C2949" t="s">
        <v>1260</v>
      </c>
      <c r="D2949" t="s">
        <v>1666</v>
      </c>
      <c r="E2949" t="s">
        <v>8250</v>
      </c>
      <c r="F2949" t="s">
        <v>1612</v>
      </c>
      <c r="I2949" t="s">
        <v>1077</v>
      </c>
      <c r="N2949" t="s">
        <v>228</v>
      </c>
      <c r="O2949" t="s">
        <v>6530</v>
      </c>
      <c r="P2949" t="s">
        <v>8430</v>
      </c>
      <c r="Q2949" t="str">
        <f>IF($C2949="","",IFERROR(VLOOKUP($C2949,sources!$A$2:$N$200,2,FALSE()),"?"))</f>
        <v>Photograph</v>
      </c>
      <c r="S2949" t="str">
        <f>IF($C2949="","",IFERROR(VLOOKUP($C2949,sources!$A$2:$N$200,9,FALSE()),"?"))</f>
        <v>US official</v>
      </c>
    </row>
    <row r="2950" spans="1:19" x14ac:dyDescent="0.2">
      <c r="A2950" t="s">
        <v>8431</v>
      </c>
      <c r="B2950" t="s">
        <v>1052</v>
      </c>
      <c r="C2950" t="s">
        <v>1260</v>
      </c>
      <c r="D2950" t="s">
        <v>1666</v>
      </c>
      <c r="E2950" t="s">
        <v>8342</v>
      </c>
      <c r="F2950" t="s">
        <v>1612</v>
      </c>
      <c r="I2950" t="s">
        <v>1077</v>
      </c>
      <c r="N2950" t="s">
        <v>228</v>
      </c>
      <c r="O2950" t="s">
        <v>6530</v>
      </c>
      <c r="P2950" t="s">
        <v>8432</v>
      </c>
      <c r="Q2950" t="str">
        <f>IF($C2950="","",IFERROR(VLOOKUP($C2950,sources!$A$2:$N$200,2,FALSE()),"?"))</f>
        <v>Photograph</v>
      </c>
      <c r="S2950" t="str">
        <f>IF($C2950="","",IFERROR(VLOOKUP($C2950,sources!$A$2:$N$200,9,FALSE()),"?"))</f>
        <v>US official</v>
      </c>
    </row>
    <row r="2951" spans="1:19" x14ac:dyDescent="0.2">
      <c r="A2951" t="s">
        <v>8433</v>
      </c>
      <c r="B2951" t="s">
        <v>1056</v>
      </c>
      <c r="C2951" t="s">
        <v>1260</v>
      </c>
      <c r="D2951" t="s">
        <v>1599</v>
      </c>
      <c r="E2951" t="s">
        <v>1058</v>
      </c>
      <c r="F2951" t="s">
        <v>1612</v>
      </c>
      <c r="I2951" t="s">
        <v>1077</v>
      </c>
      <c r="N2951" t="s">
        <v>222</v>
      </c>
      <c r="O2951" t="s">
        <v>6530</v>
      </c>
      <c r="P2951" t="s">
        <v>8434</v>
      </c>
      <c r="Q2951" t="str">
        <f>IF($C2951="","",IFERROR(VLOOKUP($C2951,sources!$A$2:$N$200,2,FALSE()),"?"))</f>
        <v>Photograph</v>
      </c>
      <c r="S2951" t="str">
        <f>IF($C2951="","",IFERROR(VLOOKUP($C2951,sources!$A$2:$N$200,9,FALSE()),"?"))</f>
        <v>US official</v>
      </c>
    </row>
    <row r="2952" spans="1:19" x14ac:dyDescent="0.2">
      <c r="A2952" t="s">
        <v>8435</v>
      </c>
      <c r="B2952" t="s">
        <v>1061</v>
      </c>
      <c r="C2952" t="s">
        <v>1260</v>
      </c>
      <c r="D2952" t="s">
        <v>1666</v>
      </c>
      <c r="E2952" t="s">
        <v>1062</v>
      </c>
      <c r="F2952" t="s">
        <v>1612</v>
      </c>
      <c r="I2952" t="s">
        <v>1077</v>
      </c>
      <c r="N2952" t="s">
        <v>228</v>
      </c>
      <c r="O2952" t="s">
        <v>6530</v>
      </c>
      <c r="P2952" t="s">
        <v>8436</v>
      </c>
      <c r="Q2952" t="str">
        <f>IF($C2952="","",IFERROR(VLOOKUP($C2952,sources!$A$2:$N$200,2,FALSE()),"?"))</f>
        <v>Photograph</v>
      </c>
      <c r="S2952" t="str">
        <f>IF($C2952="","",IFERROR(VLOOKUP($C2952,sources!$A$2:$N$200,9,FALSE()),"?"))</f>
        <v>US official</v>
      </c>
    </row>
    <row r="2953" spans="1:19" x14ac:dyDescent="0.2">
      <c r="A2953" t="s">
        <v>8437</v>
      </c>
      <c r="B2953" t="s">
        <v>1065</v>
      </c>
      <c r="C2953" t="s">
        <v>1260</v>
      </c>
      <c r="D2953" t="s">
        <v>1666</v>
      </c>
      <c r="E2953" t="s">
        <v>1066</v>
      </c>
      <c r="F2953" t="s">
        <v>1612</v>
      </c>
      <c r="I2953" t="s">
        <v>1077</v>
      </c>
      <c r="N2953" t="s">
        <v>228</v>
      </c>
      <c r="O2953" t="s">
        <v>6530</v>
      </c>
      <c r="P2953" t="s">
        <v>8438</v>
      </c>
      <c r="Q2953" t="str">
        <f>IF($C2953="","",IFERROR(VLOOKUP($C2953,sources!$A$2:$N$200,2,FALSE()),"?"))</f>
        <v>Photograph</v>
      </c>
      <c r="S2953" t="str">
        <f>IF($C2953="","",IFERROR(VLOOKUP($C2953,sources!$A$2:$N$200,9,FALSE()),"?"))</f>
        <v>US official</v>
      </c>
    </row>
    <row r="2954" spans="1:19" x14ac:dyDescent="0.2">
      <c r="A2954" t="s">
        <v>8439</v>
      </c>
      <c r="B2954" t="s">
        <v>1068</v>
      </c>
      <c r="C2954" t="s">
        <v>1260</v>
      </c>
      <c r="D2954" t="s">
        <v>1666</v>
      </c>
      <c r="E2954" t="s">
        <v>1069</v>
      </c>
      <c r="F2954" t="s">
        <v>1612</v>
      </c>
      <c r="I2954" t="s">
        <v>1077</v>
      </c>
      <c r="N2954" t="s">
        <v>209</v>
      </c>
      <c r="O2954" t="s">
        <v>6530</v>
      </c>
      <c r="P2954" t="s">
        <v>8440</v>
      </c>
      <c r="Q2954" t="str">
        <f>IF($C2954="","",IFERROR(VLOOKUP($C2954,sources!$A$2:$N$200,2,FALSE()),"?"))</f>
        <v>Photograph</v>
      </c>
      <c r="S2954" t="str">
        <f>IF($C2954="","",IFERROR(VLOOKUP($C2954,sources!$A$2:$N$200,9,FALSE()),"?"))</f>
        <v>US official</v>
      </c>
    </row>
    <row r="2955" spans="1:19" x14ac:dyDescent="0.2">
      <c r="A2955" t="s">
        <v>8441</v>
      </c>
      <c r="B2955" t="s">
        <v>1072</v>
      </c>
      <c r="C2955" t="s">
        <v>1260</v>
      </c>
      <c r="D2955" t="s">
        <v>1666</v>
      </c>
      <c r="E2955" t="s">
        <v>1073</v>
      </c>
      <c r="F2955" t="s">
        <v>1612</v>
      </c>
      <c r="I2955" t="s">
        <v>1077</v>
      </c>
      <c r="N2955" t="s">
        <v>222</v>
      </c>
      <c r="O2955" t="s">
        <v>6530</v>
      </c>
      <c r="P2955" t="s">
        <v>8442</v>
      </c>
      <c r="Q2955" t="str">
        <f>IF($C2955="","",IFERROR(VLOOKUP($C2955,sources!$A$2:$N$200,2,FALSE()),"?"))</f>
        <v>Photograph</v>
      </c>
      <c r="S2955" t="str">
        <f>IF($C2955="","",IFERROR(VLOOKUP($C2955,sources!$A$2:$N$200,9,FALSE()),"?"))</f>
        <v>US official</v>
      </c>
    </row>
    <row r="2956" spans="1:19" x14ac:dyDescent="0.2">
      <c r="A2956" t="s">
        <v>8443</v>
      </c>
      <c r="B2956" t="s">
        <v>1075</v>
      </c>
      <c r="C2956" t="s">
        <v>1260</v>
      </c>
      <c r="D2956" t="s">
        <v>1666</v>
      </c>
      <c r="E2956" t="s">
        <v>1076</v>
      </c>
      <c r="F2956" t="s">
        <v>1612</v>
      </c>
      <c r="I2956" t="s">
        <v>1077</v>
      </c>
      <c r="N2956" t="s">
        <v>222</v>
      </c>
      <c r="O2956" t="s">
        <v>6530</v>
      </c>
      <c r="P2956" t="s">
        <v>8444</v>
      </c>
      <c r="Q2956" t="str">
        <f>IF($C2956="","",IFERROR(VLOOKUP($C2956,sources!$A$2:$N$200,2,FALSE()),"?"))</f>
        <v>Photograph</v>
      </c>
      <c r="S2956" t="str">
        <f>IF($C2956="","",IFERROR(VLOOKUP($C2956,sources!$A$2:$N$200,9,FALSE()),"?"))</f>
        <v>US official</v>
      </c>
    </row>
    <row r="2957" spans="1:19" x14ac:dyDescent="0.2">
      <c r="A2957" t="s">
        <v>8445</v>
      </c>
      <c r="B2957" t="s">
        <v>1087</v>
      </c>
      <c r="C2957" t="s">
        <v>1260</v>
      </c>
      <c r="D2957" t="s">
        <v>1666</v>
      </c>
      <c r="E2957" t="s">
        <v>1088</v>
      </c>
      <c r="F2957" t="s">
        <v>1612</v>
      </c>
      <c r="I2957" t="s">
        <v>1077</v>
      </c>
      <c r="N2957" t="s">
        <v>209</v>
      </c>
      <c r="O2957" t="s">
        <v>6530</v>
      </c>
      <c r="P2957" t="s">
        <v>8446</v>
      </c>
      <c r="Q2957" t="str">
        <f>IF($C2957="","",IFERROR(VLOOKUP($C2957,sources!$A$2:$N$200,2,FALSE()),"?"))</f>
        <v>Photograph</v>
      </c>
      <c r="S2957" t="str">
        <f>IF($C2957="","",IFERROR(VLOOKUP($C2957,sources!$A$2:$N$200,9,FALSE()),"?"))</f>
        <v>US official</v>
      </c>
    </row>
    <row r="2958" spans="1:19" x14ac:dyDescent="0.2">
      <c r="A2958" t="s">
        <v>8447</v>
      </c>
      <c r="B2958" t="s">
        <v>1091</v>
      </c>
      <c r="C2958" t="s">
        <v>1260</v>
      </c>
      <c r="D2958" t="s">
        <v>1666</v>
      </c>
      <c r="E2958" t="s">
        <v>1092</v>
      </c>
      <c r="F2958" t="s">
        <v>1612</v>
      </c>
      <c r="I2958" t="s">
        <v>1077</v>
      </c>
      <c r="N2958" t="s">
        <v>228</v>
      </c>
      <c r="O2958" t="s">
        <v>6530</v>
      </c>
      <c r="P2958" t="s">
        <v>8448</v>
      </c>
      <c r="Q2958" t="str">
        <f>IF($C2958="","",IFERROR(VLOOKUP($C2958,sources!$A$2:$N$200,2,FALSE()),"?"))</f>
        <v>Photograph</v>
      </c>
      <c r="S2958" t="str">
        <f>IF($C2958="","",IFERROR(VLOOKUP($C2958,sources!$A$2:$N$200,9,FALSE()),"?"))</f>
        <v>US official</v>
      </c>
    </row>
    <row r="2959" spans="1:19" x14ac:dyDescent="0.2">
      <c r="A2959" t="s">
        <v>8449</v>
      </c>
      <c r="B2959" t="s">
        <v>1095</v>
      </c>
      <c r="C2959" t="s">
        <v>1260</v>
      </c>
      <c r="D2959" t="s">
        <v>1666</v>
      </c>
      <c r="E2959" t="s">
        <v>8405</v>
      </c>
      <c r="F2959" t="s">
        <v>1612</v>
      </c>
      <c r="I2959" t="s">
        <v>1077</v>
      </c>
      <c r="N2959" t="s">
        <v>209</v>
      </c>
      <c r="O2959" t="s">
        <v>6530</v>
      </c>
      <c r="P2959" t="s">
        <v>8450</v>
      </c>
      <c r="Q2959" t="str">
        <f>IF($C2959="","",IFERROR(VLOOKUP($C2959,sources!$A$2:$N$200,2,FALSE()),"?"))</f>
        <v>Photograph</v>
      </c>
      <c r="S2959" t="str">
        <f>IF($C2959="","",IFERROR(VLOOKUP($C2959,sources!$A$2:$N$200,9,FALSE()),"?"))</f>
        <v>US official</v>
      </c>
    </row>
    <row r="2960" spans="1:19" x14ac:dyDescent="0.2">
      <c r="A2960" t="s">
        <v>8451</v>
      </c>
      <c r="B2960" t="s">
        <v>1099</v>
      </c>
      <c r="C2960" t="s">
        <v>1260</v>
      </c>
      <c r="D2960" t="s">
        <v>1666</v>
      </c>
      <c r="E2960" t="s">
        <v>1100</v>
      </c>
      <c r="F2960" t="s">
        <v>1612</v>
      </c>
      <c r="I2960" t="s">
        <v>1077</v>
      </c>
      <c r="N2960" t="s">
        <v>209</v>
      </c>
      <c r="O2960" t="s">
        <v>6530</v>
      </c>
      <c r="P2960" t="s">
        <v>8452</v>
      </c>
      <c r="Q2960" t="str">
        <f>IF($C2960="","",IFERROR(VLOOKUP($C2960,sources!$A$2:$N$200,2,FALSE()),"?"))</f>
        <v>Photograph</v>
      </c>
      <c r="S2960" t="str">
        <f>IF($C2960="","",IFERROR(VLOOKUP($C2960,sources!$A$2:$N$200,9,FALSE()),"?"))</f>
        <v>US official</v>
      </c>
    </row>
    <row r="2961" spans="1:19" x14ac:dyDescent="0.2">
      <c r="A2961" t="s">
        <v>8453</v>
      </c>
      <c r="B2961" t="s">
        <v>1129</v>
      </c>
      <c r="C2961" t="s">
        <v>1260</v>
      </c>
      <c r="D2961" t="s">
        <v>1666</v>
      </c>
      <c r="E2961" t="s">
        <v>8416</v>
      </c>
      <c r="F2961" t="s">
        <v>1612</v>
      </c>
      <c r="I2961" t="s">
        <v>1077</v>
      </c>
      <c r="N2961" t="s">
        <v>209</v>
      </c>
      <c r="O2961" t="s">
        <v>6530</v>
      </c>
      <c r="P2961" t="s">
        <v>8454</v>
      </c>
      <c r="Q2961" t="str">
        <f>IF($C2961="","",IFERROR(VLOOKUP($C2961,sources!$A$2:$N$200,2,FALSE()),"?"))</f>
        <v>Photograph</v>
      </c>
      <c r="S2961" t="str">
        <f>IF($C2961="","",IFERROR(VLOOKUP($C2961,sources!$A$2:$N$200,9,FALSE()),"?"))</f>
        <v>US official</v>
      </c>
    </row>
    <row r="2962" spans="1:19" x14ac:dyDescent="0.2">
      <c r="A2962" t="s">
        <v>8455</v>
      </c>
      <c r="B2962" t="s">
        <v>702</v>
      </c>
      <c r="C2962" t="s">
        <v>1222</v>
      </c>
      <c r="D2962" t="s">
        <v>1666</v>
      </c>
      <c r="E2962" t="s">
        <v>4075</v>
      </c>
      <c r="F2962" t="s">
        <v>1612</v>
      </c>
      <c r="I2962" t="s">
        <v>1077</v>
      </c>
      <c r="N2962" t="s">
        <v>228</v>
      </c>
      <c r="O2962" t="s">
        <v>6530</v>
      </c>
      <c r="P2962" t="s">
        <v>8456</v>
      </c>
      <c r="Q2962" t="str">
        <f>IF($C2962="","",IFERROR(VLOOKUP($C2962,sources!$A$2:$N$200,2,FALSE()),"?"))</f>
        <v>Newspaper</v>
      </c>
      <c r="S2962" t="str">
        <f>IF($C2962="","",IFERROR(VLOOKUP($C2962,sources!$A$2:$N$200,9,FALSE()),"?"))</f>
        <v>US press</v>
      </c>
    </row>
    <row r="2963" spans="1:19" x14ac:dyDescent="0.2">
      <c r="A2963" t="s">
        <v>8457</v>
      </c>
      <c r="B2963" t="s">
        <v>720</v>
      </c>
      <c r="C2963" t="s">
        <v>1222</v>
      </c>
      <c r="D2963" t="s">
        <v>1666</v>
      </c>
      <c r="E2963" t="s">
        <v>7739</v>
      </c>
      <c r="F2963" t="s">
        <v>1612</v>
      </c>
      <c r="I2963" t="s">
        <v>1077</v>
      </c>
      <c r="N2963" t="s">
        <v>228</v>
      </c>
      <c r="O2963" t="s">
        <v>6530</v>
      </c>
      <c r="P2963" t="s">
        <v>8458</v>
      </c>
      <c r="Q2963" t="str">
        <f>IF($C2963="","",IFERROR(VLOOKUP($C2963,sources!$A$2:$N$200,2,FALSE()),"?"))</f>
        <v>Newspaper</v>
      </c>
      <c r="S2963" t="str">
        <f>IF($C2963="","",IFERROR(VLOOKUP($C2963,sources!$A$2:$N$200,9,FALSE()),"?"))</f>
        <v>US press</v>
      </c>
    </row>
    <row r="2964" spans="1:19" x14ac:dyDescent="0.2">
      <c r="A2964" t="s">
        <v>8459</v>
      </c>
      <c r="B2964" t="s">
        <v>752</v>
      </c>
      <c r="C2964" t="s">
        <v>1222</v>
      </c>
      <c r="D2964" t="s">
        <v>1666</v>
      </c>
      <c r="E2964" t="s">
        <v>7827</v>
      </c>
      <c r="F2964" t="s">
        <v>1612</v>
      </c>
      <c r="I2964" t="s">
        <v>1077</v>
      </c>
      <c r="N2964" t="s">
        <v>228</v>
      </c>
      <c r="O2964" t="s">
        <v>6530</v>
      </c>
      <c r="P2964" t="s">
        <v>8460</v>
      </c>
      <c r="Q2964" t="str">
        <f>IF($C2964="","",IFERROR(VLOOKUP($C2964,sources!$A$2:$N$200,2,FALSE()),"?"))</f>
        <v>Newspaper</v>
      </c>
      <c r="S2964" t="str">
        <f>IF($C2964="","",IFERROR(VLOOKUP($C2964,sources!$A$2:$N$200,9,FALSE()),"?"))</f>
        <v>US press</v>
      </c>
    </row>
    <row r="2965" spans="1:19" x14ac:dyDescent="0.2">
      <c r="A2965" t="s">
        <v>8461</v>
      </c>
      <c r="B2965" t="s">
        <v>756</v>
      </c>
      <c r="C2965" t="s">
        <v>1222</v>
      </c>
      <c r="D2965" t="s">
        <v>1666</v>
      </c>
      <c r="E2965" t="s">
        <v>7765</v>
      </c>
      <c r="F2965" t="s">
        <v>1612</v>
      </c>
      <c r="I2965" t="s">
        <v>1077</v>
      </c>
      <c r="N2965" t="s">
        <v>228</v>
      </c>
      <c r="O2965" t="s">
        <v>6530</v>
      </c>
      <c r="P2965" t="s">
        <v>8462</v>
      </c>
      <c r="Q2965" t="str">
        <f>IF($C2965="","",IFERROR(VLOOKUP($C2965,sources!$A$2:$N$200,2,FALSE()),"?"))</f>
        <v>Newspaper</v>
      </c>
      <c r="S2965" t="str">
        <f>IF($C2965="","",IFERROR(VLOOKUP($C2965,sources!$A$2:$N$200,9,FALSE()),"?"))</f>
        <v>US press</v>
      </c>
    </row>
    <row r="2966" spans="1:19" x14ac:dyDescent="0.2">
      <c r="A2966" t="s">
        <v>8463</v>
      </c>
      <c r="B2966" t="s">
        <v>759</v>
      </c>
      <c r="C2966" t="s">
        <v>1222</v>
      </c>
      <c r="D2966" t="s">
        <v>1666</v>
      </c>
      <c r="E2966" t="s">
        <v>7768</v>
      </c>
      <c r="F2966" t="s">
        <v>1612</v>
      </c>
      <c r="I2966" t="s">
        <v>1077</v>
      </c>
      <c r="N2966" t="s">
        <v>228</v>
      </c>
      <c r="O2966" t="s">
        <v>6530</v>
      </c>
      <c r="P2966" t="s">
        <v>8462</v>
      </c>
      <c r="Q2966" t="str">
        <f>IF($C2966="","",IFERROR(VLOOKUP($C2966,sources!$A$2:$N$200,2,FALSE()),"?"))</f>
        <v>Newspaper</v>
      </c>
      <c r="S2966" t="str">
        <f>IF($C2966="","",IFERROR(VLOOKUP($C2966,sources!$A$2:$N$200,9,FALSE()),"?"))</f>
        <v>US press</v>
      </c>
    </row>
    <row r="2967" spans="1:19" x14ac:dyDescent="0.2">
      <c r="A2967" t="s">
        <v>8464</v>
      </c>
      <c r="B2967" t="s">
        <v>762</v>
      </c>
      <c r="C2967" t="s">
        <v>1222</v>
      </c>
      <c r="D2967" t="s">
        <v>1666</v>
      </c>
      <c r="E2967" t="s">
        <v>7831</v>
      </c>
      <c r="F2967" t="s">
        <v>1612</v>
      </c>
      <c r="I2967" t="s">
        <v>1077</v>
      </c>
      <c r="N2967" t="s">
        <v>228</v>
      </c>
      <c r="O2967" t="s">
        <v>6530</v>
      </c>
      <c r="P2967" t="s">
        <v>8465</v>
      </c>
      <c r="Q2967" t="str">
        <f>IF($C2967="","",IFERROR(VLOOKUP($C2967,sources!$A$2:$N$200,2,FALSE()),"?"))</f>
        <v>Newspaper</v>
      </c>
      <c r="S2967" t="str">
        <f>IF($C2967="","",IFERROR(VLOOKUP($C2967,sources!$A$2:$N$200,9,FALSE()),"?"))</f>
        <v>US press</v>
      </c>
    </row>
    <row r="2968" spans="1:19" x14ac:dyDescent="0.2">
      <c r="A2968" t="s">
        <v>8466</v>
      </c>
      <c r="B2968" t="s">
        <v>768</v>
      </c>
      <c r="C2968" t="s">
        <v>1222</v>
      </c>
      <c r="D2968" t="s">
        <v>1666</v>
      </c>
      <c r="E2968" t="s">
        <v>7777</v>
      </c>
      <c r="F2968" t="s">
        <v>1612</v>
      </c>
      <c r="I2968" t="s">
        <v>1077</v>
      </c>
      <c r="N2968" t="s">
        <v>228</v>
      </c>
      <c r="O2968" t="s">
        <v>6530</v>
      </c>
      <c r="P2968" t="s">
        <v>8462</v>
      </c>
      <c r="Q2968" t="str">
        <f>IF($C2968="","",IFERROR(VLOOKUP($C2968,sources!$A$2:$N$200,2,FALSE()),"?"))</f>
        <v>Newspaper</v>
      </c>
      <c r="S2968" t="str">
        <f>IF($C2968="","",IFERROR(VLOOKUP($C2968,sources!$A$2:$N$200,9,FALSE()),"?"))</f>
        <v>US press</v>
      </c>
    </row>
    <row r="2969" spans="1:19" x14ac:dyDescent="0.2">
      <c r="A2969" t="s">
        <v>8467</v>
      </c>
      <c r="B2969" t="s">
        <v>771</v>
      </c>
      <c r="C2969" t="s">
        <v>1222</v>
      </c>
      <c r="D2969" t="s">
        <v>1666</v>
      </c>
      <c r="E2969" t="s">
        <v>7779</v>
      </c>
      <c r="F2969" t="s">
        <v>1612</v>
      </c>
      <c r="I2969" t="s">
        <v>1077</v>
      </c>
      <c r="N2969" t="s">
        <v>228</v>
      </c>
      <c r="O2969" t="s">
        <v>6530</v>
      </c>
      <c r="P2969" t="s">
        <v>8462</v>
      </c>
      <c r="Q2969" t="str">
        <f>IF($C2969="","",IFERROR(VLOOKUP($C2969,sources!$A$2:$N$200,2,FALSE()),"?"))</f>
        <v>Newspaper</v>
      </c>
      <c r="S2969" t="str">
        <f>IF($C2969="","",IFERROR(VLOOKUP($C2969,sources!$A$2:$N$200,9,FALSE()),"?"))</f>
        <v>US press</v>
      </c>
    </row>
    <row r="2970" spans="1:19" x14ac:dyDescent="0.2">
      <c r="A2970" t="s">
        <v>8468</v>
      </c>
      <c r="B2970" t="s">
        <v>774</v>
      </c>
      <c r="C2970" t="s">
        <v>1222</v>
      </c>
      <c r="D2970" t="s">
        <v>1666</v>
      </c>
      <c r="E2970" t="s">
        <v>7782</v>
      </c>
      <c r="F2970" t="s">
        <v>1612</v>
      </c>
      <c r="I2970" t="s">
        <v>1077</v>
      </c>
      <c r="N2970" t="s">
        <v>228</v>
      </c>
      <c r="O2970" t="s">
        <v>6530</v>
      </c>
      <c r="P2970" t="s">
        <v>8462</v>
      </c>
      <c r="Q2970" t="str">
        <f>IF($C2970="","",IFERROR(VLOOKUP($C2970,sources!$A$2:$N$200,2,FALSE()),"?"))</f>
        <v>Newspaper</v>
      </c>
      <c r="S2970" t="str">
        <f>IF($C2970="","",IFERROR(VLOOKUP($C2970,sources!$A$2:$N$200,9,FALSE()),"?"))</f>
        <v>US press</v>
      </c>
    </row>
    <row r="2971" spans="1:19" x14ac:dyDescent="0.2">
      <c r="A2971" t="s">
        <v>8469</v>
      </c>
      <c r="B2971" t="s">
        <v>780</v>
      </c>
      <c r="C2971" t="s">
        <v>1222</v>
      </c>
      <c r="D2971" t="s">
        <v>1599</v>
      </c>
      <c r="E2971" t="s">
        <v>7840</v>
      </c>
      <c r="F2971" t="s">
        <v>1612</v>
      </c>
      <c r="I2971" t="s">
        <v>1077</v>
      </c>
      <c r="K2971">
        <v>1906</v>
      </c>
      <c r="L2971">
        <v>1906</v>
      </c>
      <c r="M2971" t="s">
        <v>222</v>
      </c>
      <c r="N2971" t="s">
        <v>222</v>
      </c>
      <c r="O2971" t="s">
        <v>6530</v>
      </c>
      <c r="P2971" t="s">
        <v>8470</v>
      </c>
      <c r="Q2971" t="str">
        <f>IF($C2971="","",IFERROR(VLOOKUP($C2971,sources!$A$2:$N$200,2,FALSE()),"?"))</f>
        <v>Newspaper</v>
      </c>
      <c r="S2971" t="str">
        <f>IF($C2971="","",IFERROR(VLOOKUP($C2971,sources!$A$2:$N$200,9,FALSE()),"?"))</f>
        <v>US press</v>
      </c>
    </row>
    <row r="2972" spans="1:19" x14ac:dyDescent="0.2">
      <c r="A2972" t="s">
        <v>8471</v>
      </c>
      <c r="B2972" t="s">
        <v>789</v>
      </c>
      <c r="C2972" t="s">
        <v>1222</v>
      </c>
      <c r="D2972" t="s">
        <v>1666</v>
      </c>
      <c r="E2972" t="s">
        <v>7793</v>
      </c>
      <c r="F2972" t="s">
        <v>1612</v>
      </c>
      <c r="I2972" t="s">
        <v>1077</v>
      </c>
      <c r="N2972" t="s">
        <v>228</v>
      </c>
      <c r="O2972" t="s">
        <v>6530</v>
      </c>
      <c r="P2972" t="s">
        <v>8462</v>
      </c>
      <c r="Q2972" t="str">
        <f>IF($C2972="","",IFERROR(VLOOKUP($C2972,sources!$A$2:$N$200,2,FALSE()),"?"))</f>
        <v>Newspaper</v>
      </c>
      <c r="S2972" t="str">
        <f>IF($C2972="","",IFERROR(VLOOKUP($C2972,sources!$A$2:$N$200,9,FALSE()),"?"))</f>
        <v>US press</v>
      </c>
    </row>
    <row r="2973" spans="1:19" x14ac:dyDescent="0.2">
      <c r="A2973" t="s">
        <v>8472</v>
      </c>
      <c r="B2973" t="s">
        <v>1049</v>
      </c>
      <c r="C2973" t="s">
        <v>1222</v>
      </c>
      <c r="D2973" t="s">
        <v>1666</v>
      </c>
      <c r="E2973" t="s">
        <v>8250</v>
      </c>
      <c r="F2973" t="s">
        <v>1612</v>
      </c>
      <c r="I2973" t="s">
        <v>1077</v>
      </c>
      <c r="N2973" t="s">
        <v>228</v>
      </c>
      <c r="O2973" t="s">
        <v>6530</v>
      </c>
      <c r="P2973" t="s">
        <v>8473</v>
      </c>
      <c r="Q2973" t="str">
        <f>IF($C2973="","",IFERROR(VLOOKUP($C2973,sources!$A$2:$N$200,2,FALSE()),"?"))</f>
        <v>Newspaper</v>
      </c>
      <c r="S2973" t="str">
        <f>IF($C2973="","",IFERROR(VLOOKUP($C2973,sources!$A$2:$N$200,9,FALSE()),"?"))</f>
        <v>US press</v>
      </c>
    </row>
    <row r="2974" spans="1:19" x14ac:dyDescent="0.2">
      <c r="A2974" t="s">
        <v>8474</v>
      </c>
      <c r="B2974" t="s">
        <v>1056</v>
      </c>
      <c r="C2974" t="s">
        <v>1222</v>
      </c>
      <c r="D2974" t="s">
        <v>1599</v>
      </c>
      <c r="E2974" t="s">
        <v>8262</v>
      </c>
      <c r="F2974" t="s">
        <v>1612</v>
      </c>
      <c r="I2974" t="s">
        <v>1077</v>
      </c>
      <c r="K2974">
        <v>1908</v>
      </c>
      <c r="L2974">
        <v>1909</v>
      </c>
      <c r="M2974" t="s">
        <v>222</v>
      </c>
      <c r="N2974" t="s">
        <v>222</v>
      </c>
      <c r="O2974" t="s">
        <v>6530</v>
      </c>
      <c r="P2974" t="s">
        <v>8475</v>
      </c>
      <c r="Q2974" t="str">
        <f>IF($C2974="","",IFERROR(VLOOKUP($C2974,sources!$A$2:$N$200,2,FALSE()),"?"))</f>
        <v>Newspaper</v>
      </c>
      <c r="S2974" t="str">
        <f>IF($C2974="","",IFERROR(VLOOKUP($C2974,sources!$A$2:$N$200,9,FALSE()),"?"))</f>
        <v>US press</v>
      </c>
    </row>
    <row r="2975" spans="1:19" x14ac:dyDescent="0.2">
      <c r="A2975" t="s">
        <v>8476</v>
      </c>
      <c r="B2975" t="s">
        <v>1075</v>
      </c>
      <c r="C2975" t="s">
        <v>1222</v>
      </c>
      <c r="D2975" t="s">
        <v>1666</v>
      </c>
      <c r="E2975" t="s">
        <v>1076</v>
      </c>
      <c r="F2975" t="s">
        <v>1612</v>
      </c>
      <c r="I2975" t="s">
        <v>1077</v>
      </c>
      <c r="N2975" t="s">
        <v>222</v>
      </c>
      <c r="O2975" t="s">
        <v>6530</v>
      </c>
      <c r="P2975" t="s">
        <v>8477</v>
      </c>
      <c r="Q2975" t="str">
        <f>IF($C2975="","",IFERROR(VLOOKUP($C2975,sources!$A$2:$N$200,2,FALSE()),"?"))</f>
        <v>Newspaper</v>
      </c>
      <c r="S2975" t="str">
        <f>IF($C2975="","",IFERROR(VLOOKUP($C2975,sources!$A$2:$N$200,9,FALSE()),"?"))</f>
        <v>US press</v>
      </c>
    </row>
    <row r="2976" spans="1:19" x14ac:dyDescent="0.2">
      <c r="A2976" t="s">
        <v>8478</v>
      </c>
      <c r="B2976" t="s">
        <v>1095</v>
      </c>
      <c r="C2976" t="s">
        <v>1222</v>
      </c>
      <c r="D2976" t="s">
        <v>1666</v>
      </c>
      <c r="E2976" t="s">
        <v>8405</v>
      </c>
      <c r="F2976" t="s">
        <v>1612</v>
      </c>
      <c r="I2976" t="s">
        <v>1077</v>
      </c>
      <c r="N2976" t="s">
        <v>209</v>
      </c>
      <c r="O2976" t="s">
        <v>6530</v>
      </c>
      <c r="P2976" t="s">
        <v>8479</v>
      </c>
      <c r="Q2976" t="str">
        <f>IF($C2976="","",IFERROR(VLOOKUP($C2976,sources!$A$2:$N$200,2,FALSE()),"?"))</f>
        <v>Newspaper</v>
      </c>
      <c r="S2976" t="str">
        <f>IF($C2976="","",IFERROR(VLOOKUP($C2976,sources!$A$2:$N$200,9,FALSE()),"?"))</f>
        <v>US press</v>
      </c>
    </row>
    <row r="2977" spans="1:19" x14ac:dyDescent="0.2">
      <c r="A2977" t="s">
        <v>8480</v>
      </c>
      <c r="B2977" t="s">
        <v>1099</v>
      </c>
      <c r="C2977" t="s">
        <v>1222</v>
      </c>
      <c r="D2977" t="s">
        <v>1666</v>
      </c>
      <c r="E2977" t="s">
        <v>1100</v>
      </c>
      <c r="F2977" t="s">
        <v>1612</v>
      </c>
      <c r="I2977" t="s">
        <v>1077</v>
      </c>
      <c r="N2977" t="s">
        <v>209</v>
      </c>
      <c r="O2977" t="s">
        <v>6530</v>
      </c>
      <c r="P2977" t="s">
        <v>8481</v>
      </c>
      <c r="Q2977" t="str">
        <f>IF($C2977="","",IFERROR(VLOOKUP($C2977,sources!$A$2:$N$200,2,FALSE()),"?"))</f>
        <v>Newspaper</v>
      </c>
      <c r="S2977" t="str">
        <f>IF($C2977="","",IFERROR(VLOOKUP($C2977,sources!$A$2:$N$200,9,FALSE()),"?"))</f>
        <v>US press</v>
      </c>
    </row>
    <row r="2978" spans="1:19" x14ac:dyDescent="0.2">
      <c r="A2978" t="s">
        <v>8482</v>
      </c>
      <c r="B2978" t="s">
        <v>1013</v>
      </c>
      <c r="C2978" t="s">
        <v>1398</v>
      </c>
      <c r="D2978" t="s">
        <v>1599</v>
      </c>
      <c r="E2978" t="s">
        <v>8483</v>
      </c>
      <c r="F2978" t="s">
        <v>1612</v>
      </c>
      <c r="I2978" t="s">
        <v>1077</v>
      </c>
      <c r="K2978">
        <v>1950</v>
      </c>
      <c r="L2978">
        <v>1950</v>
      </c>
      <c r="M2978" t="s">
        <v>222</v>
      </c>
      <c r="N2978" t="s">
        <v>222</v>
      </c>
      <c r="O2978" t="s">
        <v>8484</v>
      </c>
      <c r="P2978" t="s">
        <v>8485</v>
      </c>
      <c r="Q2978" t="str">
        <f>IF($C2978="","",IFERROR(VLOOKUP($C2978,sources!$A$2:$N$200,2,FALSE()),"?"))</f>
        <v>Map</v>
      </c>
      <c r="S2978" t="str">
        <f>IF($C2978="","",IFERROR(VLOOKUP($C2978,sources!$A$2:$N$200,9,FALSE()),"?"))</f>
        <v>US official</v>
      </c>
    </row>
    <row r="2979" spans="1:19" x14ac:dyDescent="0.2">
      <c r="A2979" t="s">
        <v>8486</v>
      </c>
      <c r="B2979" t="s">
        <v>422</v>
      </c>
      <c r="C2979" t="s">
        <v>1398</v>
      </c>
      <c r="D2979" t="s">
        <v>1599</v>
      </c>
      <c r="E2979" t="s">
        <v>8487</v>
      </c>
      <c r="F2979" t="s">
        <v>1612</v>
      </c>
      <c r="I2979" t="s">
        <v>1077</v>
      </c>
      <c r="K2979">
        <v>1950</v>
      </c>
      <c r="L2979">
        <v>1950</v>
      </c>
      <c r="M2979" t="s">
        <v>222</v>
      </c>
      <c r="N2979" t="s">
        <v>222</v>
      </c>
      <c r="O2979" t="s">
        <v>8484</v>
      </c>
      <c r="P2979" t="s">
        <v>8488</v>
      </c>
      <c r="Q2979" t="str">
        <f>IF($C2979="","",IFERROR(VLOOKUP($C2979,sources!$A$2:$N$200,2,FALSE()),"?"))</f>
        <v>Map</v>
      </c>
      <c r="S2979" t="str">
        <f>IF($C2979="","",IFERROR(VLOOKUP($C2979,sources!$A$2:$N$200,9,FALSE()),"?"))</f>
        <v>US official</v>
      </c>
    </row>
    <row r="2980" spans="1:19" x14ac:dyDescent="0.2">
      <c r="A2980" t="s">
        <v>8489</v>
      </c>
      <c r="B2980" t="s">
        <v>805</v>
      </c>
      <c r="C2980" t="s">
        <v>1398</v>
      </c>
      <c r="D2980" t="s">
        <v>1599</v>
      </c>
      <c r="E2980" t="s">
        <v>8490</v>
      </c>
      <c r="F2980" t="s">
        <v>1612</v>
      </c>
      <c r="I2980" t="s">
        <v>1077</v>
      </c>
      <c r="K2980">
        <v>1950</v>
      </c>
      <c r="L2980">
        <v>1950</v>
      </c>
      <c r="M2980" t="s">
        <v>222</v>
      </c>
      <c r="N2980" t="s">
        <v>222</v>
      </c>
      <c r="O2980" t="s">
        <v>8484</v>
      </c>
      <c r="P2980" t="s">
        <v>8491</v>
      </c>
      <c r="Q2980" t="str">
        <f>IF($C2980="","",IFERROR(VLOOKUP($C2980,sources!$A$2:$N$200,2,FALSE()),"?"))</f>
        <v>Map</v>
      </c>
      <c r="S2980" t="str">
        <f>IF($C2980="","",IFERROR(VLOOKUP($C2980,sources!$A$2:$N$200,9,FALSE()),"?"))</f>
        <v>US official</v>
      </c>
    </row>
    <row r="2981" spans="1:19" x14ac:dyDescent="0.2">
      <c r="A2981" t="s">
        <v>8492</v>
      </c>
      <c r="B2981" t="s">
        <v>866</v>
      </c>
      <c r="C2981" t="s">
        <v>1398</v>
      </c>
      <c r="D2981" t="s">
        <v>1599</v>
      </c>
      <c r="E2981" t="s">
        <v>8493</v>
      </c>
      <c r="F2981" t="s">
        <v>1612</v>
      </c>
      <c r="I2981" t="s">
        <v>1077</v>
      </c>
      <c r="K2981">
        <v>1950</v>
      </c>
      <c r="L2981">
        <v>1950</v>
      </c>
      <c r="M2981" t="s">
        <v>222</v>
      </c>
      <c r="N2981" t="s">
        <v>222</v>
      </c>
      <c r="O2981" t="s">
        <v>8484</v>
      </c>
      <c r="P2981" t="s">
        <v>8494</v>
      </c>
      <c r="Q2981" t="str">
        <f>IF($C2981="","",IFERROR(VLOOKUP($C2981,sources!$A$2:$N$200,2,FALSE()),"?"))</f>
        <v>Map</v>
      </c>
      <c r="S2981" t="str">
        <f>IF($C2981="","",IFERROR(VLOOKUP($C2981,sources!$A$2:$N$200,9,FALSE()),"?"))</f>
        <v>US official</v>
      </c>
    </row>
    <row r="2982" spans="1:19" x14ac:dyDescent="0.2">
      <c r="A2982" t="s">
        <v>8495</v>
      </c>
      <c r="B2982" t="s">
        <v>475</v>
      </c>
      <c r="C2982" t="s">
        <v>1398</v>
      </c>
      <c r="D2982" t="s">
        <v>1599</v>
      </c>
      <c r="E2982" t="s">
        <v>8496</v>
      </c>
      <c r="F2982" t="s">
        <v>1612</v>
      </c>
      <c r="I2982" t="s">
        <v>1077</v>
      </c>
      <c r="K2982">
        <v>1950</v>
      </c>
      <c r="L2982">
        <v>1950</v>
      </c>
      <c r="M2982" t="s">
        <v>222</v>
      </c>
      <c r="N2982" t="s">
        <v>222</v>
      </c>
      <c r="O2982" t="s">
        <v>8484</v>
      </c>
      <c r="P2982" t="s">
        <v>8497</v>
      </c>
      <c r="Q2982" t="str">
        <f>IF($C2982="","",IFERROR(VLOOKUP($C2982,sources!$A$2:$N$200,2,FALSE()),"?"))</f>
        <v>Map</v>
      </c>
      <c r="S2982" t="str">
        <f>IF($C2982="","",IFERROR(VLOOKUP($C2982,sources!$A$2:$N$200,9,FALSE()),"?"))</f>
        <v>US official</v>
      </c>
    </row>
    <row r="2983" spans="1:19" x14ac:dyDescent="0.2">
      <c r="A2983" t="s">
        <v>8498</v>
      </c>
      <c r="B2983" t="s">
        <v>466</v>
      </c>
      <c r="C2983" t="s">
        <v>1398</v>
      </c>
      <c r="D2983" t="s">
        <v>1599</v>
      </c>
      <c r="E2983" t="s">
        <v>8499</v>
      </c>
      <c r="F2983" t="s">
        <v>1612</v>
      </c>
      <c r="I2983" t="s">
        <v>1077</v>
      </c>
      <c r="K2983">
        <v>1950</v>
      </c>
      <c r="L2983">
        <v>1950</v>
      </c>
      <c r="M2983" t="s">
        <v>222</v>
      </c>
      <c r="N2983" t="s">
        <v>222</v>
      </c>
      <c r="O2983" t="s">
        <v>8484</v>
      </c>
      <c r="P2983" t="s">
        <v>8500</v>
      </c>
      <c r="Q2983" t="str">
        <f>IF($C2983="","",IFERROR(VLOOKUP($C2983,sources!$A$2:$N$200,2,FALSE()),"?"))</f>
        <v>Map</v>
      </c>
      <c r="S2983" t="str">
        <f>IF($C2983="","",IFERROR(VLOOKUP($C2983,sources!$A$2:$N$200,9,FALSE()),"?"))</f>
        <v>US official</v>
      </c>
    </row>
    <row r="2984" spans="1:19" x14ac:dyDescent="0.2">
      <c r="A2984" t="s">
        <v>8501</v>
      </c>
      <c r="B2984" t="s">
        <v>376</v>
      </c>
      <c r="C2984" t="s">
        <v>1398</v>
      </c>
      <c r="D2984" t="s">
        <v>1599</v>
      </c>
      <c r="E2984" t="s">
        <v>8502</v>
      </c>
      <c r="F2984" t="s">
        <v>1612</v>
      </c>
      <c r="I2984" t="s">
        <v>1077</v>
      </c>
      <c r="K2984">
        <v>1950</v>
      </c>
      <c r="L2984">
        <v>1950</v>
      </c>
      <c r="M2984" t="s">
        <v>222</v>
      </c>
      <c r="N2984" t="s">
        <v>222</v>
      </c>
      <c r="O2984" t="s">
        <v>8484</v>
      </c>
      <c r="P2984" t="s">
        <v>8503</v>
      </c>
      <c r="Q2984" t="str">
        <f>IF($C2984="","",IFERROR(VLOOKUP($C2984,sources!$A$2:$N$200,2,FALSE()),"?"))</f>
        <v>Map</v>
      </c>
      <c r="S2984" t="str">
        <f>IF($C2984="","",IFERROR(VLOOKUP($C2984,sources!$A$2:$N$200,9,FALSE()),"?"))</f>
        <v>US official</v>
      </c>
    </row>
    <row r="2985" spans="1:19" x14ac:dyDescent="0.2">
      <c r="A2985" t="s">
        <v>8504</v>
      </c>
      <c r="B2985" t="s">
        <v>863</v>
      </c>
      <c r="C2985" t="s">
        <v>1398</v>
      </c>
      <c r="D2985" t="s">
        <v>1599</v>
      </c>
      <c r="E2985" t="s">
        <v>8505</v>
      </c>
      <c r="F2985" t="s">
        <v>1612</v>
      </c>
      <c r="I2985" t="s">
        <v>1077</v>
      </c>
      <c r="K2985">
        <v>1950</v>
      </c>
      <c r="L2985">
        <v>1950</v>
      </c>
      <c r="M2985" t="s">
        <v>222</v>
      </c>
      <c r="N2985" t="s">
        <v>222</v>
      </c>
      <c r="O2985" t="s">
        <v>8484</v>
      </c>
      <c r="P2985" t="s">
        <v>8506</v>
      </c>
      <c r="Q2985" t="str">
        <f>IF($C2985="","",IFERROR(VLOOKUP($C2985,sources!$A$2:$N$200,2,FALSE()),"?"))</f>
        <v>Map</v>
      </c>
      <c r="S2985" t="str">
        <f>IF($C2985="","",IFERROR(VLOOKUP($C2985,sources!$A$2:$N$200,9,FALSE()),"?"))</f>
        <v>US official</v>
      </c>
    </row>
    <row r="2986" spans="1:19" x14ac:dyDescent="0.2">
      <c r="A2986" t="s">
        <v>8507</v>
      </c>
      <c r="B2986" t="s">
        <v>480</v>
      </c>
      <c r="C2986" t="s">
        <v>1398</v>
      </c>
      <c r="D2986" t="s">
        <v>1599</v>
      </c>
      <c r="E2986" t="s">
        <v>8508</v>
      </c>
      <c r="F2986" t="s">
        <v>1612</v>
      </c>
      <c r="I2986" t="s">
        <v>1077</v>
      </c>
      <c r="K2986">
        <v>1950</v>
      </c>
      <c r="L2986">
        <v>1950</v>
      </c>
      <c r="M2986" t="s">
        <v>222</v>
      </c>
      <c r="N2986" t="s">
        <v>222</v>
      </c>
      <c r="O2986" t="s">
        <v>8484</v>
      </c>
      <c r="P2986" t="s">
        <v>8509</v>
      </c>
      <c r="Q2986" t="str">
        <f>IF($C2986="","",IFERROR(VLOOKUP($C2986,sources!$A$2:$N$200,2,FALSE()),"?"))</f>
        <v>Map</v>
      </c>
      <c r="S2986" t="str">
        <f>IF($C2986="","",IFERROR(VLOOKUP($C2986,sources!$A$2:$N$200,9,FALSE()),"?"))</f>
        <v>US official</v>
      </c>
    </row>
    <row r="2987" spans="1:19" x14ac:dyDescent="0.2">
      <c r="A2987" t="s">
        <v>8510</v>
      </c>
      <c r="B2987" t="s">
        <v>280</v>
      </c>
      <c r="C2987" t="s">
        <v>1398</v>
      </c>
      <c r="D2987" t="s">
        <v>1599</v>
      </c>
      <c r="E2987" t="s">
        <v>8511</v>
      </c>
      <c r="F2987" t="s">
        <v>1612</v>
      </c>
      <c r="I2987" t="s">
        <v>1077</v>
      </c>
      <c r="K2987">
        <v>1950</v>
      </c>
      <c r="L2987">
        <v>1950</v>
      </c>
      <c r="M2987" t="s">
        <v>222</v>
      </c>
      <c r="N2987" t="s">
        <v>228</v>
      </c>
      <c r="O2987" t="s">
        <v>8484</v>
      </c>
      <c r="P2987" t="s">
        <v>8512</v>
      </c>
      <c r="Q2987" t="str">
        <f>IF($C2987="","",IFERROR(VLOOKUP($C2987,sources!$A$2:$N$200,2,FALSE()),"?"))</f>
        <v>Map</v>
      </c>
      <c r="S2987" t="str">
        <f>IF($C2987="","",IFERROR(VLOOKUP($C2987,sources!$A$2:$N$200,9,FALSE()),"?"))</f>
        <v>US official</v>
      </c>
    </row>
    <row r="2988" spans="1:19" x14ac:dyDescent="0.2">
      <c r="A2988" t="s">
        <v>8513</v>
      </c>
      <c r="B2988" t="s">
        <v>388</v>
      </c>
      <c r="C2988" t="s">
        <v>1398</v>
      </c>
      <c r="D2988" t="s">
        <v>1599</v>
      </c>
      <c r="E2988" t="s">
        <v>8514</v>
      </c>
      <c r="F2988" t="s">
        <v>1612</v>
      </c>
      <c r="I2988" t="s">
        <v>1077</v>
      </c>
      <c r="K2988">
        <v>1950</v>
      </c>
      <c r="L2988">
        <v>1950</v>
      </c>
      <c r="M2988" t="s">
        <v>222</v>
      </c>
      <c r="N2988" t="s">
        <v>222</v>
      </c>
      <c r="O2988" t="s">
        <v>8484</v>
      </c>
      <c r="P2988" t="s">
        <v>8515</v>
      </c>
      <c r="Q2988" t="str">
        <f>IF($C2988="","",IFERROR(VLOOKUP($C2988,sources!$A$2:$N$200,2,FALSE()),"?"))</f>
        <v>Map</v>
      </c>
      <c r="S2988" t="str">
        <f>IF($C2988="","",IFERROR(VLOOKUP($C2988,sources!$A$2:$N$200,9,FALSE()),"?"))</f>
        <v>US official</v>
      </c>
    </row>
    <row r="2989" spans="1:19" x14ac:dyDescent="0.2">
      <c r="A2989" t="s">
        <v>8516</v>
      </c>
      <c r="B2989" t="s">
        <v>434</v>
      </c>
      <c r="C2989" t="s">
        <v>1398</v>
      </c>
      <c r="D2989" t="s">
        <v>1599</v>
      </c>
      <c r="E2989" t="s">
        <v>8517</v>
      </c>
      <c r="F2989" t="s">
        <v>1612</v>
      </c>
      <c r="I2989" t="s">
        <v>1077</v>
      </c>
      <c r="K2989">
        <v>1950</v>
      </c>
      <c r="L2989">
        <v>1950</v>
      </c>
      <c r="M2989" t="s">
        <v>222</v>
      </c>
      <c r="N2989" t="s">
        <v>222</v>
      </c>
      <c r="O2989" t="s">
        <v>8484</v>
      </c>
      <c r="P2989" t="s">
        <v>8503</v>
      </c>
      <c r="Q2989" t="str">
        <f>IF($C2989="","",IFERROR(VLOOKUP($C2989,sources!$A$2:$N$200,2,FALSE()),"?"))</f>
        <v>Map</v>
      </c>
      <c r="S2989" t="str">
        <f>IF($C2989="","",IFERROR(VLOOKUP($C2989,sources!$A$2:$N$200,9,FALSE()),"?"))</f>
        <v>US official</v>
      </c>
    </row>
    <row r="2990" spans="1:19" x14ac:dyDescent="0.2">
      <c r="A2990" t="s">
        <v>8518</v>
      </c>
      <c r="B2990" t="s">
        <v>534</v>
      </c>
      <c r="C2990" t="s">
        <v>1398</v>
      </c>
      <c r="D2990" t="s">
        <v>1599</v>
      </c>
      <c r="E2990" t="s">
        <v>8519</v>
      </c>
      <c r="F2990" t="s">
        <v>1612</v>
      </c>
      <c r="I2990" t="s">
        <v>1077</v>
      </c>
      <c r="K2990">
        <v>1950</v>
      </c>
      <c r="L2990">
        <v>1950</v>
      </c>
      <c r="M2990" t="s">
        <v>222</v>
      </c>
      <c r="N2990" t="s">
        <v>222</v>
      </c>
      <c r="O2990" t="s">
        <v>8484</v>
      </c>
      <c r="P2990" t="s">
        <v>8503</v>
      </c>
      <c r="Q2990" t="str">
        <f>IF($C2990="","",IFERROR(VLOOKUP($C2990,sources!$A$2:$N$200,2,FALSE()),"?"))</f>
        <v>Map</v>
      </c>
      <c r="S2990" t="str">
        <f>IF($C2990="","",IFERROR(VLOOKUP($C2990,sources!$A$2:$N$200,9,FALSE()),"?"))</f>
        <v>US official</v>
      </c>
    </row>
    <row r="2991" spans="1:19" x14ac:dyDescent="0.2">
      <c r="A2991" t="s">
        <v>8520</v>
      </c>
      <c r="B2991" t="s">
        <v>1021</v>
      </c>
      <c r="C2991" t="s">
        <v>1398</v>
      </c>
      <c r="D2991" t="s">
        <v>1666</v>
      </c>
      <c r="E2991" t="s">
        <v>8521</v>
      </c>
      <c r="F2991" t="s">
        <v>1612</v>
      </c>
      <c r="I2991" t="s">
        <v>1077</v>
      </c>
      <c r="K2991">
        <v>1950</v>
      </c>
      <c r="L2991">
        <v>1950</v>
      </c>
      <c r="M2991" t="s">
        <v>222</v>
      </c>
      <c r="N2991" t="s">
        <v>209</v>
      </c>
      <c r="O2991" t="s">
        <v>8484</v>
      </c>
      <c r="P2991" t="s">
        <v>8522</v>
      </c>
      <c r="Q2991" t="str">
        <f>IF($C2991="","",IFERROR(VLOOKUP($C2991,sources!$A$2:$N$200,2,FALSE()),"?"))</f>
        <v>Map</v>
      </c>
      <c r="S2991" t="str">
        <f>IF($C2991="","",IFERROR(VLOOKUP($C2991,sources!$A$2:$N$200,9,FALSE()),"?"))</f>
        <v>US official</v>
      </c>
    </row>
    <row r="2992" spans="1:19" x14ac:dyDescent="0.2">
      <c r="A2992" t="s">
        <v>8523</v>
      </c>
      <c r="B2992" t="s">
        <v>491</v>
      </c>
      <c r="C2992" t="s">
        <v>1398</v>
      </c>
      <c r="D2992" t="s">
        <v>1585</v>
      </c>
      <c r="E2992" t="s">
        <v>8524</v>
      </c>
      <c r="F2992" t="s">
        <v>1587</v>
      </c>
      <c r="G2992">
        <v>9.2207380000000008</v>
      </c>
      <c r="H2992">
        <v>-79.608003999999994</v>
      </c>
      <c r="I2992" t="s">
        <v>4813</v>
      </c>
      <c r="J2992">
        <v>400</v>
      </c>
      <c r="M2992" t="s">
        <v>209</v>
      </c>
      <c r="N2992" t="s">
        <v>222</v>
      </c>
      <c r="O2992" t="s">
        <v>8525</v>
      </c>
      <c r="P2992" t="s">
        <v>8526</v>
      </c>
      <c r="Q2992" t="str">
        <f>IF($C2992="","",IFERROR(VLOOKUP($C2992,sources!$A$2:$N$200,2,FALSE()),"?"))</f>
        <v>Map</v>
      </c>
      <c r="S2992" t="str">
        <f>IF($C2992="","",IFERROR(VLOOKUP($C2992,sources!$A$2:$N$200,9,FALSE()),"?"))</f>
        <v>US official</v>
      </c>
    </row>
    <row r="2993" spans="1:19" x14ac:dyDescent="0.2">
      <c r="A2993" t="s">
        <v>8527</v>
      </c>
      <c r="B2993" t="s">
        <v>668</v>
      </c>
      <c r="C2993" t="s">
        <v>1398</v>
      </c>
      <c r="D2993" t="s">
        <v>1585</v>
      </c>
      <c r="E2993" t="s">
        <v>8528</v>
      </c>
      <c r="F2993" t="s">
        <v>1587</v>
      </c>
      <c r="G2993">
        <v>9.2249739999999996</v>
      </c>
      <c r="H2993">
        <v>-79.626154999999997</v>
      </c>
      <c r="I2993" t="s">
        <v>4813</v>
      </c>
      <c r="J2993">
        <v>400</v>
      </c>
      <c r="M2993" t="s">
        <v>209</v>
      </c>
      <c r="N2993" t="s">
        <v>222</v>
      </c>
      <c r="O2993" t="s">
        <v>8525</v>
      </c>
      <c r="P2993" t="s">
        <v>8529</v>
      </c>
      <c r="Q2993" t="str">
        <f>IF($C2993="","",IFERROR(VLOOKUP($C2993,sources!$A$2:$N$200,2,FALSE()),"?"))</f>
        <v>Map</v>
      </c>
      <c r="S2993" t="str">
        <f>IF($C2993="","",IFERROR(VLOOKUP($C2993,sources!$A$2:$N$200,9,FALSE()),"?"))</f>
        <v>US official</v>
      </c>
    </row>
    <row r="2994" spans="1:19" x14ac:dyDescent="0.2">
      <c r="A2994" t="s">
        <v>8530</v>
      </c>
      <c r="B2994" t="s">
        <v>658</v>
      </c>
      <c r="C2994" t="s">
        <v>1398</v>
      </c>
      <c r="D2994" t="s">
        <v>1585</v>
      </c>
      <c r="E2994" t="s">
        <v>8531</v>
      </c>
      <c r="F2994" t="s">
        <v>1612</v>
      </c>
      <c r="G2994">
        <v>9.2224079999999997</v>
      </c>
      <c r="H2994">
        <v>-79.658541999999997</v>
      </c>
      <c r="I2994" t="s">
        <v>4813</v>
      </c>
      <c r="J2994">
        <v>500</v>
      </c>
      <c r="M2994" t="s">
        <v>209</v>
      </c>
      <c r="N2994" t="s">
        <v>222</v>
      </c>
      <c r="O2994" t="s">
        <v>8525</v>
      </c>
      <c r="P2994" t="s">
        <v>8532</v>
      </c>
      <c r="Q2994" t="str">
        <f>IF($C2994="","",IFERROR(VLOOKUP($C2994,sources!$A$2:$N$200,2,FALSE()),"?"))</f>
        <v>Map</v>
      </c>
      <c r="S2994" t="str">
        <f>IF($C2994="","",IFERROR(VLOOKUP($C2994,sources!$A$2:$N$200,9,FALSE()),"?"))</f>
        <v>US official</v>
      </c>
    </row>
    <row r="2995" spans="1:19" x14ac:dyDescent="0.2">
      <c r="A2995" t="s">
        <v>8533</v>
      </c>
      <c r="B2995" t="s">
        <v>503</v>
      </c>
      <c r="C2995" t="s">
        <v>1398</v>
      </c>
      <c r="D2995" t="s">
        <v>1594</v>
      </c>
      <c r="E2995" t="s">
        <v>504</v>
      </c>
      <c r="F2995" t="s">
        <v>1587</v>
      </c>
      <c r="G2995">
        <v>9.1690059999999995</v>
      </c>
      <c r="H2995">
        <v>-79.661468999999997</v>
      </c>
      <c r="I2995" t="s">
        <v>4813</v>
      </c>
      <c r="J2995">
        <v>400</v>
      </c>
      <c r="K2995">
        <v>1950</v>
      </c>
      <c r="L2995">
        <v>1950</v>
      </c>
      <c r="M2995" t="s">
        <v>222</v>
      </c>
      <c r="N2995" t="s">
        <v>222</v>
      </c>
      <c r="O2995" t="s">
        <v>8525</v>
      </c>
      <c r="P2995" t="s">
        <v>8534</v>
      </c>
      <c r="Q2995" t="str">
        <f>IF($C2995="","",IFERROR(VLOOKUP($C2995,sources!$A$2:$N$200,2,FALSE()),"?"))</f>
        <v>Map</v>
      </c>
      <c r="S2995" t="str">
        <f>IF($C2995="","",IFERROR(VLOOKUP($C2995,sources!$A$2:$N$200,9,FALSE()),"?"))</f>
        <v>US official</v>
      </c>
    </row>
    <row r="2996" spans="1:19" x14ac:dyDescent="0.2">
      <c r="A2996" t="s">
        <v>8535</v>
      </c>
      <c r="B2996" t="s">
        <v>245</v>
      </c>
      <c r="C2996" t="s">
        <v>1398</v>
      </c>
      <c r="D2996" t="s">
        <v>1599</v>
      </c>
      <c r="E2996" t="s">
        <v>8536</v>
      </c>
      <c r="F2996" t="s">
        <v>1612</v>
      </c>
      <c r="I2996" t="s">
        <v>1077</v>
      </c>
      <c r="K2996">
        <v>1950</v>
      </c>
      <c r="L2996">
        <v>1950</v>
      </c>
      <c r="M2996" t="s">
        <v>222</v>
      </c>
      <c r="N2996" t="s">
        <v>222</v>
      </c>
      <c r="O2996" t="s">
        <v>8537</v>
      </c>
      <c r="P2996" t="s">
        <v>8538</v>
      </c>
      <c r="Q2996" t="str">
        <f>IF($C2996="","",IFERROR(VLOOKUP($C2996,sources!$A$2:$N$200,2,FALSE()),"?"))</f>
        <v>Map</v>
      </c>
      <c r="S2996" t="str">
        <f>IF($C2996="","",IFERROR(VLOOKUP($C2996,sources!$A$2:$N$200,9,FALSE()),"?"))</f>
        <v>US official</v>
      </c>
    </row>
    <row r="2997" spans="1:19" x14ac:dyDescent="0.2">
      <c r="A2997" t="s">
        <v>8539</v>
      </c>
      <c r="B2997" t="s">
        <v>349</v>
      </c>
      <c r="C2997" t="s">
        <v>1398</v>
      </c>
      <c r="D2997" t="s">
        <v>1599</v>
      </c>
      <c r="E2997" t="s">
        <v>8540</v>
      </c>
      <c r="F2997" t="s">
        <v>1612</v>
      </c>
      <c r="I2997" t="s">
        <v>1077</v>
      </c>
      <c r="K2997">
        <v>1950</v>
      </c>
      <c r="L2997">
        <v>1950</v>
      </c>
      <c r="M2997" t="s">
        <v>222</v>
      </c>
      <c r="N2997" t="s">
        <v>222</v>
      </c>
      <c r="O2997" t="s">
        <v>8537</v>
      </c>
      <c r="P2997" t="s">
        <v>8541</v>
      </c>
      <c r="Q2997" t="str">
        <f>IF($C2997="","",IFERROR(VLOOKUP($C2997,sources!$A$2:$N$200,2,FALSE()),"?"))</f>
        <v>Map</v>
      </c>
      <c r="S2997" t="str">
        <f>IF($C2997="","",IFERROR(VLOOKUP($C2997,sources!$A$2:$N$200,9,FALSE()),"?"))</f>
        <v>US official</v>
      </c>
    </row>
    <row r="2998" spans="1:19" x14ac:dyDescent="0.2">
      <c r="A2998" t="s">
        <v>8542</v>
      </c>
      <c r="B2998" t="s">
        <v>354</v>
      </c>
      <c r="C2998" t="s">
        <v>1398</v>
      </c>
      <c r="D2998" t="s">
        <v>1599</v>
      </c>
      <c r="E2998" t="s">
        <v>8543</v>
      </c>
      <c r="F2998" t="s">
        <v>1612</v>
      </c>
      <c r="I2998" t="s">
        <v>1077</v>
      </c>
      <c r="K2998">
        <v>1950</v>
      </c>
      <c r="L2998">
        <v>1950</v>
      </c>
      <c r="M2998" t="s">
        <v>222</v>
      </c>
      <c r="N2998" t="s">
        <v>222</v>
      </c>
      <c r="O2998" t="s">
        <v>8537</v>
      </c>
      <c r="P2998" t="s">
        <v>8544</v>
      </c>
      <c r="Q2998" t="str">
        <f>IF($C2998="","",IFERROR(VLOOKUP($C2998,sources!$A$2:$N$200,2,FALSE()),"?"))</f>
        <v>Map</v>
      </c>
      <c r="S2998" t="str">
        <f>IF($C2998="","",IFERROR(VLOOKUP($C2998,sources!$A$2:$N$200,9,FALSE()),"?"))</f>
        <v>US official</v>
      </c>
    </row>
    <row r="2999" spans="1:19" x14ac:dyDescent="0.2">
      <c r="A2999" t="s">
        <v>8545</v>
      </c>
      <c r="B2999" t="s">
        <v>367</v>
      </c>
      <c r="C2999" t="s">
        <v>1398</v>
      </c>
      <c r="D2999" t="s">
        <v>1599</v>
      </c>
      <c r="E2999" t="s">
        <v>8546</v>
      </c>
      <c r="F2999" t="s">
        <v>1612</v>
      </c>
      <c r="I2999" t="s">
        <v>1077</v>
      </c>
      <c r="K2999">
        <v>1950</v>
      </c>
      <c r="L2999">
        <v>1950</v>
      </c>
      <c r="M2999" t="s">
        <v>222</v>
      </c>
      <c r="N2999" t="s">
        <v>222</v>
      </c>
      <c r="O2999" t="s">
        <v>8537</v>
      </c>
      <c r="P2999" t="s">
        <v>8547</v>
      </c>
      <c r="Q2999" t="str">
        <f>IF($C2999="","",IFERROR(VLOOKUP($C2999,sources!$A$2:$N$200,2,FALSE()),"?"))</f>
        <v>Map</v>
      </c>
      <c r="S2999" t="str">
        <f>IF($C2999="","",IFERROR(VLOOKUP($C2999,sources!$A$2:$N$200,9,FALSE()),"?"))</f>
        <v>US official</v>
      </c>
    </row>
    <row r="3000" spans="1:19" x14ac:dyDescent="0.2">
      <c r="A3000" t="s">
        <v>8548</v>
      </c>
      <c r="B3000" t="s">
        <v>370</v>
      </c>
      <c r="C3000" t="s">
        <v>1398</v>
      </c>
      <c r="D3000" t="s">
        <v>1599</v>
      </c>
      <c r="E3000" t="s">
        <v>8549</v>
      </c>
      <c r="F3000" t="s">
        <v>1612</v>
      </c>
      <c r="I3000" t="s">
        <v>1077</v>
      </c>
      <c r="K3000">
        <v>1950</v>
      </c>
      <c r="L3000">
        <v>1950</v>
      </c>
      <c r="M3000" t="s">
        <v>222</v>
      </c>
      <c r="N3000" t="s">
        <v>222</v>
      </c>
      <c r="O3000" t="s">
        <v>8537</v>
      </c>
      <c r="P3000" t="s">
        <v>8550</v>
      </c>
      <c r="Q3000" t="str">
        <f>IF($C3000="","",IFERROR(VLOOKUP($C3000,sources!$A$2:$N$200,2,FALSE()),"?"))</f>
        <v>Map</v>
      </c>
      <c r="S3000" t="str">
        <f>IF($C3000="","",IFERROR(VLOOKUP($C3000,sources!$A$2:$N$200,9,FALSE()),"?"))</f>
        <v>US official</v>
      </c>
    </row>
    <row r="3001" spans="1:19" x14ac:dyDescent="0.2">
      <c r="A3001" t="s">
        <v>8551</v>
      </c>
      <c r="B3001" t="s">
        <v>402</v>
      </c>
      <c r="C3001" t="s">
        <v>1398</v>
      </c>
      <c r="D3001" t="s">
        <v>1599</v>
      </c>
      <c r="E3001" t="s">
        <v>8552</v>
      </c>
      <c r="F3001" t="s">
        <v>1612</v>
      </c>
      <c r="I3001" t="s">
        <v>1077</v>
      </c>
      <c r="K3001">
        <v>1950</v>
      </c>
      <c r="L3001">
        <v>1950</v>
      </c>
      <c r="M3001" t="s">
        <v>222</v>
      </c>
      <c r="N3001" t="s">
        <v>222</v>
      </c>
      <c r="O3001" t="s">
        <v>8537</v>
      </c>
      <c r="P3001" t="s">
        <v>8553</v>
      </c>
      <c r="Q3001" t="str">
        <f>IF($C3001="","",IFERROR(VLOOKUP($C3001,sources!$A$2:$N$200,2,FALSE()),"?"))</f>
        <v>Map</v>
      </c>
      <c r="S3001" t="str">
        <f>IF($C3001="","",IFERROR(VLOOKUP($C3001,sources!$A$2:$N$200,9,FALSE()),"?"))</f>
        <v>US official</v>
      </c>
    </row>
    <row r="3002" spans="1:19" x14ac:dyDescent="0.2">
      <c r="A3002" t="s">
        <v>8554</v>
      </c>
      <c r="B3002" t="s">
        <v>426</v>
      </c>
      <c r="C3002" t="s">
        <v>1398</v>
      </c>
      <c r="D3002" t="s">
        <v>1599</v>
      </c>
      <c r="E3002" t="s">
        <v>8555</v>
      </c>
      <c r="F3002" t="s">
        <v>1612</v>
      </c>
      <c r="I3002" t="s">
        <v>1077</v>
      </c>
      <c r="K3002">
        <v>1950</v>
      </c>
      <c r="L3002">
        <v>1950</v>
      </c>
      <c r="M3002" t="s">
        <v>222</v>
      </c>
      <c r="N3002" t="s">
        <v>222</v>
      </c>
      <c r="O3002" t="s">
        <v>8537</v>
      </c>
      <c r="P3002" t="s">
        <v>8556</v>
      </c>
      <c r="Q3002" t="str">
        <f>IF($C3002="","",IFERROR(VLOOKUP($C3002,sources!$A$2:$N$200,2,FALSE()),"?"))</f>
        <v>Map</v>
      </c>
      <c r="S3002" t="str">
        <f>IF($C3002="","",IFERROR(VLOOKUP($C3002,sources!$A$2:$N$200,9,FALSE()),"?"))</f>
        <v>US official</v>
      </c>
    </row>
    <row r="3003" spans="1:19" x14ac:dyDescent="0.2">
      <c r="A3003" t="s">
        <v>8557</v>
      </c>
      <c r="B3003" t="s">
        <v>430</v>
      </c>
      <c r="C3003" t="s">
        <v>1398</v>
      </c>
      <c r="D3003" t="s">
        <v>1599</v>
      </c>
      <c r="E3003" t="s">
        <v>8558</v>
      </c>
      <c r="F3003" t="s">
        <v>1612</v>
      </c>
      <c r="I3003" t="s">
        <v>1077</v>
      </c>
      <c r="K3003">
        <v>1950</v>
      </c>
      <c r="L3003">
        <v>1950</v>
      </c>
      <c r="M3003" t="s">
        <v>222</v>
      </c>
      <c r="N3003" t="s">
        <v>222</v>
      </c>
      <c r="O3003" t="s">
        <v>8537</v>
      </c>
      <c r="P3003" t="s">
        <v>8559</v>
      </c>
      <c r="Q3003" t="str">
        <f>IF($C3003="","",IFERROR(VLOOKUP($C3003,sources!$A$2:$N$200,2,FALSE()),"?"))</f>
        <v>Map</v>
      </c>
      <c r="S3003" t="str">
        <f>IF($C3003="","",IFERROR(VLOOKUP($C3003,sources!$A$2:$N$200,9,FALSE()),"?"))</f>
        <v>US official</v>
      </c>
    </row>
    <row r="3004" spans="1:19" x14ac:dyDescent="0.2">
      <c r="A3004" t="s">
        <v>8560</v>
      </c>
      <c r="B3004" t="s">
        <v>458</v>
      </c>
      <c r="C3004" t="s">
        <v>1398</v>
      </c>
      <c r="D3004" t="s">
        <v>1599</v>
      </c>
      <c r="E3004" t="s">
        <v>8561</v>
      </c>
      <c r="F3004" t="s">
        <v>1612</v>
      </c>
      <c r="I3004" t="s">
        <v>1077</v>
      </c>
      <c r="K3004">
        <v>1950</v>
      </c>
      <c r="L3004">
        <v>1950</v>
      </c>
      <c r="M3004" t="s">
        <v>222</v>
      </c>
      <c r="N3004" t="s">
        <v>222</v>
      </c>
      <c r="O3004" t="s">
        <v>8537</v>
      </c>
      <c r="P3004" t="s">
        <v>8562</v>
      </c>
      <c r="Q3004" t="str">
        <f>IF($C3004="","",IFERROR(VLOOKUP($C3004,sources!$A$2:$N$200,2,FALSE()),"?"))</f>
        <v>Map</v>
      </c>
      <c r="S3004" t="str">
        <f>IF($C3004="","",IFERROR(VLOOKUP($C3004,sources!$A$2:$N$200,9,FALSE()),"?"))</f>
        <v>US official</v>
      </c>
    </row>
    <row r="3005" spans="1:19" x14ac:dyDescent="0.2">
      <c r="A3005" t="s">
        <v>8563</v>
      </c>
      <c r="B3005" t="s">
        <v>487</v>
      </c>
      <c r="C3005" t="s">
        <v>1398</v>
      </c>
      <c r="D3005" t="s">
        <v>1599</v>
      </c>
      <c r="E3005" t="s">
        <v>8564</v>
      </c>
      <c r="F3005" t="s">
        <v>1612</v>
      </c>
      <c r="I3005" t="s">
        <v>1077</v>
      </c>
      <c r="K3005">
        <v>1950</v>
      </c>
      <c r="L3005">
        <v>1950</v>
      </c>
      <c r="M3005" t="s">
        <v>222</v>
      </c>
      <c r="N3005" t="s">
        <v>222</v>
      </c>
      <c r="O3005" t="s">
        <v>8537</v>
      </c>
      <c r="P3005" t="s">
        <v>8565</v>
      </c>
      <c r="Q3005" t="str">
        <f>IF($C3005="","",IFERROR(VLOOKUP($C3005,sources!$A$2:$N$200,2,FALSE()),"?"))</f>
        <v>Map</v>
      </c>
      <c r="S3005" t="str">
        <f>IF($C3005="","",IFERROR(VLOOKUP($C3005,sources!$A$2:$N$200,9,FALSE()),"?"))</f>
        <v>US official</v>
      </c>
    </row>
    <row r="3006" spans="1:19" x14ac:dyDescent="0.2">
      <c r="A3006" t="s">
        <v>8566</v>
      </c>
      <c r="B3006" t="s">
        <v>529</v>
      </c>
      <c r="C3006" t="s">
        <v>1398</v>
      </c>
      <c r="D3006" t="s">
        <v>1599</v>
      </c>
      <c r="E3006" t="s">
        <v>8567</v>
      </c>
      <c r="F3006" t="s">
        <v>1612</v>
      </c>
      <c r="I3006" t="s">
        <v>1077</v>
      </c>
      <c r="K3006">
        <v>1950</v>
      </c>
      <c r="L3006">
        <v>1950</v>
      </c>
      <c r="M3006" t="s">
        <v>222</v>
      </c>
      <c r="N3006" t="s">
        <v>222</v>
      </c>
      <c r="O3006" t="s">
        <v>8537</v>
      </c>
      <c r="P3006" t="s">
        <v>8568</v>
      </c>
      <c r="Q3006" t="str">
        <f>IF($C3006="","",IFERROR(VLOOKUP($C3006,sources!$A$2:$N$200,2,FALSE()),"?"))</f>
        <v>Map</v>
      </c>
      <c r="S3006" t="str">
        <f>IF($C3006="","",IFERROR(VLOOKUP($C3006,sources!$A$2:$N$200,9,FALSE()),"?"))</f>
        <v>US official</v>
      </c>
    </row>
    <row r="3007" spans="1:19" x14ac:dyDescent="0.2">
      <c r="A3007" t="s">
        <v>8569</v>
      </c>
      <c r="B3007" t="s">
        <v>539</v>
      </c>
      <c r="C3007" t="s">
        <v>1398</v>
      </c>
      <c r="D3007" t="s">
        <v>1599</v>
      </c>
      <c r="E3007" t="s">
        <v>8570</v>
      </c>
      <c r="F3007" t="s">
        <v>1612</v>
      </c>
      <c r="I3007" t="s">
        <v>1077</v>
      </c>
      <c r="K3007">
        <v>1950</v>
      </c>
      <c r="L3007">
        <v>1950</v>
      </c>
      <c r="M3007" t="s">
        <v>222</v>
      </c>
      <c r="N3007" t="s">
        <v>222</v>
      </c>
      <c r="O3007" t="s">
        <v>8537</v>
      </c>
      <c r="P3007" t="s">
        <v>8571</v>
      </c>
      <c r="Q3007" t="str">
        <f>IF($C3007="","",IFERROR(VLOOKUP($C3007,sources!$A$2:$N$200,2,FALSE()),"?"))</f>
        <v>Map</v>
      </c>
      <c r="S3007" t="str">
        <f>IF($C3007="","",IFERROR(VLOOKUP($C3007,sources!$A$2:$N$200,9,FALSE()),"?"))</f>
        <v>US official</v>
      </c>
    </row>
    <row r="3008" spans="1:19" x14ac:dyDescent="0.2">
      <c r="A3008" t="s">
        <v>8572</v>
      </c>
      <c r="B3008" t="s">
        <v>544</v>
      </c>
      <c r="C3008" t="s">
        <v>1398</v>
      </c>
      <c r="D3008" t="s">
        <v>1599</v>
      </c>
      <c r="E3008" t="s">
        <v>8573</v>
      </c>
      <c r="F3008" t="s">
        <v>1612</v>
      </c>
      <c r="I3008" t="s">
        <v>1077</v>
      </c>
      <c r="K3008">
        <v>1950</v>
      </c>
      <c r="L3008">
        <v>1950</v>
      </c>
      <c r="M3008" t="s">
        <v>222</v>
      </c>
      <c r="N3008" t="s">
        <v>222</v>
      </c>
      <c r="O3008" t="s">
        <v>8537</v>
      </c>
      <c r="P3008" t="s">
        <v>8574</v>
      </c>
      <c r="Q3008" t="str">
        <f>IF($C3008="","",IFERROR(VLOOKUP($C3008,sources!$A$2:$N$200,2,FALSE()),"?"))</f>
        <v>Map</v>
      </c>
      <c r="S3008" t="str">
        <f>IF($C3008="","",IFERROR(VLOOKUP($C3008,sources!$A$2:$N$200,9,FALSE()),"?"))</f>
        <v>US official</v>
      </c>
    </row>
    <row r="3009" spans="1:19" x14ac:dyDescent="0.2">
      <c r="A3009" t="s">
        <v>8575</v>
      </c>
      <c r="B3009" t="s">
        <v>549</v>
      </c>
      <c r="C3009" t="s">
        <v>1398</v>
      </c>
      <c r="D3009" t="s">
        <v>1599</v>
      </c>
      <c r="E3009" t="s">
        <v>8576</v>
      </c>
      <c r="F3009" t="s">
        <v>1612</v>
      </c>
      <c r="I3009" t="s">
        <v>1077</v>
      </c>
      <c r="K3009">
        <v>1950</v>
      </c>
      <c r="L3009">
        <v>1950</v>
      </c>
      <c r="M3009" t="s">
        <v>222</v>
      </c>
      <c r="N3009" t="s">
        <v>222</v>
      </c>
      <c r="O3009" t="s">
        <v>8537</v>
      </c>
      <c r="P3009" t="s">
        <v>8556</v>
      </c>
      <c r="Q3009" t="str">
        <f>IF($C3009="","",IFERROR(VLOOKUP($C3009,sources!$A$2:$N$200,2,FALSE()),"?"))</f>
        <v>Map</v>
      </c>
      <c r="S3009" t="str">
        <f>IF($C3009="","",IFERROR(VLOOKUP($C3009,sources!$A$2:$N$200,9,FALSE()),"?"))</f>
        <v>US official</v>
      </c>
    </row>
    <row r="3010" spans="1:19" x14ac:dyDescent="0.2">
      <c r="A3010" t="s">
        <v>8577</v>
      </c>
      <c r="B3010" t="s">
        <v>553</v>
      </c>
      <c r="C3010" t="s">
        <v>1398</v>
      </c>
      <c r="D3010" t="s">
        <v>1599</v>
      </c>
      <c r="E3010" t="s">
        <v>8578</v>
      </c>
      <c r="F3010" t="s">
        <v>1612</v>
      </c>
      <c r="I3010" t="s">
        <v>1077</v>
      </c>
      <c r="K3010">
        <v>1950</v>
      </c>
      <c r="L3010">
        <v>1950</v>
      </c>
      <c r="M3010" t="s">
        <v>222</v>
      </c>
      <c r="N3010" t="s">
        <v>222</v>
      </c>
      <c r="O3010" t="s">
        <v>8537</v>
      </c>
      <c r="P3010" t="s">
        <v>8556</v>
      </c>
      <c r="Q3010" t="str">
        <f>IF($C3010="","",IFERROR(VLOOKUP($C3010,sources!$A$2:$N$200,2,FALSE()),"?"))</f>
        <v>Map</v>
      </c>
      <c r="S3010" t="str">
        <f>IF($C3010="","",IFERROR(VLOOKUP($C3010,sources!$A$2:$N$200,9,FALSE()),"?"))</f>
        <v>US official</v>
      </c>
    </row>
    <row r="3011" spans="1:19" x14ac:dyDescent="0.2">
      <c r="A3011" t="s">
        <v>8579</v>
      </c>
      <c r="B3011" t="s">
        <v>557</v>
      </c>
      <c r="C3011" t="s">
        <v>1398</v>
      </c>
      <c r="D3011" t="s">
        <v>1599</v>
      </c>
      <c r="E3011" t="s">
        <v>8580</v>
      </c>
      <c r="F3011" t="s">
        <v>1612</v>
      </c>
      <c r="I3011" t="s">
        <v>1077</v>
      </c>
      <c r="K3011">
        <v>1950</v>
      </c>
      <c r="L3011">
        <v>1950</v>
      </c>
      <c r="M3011" t="s">
        <v>222</v>
      </c>
      <c r="N3011" t="s">
        <v>222</v>
      </c>
      <c r="O3011" t="s">
        <v>8537</v>
      </c>
      <c r="P3011" t="s">
        <v>8556</v>
      </c>
      <c r="Q3011" t="str">
        <f>IF($C3011="","",IFERROR(VLOOKUP($C3011,sources!$A$2:$N$200,2,FALSE()),"?"))</f>
        <v>Map</v>
      </c>
      <c r="S3011" t="str">
        <f>IF($C3011="","",IFERROR(VLOOKUP($C3011,sources!$A$2:$N$200,9,FALSE()),"?"))</f>
        <v>US official</v>
      </c>
    </row>
    <row r="3012" spans="1:19" x14ac:dyDescent="0.2">
      <c r="A3012" t="s">
        <v>8581</v>
      </c>
      <c r="B3012" t="s">
        <v>561</v>
      </c>
      <c r="C3012" t="s">
        <v>1398</v>
      </c>
      <c r="D3012" t="s">
        <v>1599</v>
      </c>
      <c r="E3012" t="s">
        <v>8582</v>
      </c>
      <c r="F3012" t="s">
        <v>1612</v>
      </c>
      <c r="I3012" t="s">
        <v>1077</v>
      </c>
      <c r="K3012">
        <v>1950</v>
      </c>
      <c r="L3012">
        <v>1950</v>
      </c>
      <c r="M3012" t="s">
        <v>222</v>
      </c>
      <c r="N3012" t="s">
        <v>222</v>
      </c>
      <c r="O3012" t="s">
        <v>8537</v>
      </c>
      <c r="P3012" t="s">
        <v>8583</v>
      </c>
      <c r="Q3012" t="str">
        <f>IF($C3012="","",IFERROR(VLOOKUP($C3012,sources!$A$2:$N$200,2,FALSE()),"?"))</f>
        <v>Map</v>
      </c>
      <c r="S3012" t="str">
        <f>IF($C3012="","",IFERROR(VLOOKUP($C3012,sources!$A$2:$N$200,9,FALSE()),"?"))</f>
        <v>US official</v>
      </c>
    </row>
    <row r="3013" spans="1:19" x14ac:dyDescent="0.2">
      <c r="A3013" t="s">
        <v>8584</v>
      </c>
      <c r="B3013" t="s">
        <v>566</v>
      </c>
      <c r="C3013" t="s">
        <v>1398</v>
      </c>
      <c r="D3013" t="s">
        <v>1599</v>
      </c>
      <c r="E3013" t="s">
        <v>8585</v>
      </c>
      <c r="F3013" t="s">
        <v>1612</v>
      </c>
      <c r="I3013" t="s">
        <v>1077</v>
      </c>
      <c r="K3013">
        <v>1950</v>
      </c>
      <c r="L3013">
        <v>1950</v>
      </c>
      <c r="M3013" t="s">
        <v>222</v>
      </c>
      <c r="N3013" t="s">
        <v>222</v>
      </c>
      <c r="O3013" t="s">
        <v>8537</v>
      </c>
      <c r="P3013" t="s">
        <v>8556</v>
      </c>
      <c r="Q3013" t="str">
        <f>IF($C3013="","",IFERROR(VLOOKUP($C3013,sources!$A$2:$N$200,2,FALSE()),"?"))</f>
        <v>Map</v>
      </c>
      <c r="S3013" t="str">
        <f>IF($C3013="","",IFERROR(VLOOKUP($C3013,sources!$A$2:$N$200,9,FALSE()),"?"))</f>
        <v>US official</v>
      </c>
    </row>
    <row r="3014" spans="1:19" x14ac:dyDescent="0.2">
      <c r="A3014" t="s">
        <v>8586</v>
      </c>
      <c r="B3014" t="s">
        <v>571</v>
      </c>
      <c r="C3014" t="s">
        <v>1398</v>
      </c>
      <c r="D3014" t="s">
        <v>1599</v>
      </c>
      <c r="E3014" t="s">
        <v>8587</v>
      </c>
      <c r="F3014" t="s">
        <v>1612</v>
      </c>
      <c r="I3014" t="s">
        <v>1077</v>
      </c>
      <c r="K3014">
        <v>1950</v>
      </c>
      <c r="L3014">
        <v>1950</v>
      </c>
      <c r="M3014" t="s">
        <v>222</v>
      </c>
      <c r="N3014" t="s">
        <v>222</v>
      </c>
      <c r="O3014" t="s">
        <v>8537</v>
      </c>
      <c r="P3014" t="s">
        <v>8588</v>
      </c>
      <c r="Q3014" t="str">
        <f>IF($C3014="","",IFERROR(VLOOKUP($C3014,sources!$A$2:$N$200,2,FALSE()),"?"))</f>
        <v>Map</v>
      </c>
      <c r="S3014" t="str">
        <f>IF($C3014="","",IFERROR(VLOOKUP($C3014,sources!$A$2:$N$200,9,FALSE()),"?"))</f>
        <v>US official</v>
      </c>
    </row>
    <row r="3015" spans="1:19" x14ac:dyDescent="0.2">
      <c r="A3015" t="s">
        <v>8589</v>
      </c>
      <c r="B3015" t="s">
        <v>448</v>
      </c>
      <c r="C3015" t="s">
        <v>1398</v>
      </c>
      <c r="D3015" t="s">
        <v>1666</v>
      </c>
      <c r="E3015" t="s">
        <v>449</v>
      </c>
      <c r="F3015" t="s">
        <v>1612</v>
      </c>
      <c r="I3015" t="s">
        <v>1077</v>
      </c>
      <c r="K3015">
        <v>1950</v>
      </c>
      <c r="L3015">
        <v>1950</v>
      </c>
      <c r="M3015" t="s">
        <v>222</v>
      </c>
      <c r="N3015" t="s">
        <v>228</v>
      </c>
      <c r="O3015" t="s">
        <v>8537</v>
      </c>
      <c r="P3015" t="s">
        <v>8590</v>
      </c>
      <c r="Q3015" t="str">
        <f>IF($C3015="","",IFERROR(VLOOKUP($C3015,sources!$A$2:$N$200,2,FALSE()),"?"))</f>
        <v>Map</v>
      </c>
      <c r="S3015" t="str">
        <f>IF($C3015="","",IFERROR(VLOOKUP($C3015,sources!$A$2:$N$200,9,FALSE()),"?"))</f>
        <v>US official</v>
      </c>
    </row>
    <row r="3016" spans="1:19" x14ac:dyDescent="0.2">
      <c r="A3016" t="s">
        <v>8591</v>
      </c>
      <c r="B3016" t="s">
        <v>484</v>
      </c>
      <c r="C3016" t="s">
        <v>1398</v>
      </c>
      <c r="D3016" t="s">
        <v>1666</v>
      </c>
      <c r="E3016" t="s">
        <v>485</v>
      </c>
      <c r="F3016" t="s">
        <v>1612</v>
      </c>
      <c r="I3016" t="s">
        <v>1077</v>
      </c>
      <c r="K3016">
        <v>1950</v>
      </c>
      <c r="L3016">
        <v>1950</v>
      </c>
      <c r="M3016" t="s">
        <v>222</v>
      </c>
      <c r="N3016" t="s">
        <v>222</v>
      </c>
      <c r="O3016" t="s">
        <v>8537</v>
      </c>
      <c r="P3016" t="s">
        <v>8592</v>
      </c>
      <c r="Q3016" t="str">
        <f>IF($C3016="","",IFERROR(VLOOKUP($C3016,sources!$A$2:$N$200,2,FALSE()),"?"))</f>
        <v>Map</v>
      </c>
      <c r="S3016" t="str">
        <f>IF($C3016="","",IFERROR(VLOOKUP($C3016,sources!$A$2:$N$200,9,FALSE()),"?"))</f>
        <v>US official</v>
      </c>
    </row>
    <row r="3017" spans="1:19" x14ac:dyDescent="0.2">
      <c r="A3017" t="s">
        <v>8593</v>
      </c>
      <c r="B3017" t="s">
        <v>471</v>
      </c>
      <c r="C3017" t="s">
        <v>1398</v>
      </c>
      <c r="D3017" t="s">
        <v>1666</v>
      </c>
      <c r="E3017" t="s">
        <v>8594</v>
      </c>
      <c r="F3017" t="s">
        <v>1612</v>
      </c>
      <c r="I3017" t="s">
        <v>1077</v>
      </c>
      <c r="K3017">
        <v>1950</v>
      </c>
      <c r="L3017">
        <v>1950</v>
      </c>
      <c r="M3017" t="s">
        <v>222</v>
      </c>
      <c r="N3017" t="s">
        <v>209</v>
      </c>
      <c r="O3017" t="s">
        <v>8537</v>
      </c>
      <c r="P3017" t="s">
        <v>8595</v>
      </c>
      <c r="Q3017" t="str">
        <f>IF($C3017="","",IFERROR(VLOOKUP($C3017,sources!$A$2:$N$200,2,FALSE()),"?"))</f>
        <v>Map</v>
      </c>
      <c r="S3017" t="str">
        <f>IF($C3017="","",IFERROR(VLOOKUP($C3017,sources!$A$2:$N$200,9,FALSE()),"?"))</f>
        <v>US official</v>
      </c>
    </row>
    <row r="3018" spans="1:19" x14ac:dyDescent="0.2">
      <c r="A3018" t="s">
        <v>8596</v>
      </c>
      <c r="B3018" t="s">
        <v>284</v>
      </c>
      <c r="C3018" t="s">
        <v>1398</v>
      </c>
      <c r="D3018" t="s">
        <v>1666</v>
      </c>
      <c r="E3018" t="s">
        <v>285</v>
      </c>
      <c r="F3018" t="s">
        <v>1612</v>
      </c>
      <c r="I3018" t="s">
        <v>1077</v>
      </c>
      <c r="M3018" t="s">
        <v>209</v>
      </c>
      <c r="N3018" t="s">
        <v>228</v>
      </c>
      <c r="O3018" t="s">
        <v>8537</v>
      </c>
      <c r="P3018" t="s">
        <v>8597</v>
      </c>
      <c r="Q3018" t="str">
        <f>IF($C3018="","",IFERROR(VLOOKUP($C3018,sources!$A$2:$N$200,2,FALSE()),"?"))</f>
        <v>Map</v>
      </c>
      <c r="S3018" t="str">
        <f>IF($C3018="","",IFERROR(VLOOKUP($C3018,sources!$A$2:$N$200,9,FALSE()),"?"))</f>
        <v>US official</v>
      </c>
    </row>
    <row r="3019" spans="1:19" x14ac:dyDescent="0.2">
      <c r="A3019" t="s">
        <v>8598</v>
      </c>
      <c r="B3019" t="s">
        <v>272</v>
      </c>
      <c r="C3019" t="s">
        <v>1398</v>
      </c>
      <c r="D3019" t="s">
        <v>1666</v>
      </c>
      <c r="E3019" t="s">
        <v>273</v>
      </c>
      <c r="F3019" t="s">
        <v>1612</v>
      </c>
      <c r="I3019" t="s">
        <v>1077</v>
      </c>
      <c r="M3019" t="s">
        <v>209</v>
      </c>
      <c r="N3019" t="s">
        <v>209</v>
      </c>
      <c r="O3019" t="s">
        <v>8537</v>
      </c>
      <c r="P3019" t="s">
        <v>8599</v>
      </c>
      <c r="Q3019" t="str">
        <f>IF($C3019="","",IFERROR(VLOOKUP($C3019,sources!$A$2:$N$200,2,FALSE()),"?"))</f>
        <v>Map</v>
      </c>
      <c r="S3019" t="str">
        <f>IF($C3019="","",IFERROR(VLOOKUP($C3019,sources!$A$2:$N$200,9,FALSE()),"?"))</f>
        <v>US official</v>
      </c>
    </row>
    <row r="3020" spans="1:19" x14ac:dyDescent="0.2">
      <c r="A3020" t="s">
        <v>8600</v>
      </c>
      <c r="B3020" t="s">
        <v>506</v>
      </c>
      <c r="C3020" t="s">
        <v>1398</v>
      </c>
      <c r="D3020" t="s">
        <v>1666</v>
      </c>
      <c r="E3020" t="s">
        <v>507</v>
      </c>
      <c r="F3020" t="s">
        <v>1612</v>
      </c>
      <c r="I3020" t="s">
        <v>1077</v>
      </c>
      <c r="K3020">
        <v>1950</v>
      </c>
      <c r="L3020">
        <v>1950</v>
      </c>
      <c r="M3020" t="s">
        <v>222</v>
      </c>
      <c r="N3020" t="s">
        <v>228</v>
      </c>
      <c r="O3020" t="s">
        <v>8537</v>
      </c>
      <c r="P3020" t="s">
        <v>8601</v>
      </c>
      <c r="Q3020" t="str">
        <f>IF($C3020="","",IFERROR(VLOOKUP($C3020,sources!$A$2:$N$200,2,FALSE()),"?"))</f>
        <v>Map</v>
      </c>
      <c r="S3020" t="str">
        <f>IF($C3020="","",IFERROR(VLOOKUP($C3020,sources!$A$2:$N$200,9,FALSE()),"?"))</f>
        <v>US official</v>
      </c>
    </row>
    <row r="3021" spans="1:19" x14ac:dyDescent="0.2">
      <c r="A3021" t="s">
        <v>8602</v>
      </c>
      <c r="B3021" t="s">
        <v>509</v>
      </c>
      <c r="C3021" t="s">
        <v>1398</v>
      </c>
      <c r="D3021" t="s">
        <v>1666</v>
      </c>
      <c r="E3021" t="s">
        <v>510</v>
      </c>
      <c r="F3021" t="s">
        <v>1612</v>
      </c>
      <c r="I3021" t="s">
        <v>1077</v>
      </c>
      <c r="K3021">
        <v>1950</v>
      </c>
      <c r="L3021">
        <v>1950</v>
      </c>
      <c r="M3021" t="s">
        <v>222</v>
      </c>
      <c r="N3021" t="s">
        <v>228</v>
      </c>
      <c r="O3021" t="s">
        <v>8537</v>
      </c>
      <c r="P3021" t="s">
        <v>8601</v>
      </c>
      <c r="Q3021" t="str">
        <f>IF($C3021="","",IFERROR(VLOOKUP($C3021,sources!$A$2:$N$200,2,FALSE()),"?"))</f>
        <v>Map</v>
      </c>
      <c r="S3021" t="str">
        <f>IF($C3021="","",IFERROR(VLOOKUP($C3021,sources!$A$2:$N$200,9,FALSE()),"?"))</f>
        <v>US official</v>
      </c>
    </row>
    <row r="3022" spans="1:19" x14ac:dyDescent="0.2">
      <c r="A3022" t="s">
        <v>8603</v>
      </c>
      <c r="B3022" t="s">
        <v>649</v>
      </c>
      <c r="C3022" t="s">
        <v>1398</v>
      </c>
      <c r="D3022" t="s">
        <v>1666</v>
      </c>
      <c r="E3022" t="s">
        <v>650</v>
      </c>
      <c r="F3022" t="s">
        <v>1612</v>
      </c>
      <c r="I3022" t="s">
        <v>1077</v>
      </c>
      <c r="K3022">
        <v>1950</v>
      </c>
      <c r="L3022">
        <v>1950</v>
      </c>
      <c r="M3022" t="s">
        <v>222</v>
      </c>
      <c r="N3022" t="s">
        <v>228</v>
      </c>
      <c r="O3022" t="s">
        <v>8537</v>
      </c>
      <c r="P3022" t="s">
        <v>8601</v>
      </c>
      <c r="Q3022" t="str">
        <f>IF($C3022="","",IFERROR(VLOOKUP($C3022,sources!$A$2:$N$200,2,FALSE()),"?"))</f>
        <v>Map</v>
      </c>
      <c r="S3022" t="str">
        <f>IF($C3022="","",IFERROR(VLOOKUP($C3022,sources!$A$2:$N$200,9,FALSE()),"?"))</f>
        <v>US official</v>
      </c>
    </row>
    <row r="3023" spans="1:19" x14ac:dyDescent="0.2">
      <c r="A3023" t="s">
        <v>8604</v>
      </c>
      <c r="B3023" t="s">
        <v>1075</v>
      </c>
      <c r="C3023" t="s">
        <v>1398</v>
      </c>
      <c r="D3023" t="s">
        <v>1666</v>
      </c>
      <c r="E3023" t="s">
        <v>1076</v>
      </c>
      <c r="F3023" t="s">
        <v>1612</v>
      </c>
      <c r="I3023" t="s">
        <v>1077</v>
      </c>
      <c r="K3023">
        <v>1950</v>
      </c>
      <c r="L3023">
        <v>1950</v>
      </c>
      <c r="M3023" t="s">
        <v>222</v>
      </c>
      <c r="N3023" t="s">
        <v>209</v>
      </c>
      <c r="O3023" t="s">
        <v>8537</v>
      </c>
      <c r="P3023" t="s">
        <v>8605</v>
      </c>
      <c r="Q3023" t="str">
        <f>IF($C3023="","",IFERROR(VLOOKUP($C3023,sources!$A$2:$N$200,2,FALSE()),"?"))</f>
        <v>Map</v>
      </c>
      <c r="S3023" t="str">
        <f>IF($C3023="","",IFERROR(VLOOKUP($C3023,sources!$A$2:$N$200,9,FALSE()),"?"))</f>
        <v>US official</v>
      </c>
    </row>
    <row r="3024" spans="1:19" x14ac:dyDescent="0.2">
      <c r="A3024" t="s">
        <v>8606</v>
      </c>
      <c r="B3024" t="s">
        <v>654</v>
      </c>
      <c r="C3024" t="s">
        <v>1398</v>
      </c>
      <c r="D3024" t="s">
        <v>1666</v>
      </c>
      <c r="E3024" t="s">
        <v>8607</v>
      </c>
      <c r="F3024" t="s">
        <v>1612</v>
      </c>
      <c r="I3024" t="s">
        <v>1077</v>
      </c>
      <c r="M3024" t="s">
        <v>209</v>
      </c>
      <c r="N3024" t="s">
        <v>222</v>
      </c>
      <c r="O3024" t="s">
        <v>8537</v>
      </c>
      <c r="P3024" t="s">
        <v>8608</v>
      </c>
      <c r="Q3024" t="str">
        <f>IF($C3024="","",IFERROR(VLOOKUP($C3024,sources!$A$2:$N$200,2,FALSE()),"?"))</f>
        <v>Map</v>
      </c>
      <c r="S3024" t="str">
        <f>IF($C3024="","",IFERROR(VLOOKUP($C3024,sources!$A$2:$N$200,9,FALSE()),"?"))</f>
        <v>US official</v>
      </c>
    </row>
    <row r="3025" spans="1:19" x14ac:dyDescent="0.2">
      <c r="A3025" t="s">
        <v>8609</v>
      </c>
      <c r="B3025" t="s">
        <v>662</v>
      </c>
      <c r="C3025" t="s">
        <v>1398</v>
      </c>
      <c r="D3025" t="s">
        <v>1666</v>
      </c>
      <c r="E3025" t="s">
        <v>8610</v>
      </c>
      <c r="F3025" t="s">
        <v>1612</v>
      </c>
      <c r="I3025" t="s">
        <v>1077</v>
      </c>
      <c r="M3025" t="s">
        <v>209</v>
      </c>
      <c r="N3025" t="s">
        <v>222</v>
      </c>
      <c r="O3025" t="s">
        <v>8537</v>
      </c>
      <c r="P3025" t="s">
        <v>8611</v>
      </c>
      <c r="Q3025" t="str">
        <f>IF($C3025="","",IFERROR(VLOOKUP($C3025,sources!$A$2:$N$200,2,FALSE()),"?"))</f>
        <v>Map</v>
      </c>
      <c r="S3025" t="str">
        <f>IF($C3025="","",IFERROR(VLOOKUP($C3025,sources!$A$2:$N$200,9,FALSE()),"?"))</f>
        <v>US official</v>
      </c>
    </row>
    <row r="3026" spans="1:19" x14ac:dyDescent="0.2">
      <c r="A3026" t="s">
        <v>8612</v>
      </c>
      <c r="B3026" t="s">
        <v>665</v>
      </c>
      <c r="C3026" t="s">
        <v>1398</v>
      </c>
      <c r="D3026" t="s">
        <v>1666</v>
      </c>
      <c r="E3026" t="s">
        <v>8613</v>
      </c>
      <c r="F3026" t="s">
        <v>1612</v>
      </c>
      <c r="I3026" t="s">
        <v>1077</v>
      </c>
      <c r="M3026" t="s">
        <v>209</v>
      </c>
      <c r="N3026" t="s">
        <v>222</v>
      </c>
      <c r="O3026" t="s">
        <v>8537</v>
      </c>
      <c r="P3026" t="s">
        <v>8614</v>
      </c>
      <c r="Q3026" t="str">
        <f>IF($C3026="","",IFERROR(VLOOKUP($C3026,sources!$A$2:$N$200,2,FALSE()),"?"))</f>
        <v>Map</v>
      </c>
      <c r="S3026" t="str">
        <f>IF($C3026="","",IFERROR(VLOOKUP($C3026,sources!$A$2:$N$200,9,FALSE()),"?"))</f>
        <v>US official</v>
      </c>
    </row>
    <row r="3027" spans="1:19" x14ac:dyDescent="0.2">
      <c r="A3027" t="s">
        <v>8615</v>
      </c>
      <c r="B3027" t="s">
        <v>491</v>
      </c>
      <c r="C3027" t="s">
        <v>1398</v>
      </c>
      <c r="D3027" t="s">
        <v>1666</v>
      </c>
      <c r="E3027" t="s">
        <v>8616</v>
      </c>
      <c r="F3027" t="s">
        <v>1612</v>
      </c>
      <c r="I3027" t="s">
        <v>1077</v>
      </c>
      <c r="M3027" t="s">
        <v>209</v>
      </c>
      <c r="N3027" t="s">
        <v>222</v>
      </c>
      <c r="O3027" t="s">
        <v>8537</v>
      </c>
      <c r="P3027" t="s">
        <v>8617</v>
      </c>
      <c r="Q3027" t="str">
        <f>IF($C3027="","",IFERROR(VLOOKUP($C3027,sources!$A$2:$N$200,2,FALSE()),"?"))</f>
        <v>Map</v>
      </c>
      <c r="S3027" t="str">
        <f>IF($C3027="","",IFERROR(VLOOKUP($C3027,sources!$A$2:$N$200,9,FALSE()),"?"))</f>
        <v>US official</v>
      </c>
    </row>
    <row r="3028" spans="1:19" x14ac:dyDescent="0.2">
      <c r="A3028" t="s">
        <v>8618</v>
      </c>
      <c r="B3028" t="s">
        <v>668</v>
      </c>
      <c r="C3028" t="s">
        <v>1398</v>
      </c>
      <c r="D3028" t="s">
        <v>1666</v>
      </c>
      <c r="E3028" t="s">
        <v>8619</v>
      </c>
      <c r="F3028" t="s">
        <v>1612</v>
      </c>
      <c r="I3028" t="s">
        <v>1077</v>
      </c>
      <c r="M3028" t="s">
        <v>209</v>
      </c>
      <c r="N3028" t="s">
        <v>222</v>
      </c>
      <c r="O3028" t="s">
        <v>8537</v>
      </c>
      <c r="P3028" t="s">
        <v>8620</v>
      </c>
      <c r="Q3028" t="str">
        <f>IF($C3028="","",IFERROR(VLOOKUP($C3028,sources!$A$2:$N$200,2,FALSE()),"?"))</f>
        <v>Map</v>
      </c>
      <c r="S3028" t="str">
        <f>IF($C3028="","",IFERROR(VLOOKUP($C3028,sources!$A$2:$N$200,9,FALSE()),"?"))</f>
        <v>US official</v>
      </c>
    </row>
    <row r="3029" spans="1:19" x14ac:dyDescent="0.2">
      <c r="A3029" t="s">
        <v>8621</v>
      </c>
      <c r="B3029" t="s">
        <v>658</v>
      </c>
      <c r="C3029" t="s">
        <v>1398</v>
      </c>
      <c r="D3029" t="s">
        <v>1666</v>
      </c>
      <c r="E3029" t="s">
        <v>8622</v>
      </c>
      <c r="F3029" t="s">
        <v>1612</v>
      </c>
      <c r="I3029" t="s">
        <v>1077</v>
      </c>
      <c r="M3029" t="s">
        <v>209</v>
      </c>
      <c r="N3029" t="s">
        <v>222</v>
      </c>
      <c r="O3029" t="s">
        <v>8537</v>
      </c>
      <c r="P3029" t="s">
        <v>8623</v>
      </c>
      <c r="Q3029" t="str">
        <f>IF($C3029="","",IFERROR(VLOOKUP($C3029,sources!$A$2:$N$200,2,FALSE()),"?"))</f>
        <v>Map</v>
      </c>
      <c r="S3029" t="str">
        <f>IF($C3029="","",IFERROR(VLOOKUP($C3029,sources!$A$2:$N$200,9,FALSE()),"?"))</f>
        <v>US official</v>
      </c>
    </row>
  </sheetData>
  <dataValidations count="3">
    <dataValidation type="list" allowBlank="1" prompt="Select" sqref="D2:D600" xr:uid="{00000000-0002-0000-0400-000000000000}">
      <formula1>"Name,Geometry (Setting),Existence / mention,Type,Relation,Erasure event,Implied / inferred,Negative (searched-absent)"</formula1>
      <formula2>0</formula2>
    </dataValidation>
    <dataValidation type="list" allowBlank="1" prompt="Select" sqref="I2:I600" xr:uid="{00000000-0002-0000-0400-000001000000}">
      <formula1>"Georeferenced map GCP,Relative to landmark,Stated coordinate,Modern inference,None"</formula1>
      <formula2>0</formula2>
    </dataValidation>
    <dataValidation type="list" allowBlank="1" prompt="Select" sqref="M2:N600" xr:uid="{00000000-0002-0000-0400-000002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
  <sheetViews>
    <sheetView zoomScaleNormal="100" workbookViewId="0"/>
  </sheetViews>
  <sheetFormatPr baseColWidth="10" defaultColWidth="8.6640625" defaultRowHeight="15" x14ac:dyDescent="0.2"/>
  <cols>
    <col min="1" max="1" width="26" customWidth="1"/>
    <col min="2" max="6" width="12" customWidth="1"/>
  </cols>
  <sheetData>
    <row r="1" spans="1:7" ht="26.25" customHeight="1" x14ac:dyDescent="0.2">
      <c r="A1" s="40" t="s">
        <v>8624</v>
      </c>
      <c r="B1" s="41"/>
      <c r="C1" s="41"/>
      <c r="D1" s="41"/>
      <c r="E1" s="41"/>
      <c r="F1" s="41"/>
      <c r="G1" s="42"/>
    </row>
    <row r="3" spans="1:7" ht="15" customHeight="1" x14ac:dyDescent="0.2">
      <c r="A3" s="6" t="s">
        <v>8625</v>
      </c>
      <c r="B3" s="6" t="s">
        <v>222</v>
      </c>
      <c r="C3" s="6" t="s">
        <v>228</v>
      </c>
      <c r="D3" s="6" t="s">
        <v>209</v>
      </c>
      <c r="E3" s="6" t="s">
        <v>1077</v>
      </c>
      <c r="F3" s="10" t="s">
        <v>8626</v>
      </c>
    </row>
    <row r="4" spans="1:7" ht="15" customHeight="1" x14ac:dyDescent="0.2">
      <c r="A4" s="11" t="s">
        <v>202</v>
      </c>
      <c r="B4" s="12">
        <f>COUNTIFS(places!$E$2:$E$200,$A4,places!$T$2:$T$200,B$3)</f>
        <v>28</v>
      </c>
      <c r="C4" s="12">
        <f>COUNTIFS(places!$E$2:$E$200,$A4,places!$T$2:$T$200,C$3)</f>
        <v>1</v>
      </c>
      <c r="D4" s="12">
        <f>COUNTIFS(places!$E$2:$E$200,$A4,places!$T$2:$T$200,D$3)</f>
        <v>1</v>
      </c>
      <c r="E4" s="12">
        <f>COUNTIFS(places!$E$2:$E$200,$A4,places!$T$2:$T$200,E$3)</f>
        <v>1</v>
      </c>
      <c r="F4" s="13">
        <f t="shared" ref="F4:F10" si="0">SUM(B4:E4)</f>
        <v>31</v>
      </c>
    </row>
    <row r="5" spans="1:7" ht="15" customHeight="1" x14ac:dyDescent="0.2">
      <c r="A5" s="11" t="s">
        <v>255</v>
      </c>
      <c r="B5" s="12">
        <f>COUNTIFS(places!$E$2:$E$200,$A5,places!$T$2:$T$200,B$3)</f>
        <v>39</v>
      </c>
      <c r="C5" s="12">
        <f>COUNTIFS(places!$E$2:$E$200,$A5,places!$T$2:$T$200,C$3)</f>
        <v>21</v>
      </c>
      <c r="D5" s="12">
        <f>COUNTIFS(places!$E$2:$E$200,$A5,places!$T$2:$T$200,D$3)</f>
        <v>15</v>
      </c>
      <c r="E5" s="12">
        <f>COUNTIFS(places!$E$2:$E$200,$A5,places!$T$2:$T$200,E$3)</f>
        <v>1</v>
      </c>
      <c r="F5" s="13">
        <f t="shared" si="0"/>
        <v>76</v>
      </c>
    </row>
    <row r="6" spans="1:7" ht="15" customHeight="1" x14ac:dyDescent="0.2">
      <c r="A6" s="11" t="s">
        <v>248</v>
      </c>
      <c r="B6" s="12">
        <f>COUNTIFS(places!$E$2:$E$200,$A6,places!$T$2:$T$200,B$3)</f>
        <v>2</v>
      </c>
      <c r="C6" s="12">
        <f>COUNTIFS(places!$E$2:$E$200,$A6,places!$T$2:$T$200,C$3)</f>
        <v>0</v>
      </c>
      <c r="D6" s="12">
        <f>COUNTIFS(places!$E$2:$E$200,$A6,places!$T$2:$T$200,D$3)</f>
        <v>0</v>
      </c>
      <c r="E6" s="12">
        <f>COUNTIFS(places!$E$2:$E$200,$A6,places!$T$2:$T$200,E$3)</f>
        <v>0</v>
      </c>
      <c r="F6" s="13">
        <f t="shared" si="0"/>
        <v>2</v>
      </c>
    </row>
    <row r="7" spans="1:7" ht="15" customHeight="1" x14ac:dyDescent="0.2">
      <c r="A7" s="11" t="s">
        <v>8627</v>
      </c>
      <c r="B7" s="12">
        <f>COUNTIFS(places!$E$2:$E$200,$A7,places!$T$2:$T$200,B$3)</f>
        <v>0</v>
      </c>
      <c r="C7" s="12">
        <f>COUNTIFS(places!$E$2:$E$200,$A7,places!$T$2:$T$200,C$3)</f>
        <v>0</v>
      </c>
      <c r="D7" s="12">
        <f>COUNTIFS(places!$E$2:$E$200,$A7,places!$T$2:$T$200,D$3)</f>
        <v>0</v>
      </c>
      <c r="E7" s="12">
        <f>COUNTIFS(places!$E$2:$E$200,$A7,places!$T$2:$T$200,E$3)</f>
        <v>0</v>
      </c>
      <c r="F7" s="13">
        <f t="shared" si="0"/>
        <v>0</v>
      </c>
    </row>
    <row r="8" spans="1:7" ht="15" customHeight="1" x14ac:dyDescent="0.2">
      <c r="A8" s="11" t="s">
        <v>326</v>
      </c>
      <c r="B8" s="12">
        <f>COUNTIFS(places!$E$2:$E$200,$A8,places!$T$2:$T$200,B$3)</f>
        <v>31</v>
      </c>
      <c r="C8" s="12">
        <f>COUNTIFS(places!$E$2:$E$200,$A8,places!$T$2:$T$200,C$3)</f>
        <v>1</v>
      </c>
      <c r="D8" s="12">
        <f>COUNTIFS(places!$E$2:$E$200,$A8,places!$T$2:$T$200,D$3)</f>
        <v>3</v>
      </c>
      <c r="E8" s="12">
        <f>COUNTIFS(places!$E$2:$E$200,$A8,places!$T$2:$T$200,E$3)</f>
        <v>1</v>
      </c>
      <c r="F8" s="13">
        <f t="shared" si="0"/>
        <v>36</v>
      </c>
    </row>
    <row r="9" spans="1:7" ht="15" customHeight="1" x14ac:dyDescent="0.2">
      <c r="A9" s="11" t="s">
        <v>227</v>
      </c>
      <c r="B9" s="12">
        <f>COUNTIFS(places!$E$2:$E$200,$A9,places!$T$2:$T$200,B$3)</f>
        <v>38</v>
      </c>
      <c r="C9" s="12">
        <f>COUNTIFS(places!$E$2:$E$200,$A9,places!$T$2:$T$200,C$3)</f>
        <v>4</v>
      </c>
      <c r="D9" s="12">
        <f>COUNTIFS(places!$E$2:$E$200,$A9,places!$T$2:$T$200,D$3)</f>
        <v>10</v>
      </c>
      <c r="E9" s="12">
        <f>COUNTIFS(places!$E$2:$E$200,$A9,places!$T$2:$T$200,E$3)</f>
        <v>2</v>
      </c>
      <c r="F9" s="13">
        <f t="shared" si="0"/>
        <v>54</v>
      </c>
    </row>
    <row r="10" spans="1:7" ht="15" customHeight="1" x14ac:dyDescent="0.2">
      <c r="A10" s="14" t="s">
        <v>8626</v>
      </c>
      <c r="B10" s="13">
        <f>SUM(B4:B9)</f>
        <v>138</v>
      </c>
      <c r="C10" s="13">
        <f>SUM(C4:C9)</f>
        <v>27</v>
      </c>
      <c r="D10" s="13">
        <f>SUM(D4:D9)</f>
        <v>29</v>
      </c>
      <c r="E10" s="13">
        <f>SUM(E4:E9)</f>
        <v>5</v>
      </c>
      <c r="F10" s="13">
        <f t="shared" si="0"/>
        <v>199</v>
      </c>
    </row>
    <row r="12" spans="1:7" ht="15" customHeight="1" x14ac:dyDescent="0.2">
      <c r="A12" s="31" t="s">
        <v>8628</v>
      </c>
      <c r="B12" s="32"/>
      <c r="C12" s="32"/>
      <c r="D12" s="32"/>
      <c r="E12" s="32"/>
      <c r="F12" s="33"/>
    </row>
    <row r="13" spans="1:7" ht="15" customHeight="1" x14ac:dyDescent="0.2">
      <c r="A13" s="34"/>
      <c r="B13" s="35"/>
      <c r="C13" s="35"/>
      <c r="D13" s="35"/>
      <c r="E13" s="35"/>
      <c r="F13" s="36"/>
    </row>
    <row r="14" spans="1:7" ht="15" customHeight="1" x14ac:dyDescent="0.2">
      <c r="A14" s="34"/>
      <c r="B14" s="35"/>
      <c r="C14" s="35"/>
      <c r="D14" s="35"/>
      <c r="E14" s="35"/>
      <c r="F14" s="36"/>
    </row>
    <row r="15" spans="1:7" ht="15" customHeight="1" x14ac:dyDescent="0.2">
      <c r="A15" s="34"/>
      <c r="B15" s="35"/>
      <c r="C15" s="35"/>
      <c r="D15" s="35"/>
      <c r="E15" s="35"/>
      <c r="F15" s="36"/>
    </row>
    <row r="16" spans="1:7" ht="15" customHeight="1" x14ac:dyDescent="0.2">
      <c r="A16" s="37"/>
      <c r="B16" s="38"/>
      <c r="C16" s="38"/>
      <c r="D16" s="38"/>
      <c r="E16" s="38"/>
      <c r="F16" s="39"/>
    </row>
  </sheetData>
  <mergeCells count="2">
    <mergeCell ref="A12:F16"/>
    <mergeCell ref="A1:G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7"/>
  <sheetViews>
    <sheetView zoomScaleNormal="100" workbookViewId="0"/>
  </sheetViews>
  <sheetFormatPr baseColWidth="10" defaultColWidth="8.6640625" defaultRowHeight="15" x14ac:dyDescent="0.2"/>
  <cols>
    <col min="1" max="1" width="24" customWidth="1"/>
    <col min="2" max="2" width="34" customWidth="1"/>
    <col min="3" max="3" width="30" customWidth="1"/>
    <col min="4" max="4" width="34" customWidth="1"/>
  </cols>
  <sheetData>
    <row r="1" spans="1:4" ht="15" customHeight="1" x14ac:dyDescent="0.2">
      <c r="A1" s="43" t="s">
        <v>8629</v>
      </c>
      <c r="B1" s="41"/>
      <c r="C1" s="41"/>
      <c r="D1" s="42"/>
    </row>
    <row r="3" spans="1:4" ht="15" customHeight="1" x14ac:dyDescent="0.2">
      <c r="A3" s="6" t="s">
        <v>8630</v>
      </c>
      <c r="B3" s="6" t="s">
        <v>8631</v>
      </c>
      <c r="C3" s="6" t="s">
        <v>8632</v>
      </c>
      <c r="D3" s="6" t="s">
        <v>8633</v>
      </c>
    </row>
    <row r="4" spans="1:4" ht="23.25" customHeight="1" x14ac:dyDescent="0.2">
      <c r="A4" s="9" t="s">
        <v>8634</v>
      </c>
      <c r="B4" s="9" t="s">
        <v>8635</v>
      </c>
      <c r="C4" s="9" t="s">
        <v>8636</v>
      </c>
      <c r="D4" s="9" t="s">
        <v>8637</v>
      </c>
    </row>
    <row r="5" spans="1:4" ht="23.25" customHeight="1" x14ac:dyDescent="0.2">
      <c r="A5" s="9" t="s">
        <v>8638</v>
      </c>
      <c r="B5" s="9" t="s">
        <v>8639</v>
      </c>
      <c r="C5" s="9" t="s">
        <v>8640</v>
      </c>
      <c r="D5" s="9" t="s">
        <v>8641</v>
      </c>
    </row>
    <row r="6" spans="1:4" ht="23.25" customHeight="1" x14ac:dyDescent="0.2">
      <c r="A6" s="9" t="s">
        <v>8642</v>
      </c>
      <c r="B6" s="9" t="s">
        <v>8643</v>
      </c>
      <c r="C6" s="9" t="s">
        <v>8644</v>
      </c>
      <c r="D6" s="9" t="s">
        <v>8645</v>
      </c>
    </row>
    <row r="7" spans="1:4" ht="23.25" customHeight="1" x14ac:dyDescent="0.2">
      <c r="A7" s="9" t="s">
        <v>8646</v>
      </c>
      <c r="B7" s="9" t="s">
        <v>8647</v>
      </c>
      <c r="C7" s="9" t="s">
        <v>8648</v>
      </c>
      <c r="D7" s="9" t="s">
        <v>8649</v>
      </c>
    </row>
    <row r="8" spans="1:4" ht="23.25" customHeight="1" x14ac:dyDescent="0.2">
      <c r="A8" s="9" t="s">
        <v>8650</v>
      </c>
      <c r="B8" s="9" t="s">
        <v>8651</v>
      </c>
      <c r="C8" s="9" t="s">
        <v>8652</v>
      </c>
      <c r="D8" s="9" t="s">
        <v>8653</v>
      </c>
    </row>
    <row r="9" spans="1:4" ht="23.25" customHeight="1" x14ac:dyDescent="0.2">
      <c r="A9" s="9" t="s">
        <v>8654</v>
      </c>
      <c r="B9" s="9" t="s">
        <v>8655</v>
      </c>
      <c r="C9" s="9" t="s">
        <v>8656</v>
      </c>
      <c r="D9" s="9" t="s">
        <v>8657</v>
      </c>
    </row>
    <row r="11" spans="1:4" ht="15" customHeight="1" x14ac:dyDescent="0.2">
      <c r="A11" s="40" t="s">
        <v>8658</v>
      </c>
      <c r="B11" s="41"/>
      <c r="C11" s="41"/>
      <c r="D11" s="42"/>
    </row>
    <row r="12" spans="1:4" ht="15" customHeight="1" x14ac:dyDescent="0.2">
      <c r="A12" s="6" t="s">
        <v>8659</v>
      </c>
      <c r="B12" s="6" t="s">
        <v>8660</v>
      </c>
      <c r="C12" s="6" t="s">
        <v>8661</v>
      </c>
    </row>
    <row r="13" spans="1:4" ht="23.25" customHeight="1" x14ac:dyDescent="0.2">
      <c r="A13" s="9" t="s">
        <v>222</v>
      </c>
      <c r="B13" s="9" t="s">
        <v>8662</v>
      </c>
      <c r="C13" s="9" t="s">
        <v>8663</v>
      </c>
    </row>
    <row r="14" spans="1:4" ht="15" customHeight="1" x14ac:dyDescent="0.2">
      <c r="A14" s="9" t="s">
        <v>228</v>
      </c>
      <c r="B14" s="9" t="s">
        <v>8664</v>
      </c>
      <c r="C14" s="9" t="s">
        <v>8665</v>
      </c>
    </row>
    <row r="15" spans="1:4" ht="15" customHeight="1" x14ac:dyDescent="0.2">
      <c r="A15" s="9" t="s">
        <v>209</v>
      </c>
      <c r="B15" s="9" t="s">
        <v>8666</v>
      </c>
      <c r="C15" s="9" t="s">
        <v>8667</v>
      </c>
    </row>
    <row r="16" spans="1:4" ht="23.25" customHeight="1" x14ac:dyDescent="0.2">
      <c r="A16" s="9" t="s">
        <v>386</v>
      </c>
      <c r="B16" s="9" t="s">
        <v>8668</v>
      </c>
      <c r="C16" s="9" t="s">
        <v>8669</v>
      </c>
    </row>
    <row r="17" spans="1:3" ht="23.25" customHeight="1" x14ac:dyDescent="0.2">
      <c r="A17" s="9" t="s">
        <v>227</v>
      </c>
      <c r="B17" s="9" t="s">
        <v>8670</v>
      </c>
      <c r="C17" s="9" t="s">
        <v>8671</v>
      </c>
    </row>
  </sheetData>
  <mergeCells count="2">
    <mergeCell ref="A1:D1"/>
    <mergeCell ref="A11:D1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3"/>
  <sheetViews>
    <sheetView zoomScaleNormal="100" workbookViewId="0">
      <pane xSplit="2" ySplit="3" topLeftCell="C4" activePane="bottomRight" state="frozen"/>
      <selection pane="topRight" activeCell="C1" sqref="C1"/>
      <selection pane="bottomLeft" activeCell="A4" sqref="A4"/>
      <selection pane="bottomRight"/>
    </sheetView>
  </sheetViews>
  <sheetFormatPr baseColWidth="10" defaultColWidth="8.6640625" defaultRowHeight="15" x14ac:dyDescent="0.2"/>
  <cols>
    <col min="1" max="1" width="11" customWidth="1"/>
    <col min="2" max="2" width="16" customWidth="1"/>
    <col min="3" max="4" width="13" customWidth="1"/>
    <col min="5" max="5" width="12" customWidth="1"/>
    <col min="6" max="6" width="11" customWidth="1"/>
    <col min="7" max="7" width="28" customWidth="1"/>
    <col min="8" max="10" width="8" customWidth="1"/>
    <col min="11" max="11" width="7" customWidth="1"/>
  </cols>
  <sheetData>
    <row r="1" spans="1:11" ht="15" customHeight="1" x14ac:dyDescent="0.2">
      <c r="A1" s="40" t="s">
        <v>8672</v>
      </c>
      <c r="B1" s="41"/>
      <c r="C1" s="41"/>
      <c r="D1" s="41"/>
      <c r="E1" s="41"/>
      <c r="F1" s="41"/>
      <c r="G1" s="41"/>
      <c r="H1" s="41"/>
      <c r="I1" s="41"/>
      <c r="J1" s="41"/>
      <c r="K1" s="42"/>
    </row>
    <row r="3" spans="1:11" ht="23.25" customHeight="1" x14ac:dyDescent="0.2">
      <c r="A3" s="6" t="s">
        <v>18</v>
      </c>
      <c r="B3" s="6" t="s">
        <v>173</v>
      </c>
      <c r="C3" s="6" t="s">
        <v>8673</v>
      </c>
      <c r="D3" s="6" t="s">
        <v>8674</v>
      </c>
      <c r="E3" s="6" t="s">
        <v>8675</v>
      </c>
      <c r="F3" s="6" t="s">
        <v>8676</v>
      </c>
      <c r="G3" s="6" t="s">
        <v>8677</v>
      </c>
      <c r="H3" s="6" t="s">
        <v>8678</v>
      </c>
      <c r="I3" s="6" t="s">
        <v>8679</v>
      </c>
      <c r="J3" s="6" t="s">
        <v>8680</v>
      </c>
      <c r="K3" s="6" t="s">
        <v>8681</v>
      </c>
    </row>
    <row r="4" spans="1:11" ht="15" customHeight="1" x14ac:dyDescent="0.2">
      <c r="A4" s="12" t="str">
        <f>IF(places!$A2="","",places!$A2)</f>
        <v>CZ-001</v>
      </c>
      <c r="B4" s="9" t="str">
        <f>IF(places!$A2="","",places!$B2)</f>
        <v>Matachin</v>
      </c>
      <c r="C4" s="12" t="str">
        <f>IF(places!$A2="","",places!$L2)</f>
        <v>Low</v>
      </c>
      <c r="D4" s="12" t="str">
        <f>IF(places!$A2="","",places!$K2)</f>
        <v>Approximate</v>
      </c>
      <c r="E4" s="7">
        <f>IF(places!$A2="","",COUNTIFS(attestations!$B$2:$B$2000,places!$A2,attestations!$D$2:$D$2000,"Type"))</f>
        <v>0</v>
      </c>
      <c r="F4" s="7">
        <f>IF(places!$A2="","",COUNTIFS(attestations!$B$2:$B$2000,places!$A2,attestations!$D$2:$D$2000,"Name"))</f>
        <v>4</v>
      </c>
      <c r="G4" s="15" t="str">
        <f>IF(places!$A2="","",IF($K4=0,"Unattested",IF(AND($H4&gt;0,$I4&gt;0),"Cross-attested",IF($H4&gt;0,"Administratively visible",IF($I4&gt;0,"Locally remembered / archivally thin","Secondary / implied only")))))</f>
        <v>Cross-attested</v>
      </c>
      <c r="H4" s="7">
        <f>IF(places!$A2="","",COUNTIFS(attestations!$B$2:$B$2000,places!$A2,attestations!$S$2:$S$2000,"US official"))</f>
        <v>12</v>
      </c>
      <c r="I4" s="7">
        <f>IF(places!$A2="","",COUNTIFS(attestations!$B$2:$B$2000,places!$A2,attestations!$S$2:$S$2000,"Panamanian")+COUNTIFS(attestations!$B$2:$B$2000,places!$A2,attestations!$S$2:$S$2000,"Caribbean community"))</f>
        <v>4</v>
      </c>
      <c r="J4" s="7">
        <f>IF(places!$A2="","",COUNTIFS(attestations!$B$2:$B$2000,places!$A2,attestations!$D$2:$D$2000,"Implied / inferred"))</f>
        <v>0</v>
      </c>
      <c r="K4" s="7">
        <f>IF(places!$A2="","",COUNTIF(attestations!$B$2:$B$2000,places!$A2))</f>
        <v>30</v>
      </c>
    </row>
    <row r="5" spans="1:11" ht="15" customHeight="1" x14ac:dyDescent="0.2">
      <c r="A5" s="12" t="str">
        <f>IF(places!$A3="","",places!$A3)</f>
        <v>CZ-002</v>
      </c>
      <c r="B5" s="9" t="str">
        <f>IF(places!$A3="","",places!$B3)</f>
        <v>Barbacoas</v>
      </c>
      <c r="C5" s="12" t="str">
        <f>IF(places!$A3="","",places!$L3)</f>
        <v>Low</v>
      </c>
      <c r="D5" s="12" t="str">
        <f>IF(places!$A3="","",places!$K3)</f>
        <v>Approximate</v>
      </c>
      <c r="E5" s="7">
        <f>IF(places!$A3="","",COUNTIFS(attestations!$B$2:$B$2000,places!$A3,attestations!$D$2:$D$2000,"Type"))</f>
        <v>0</v>
      </c>
      <c r="F5" s="7">
        <f>IF(places!$A3="","",COUNTIFS(attestations!$B$2:$B$2000,places!$A3,attestations!$D$2:$D$2000,"Name"))</f>
        <v>1</v>
      </c>
      <c r="G5" s="15" t="str">
        <f>IF(places!$A3="","",IF($K5=0,"Unattested",IF(AND($H5&gt;0,$I5&gt;0),"Cross-attested",IF($H5&gt;0,"Administratively visible",IF($I5&gt;0,"Locally remembered / archivally thin","Secondary / implied only")))))</f>
        <v>Cross-attested</v>
      </c>
      <c r="H5" s="7">
        <f>IF(places!$A3="","",COUNTIFS(attestations!$B$2:$B$2000,places!$A3,attestations!$S$2:$S$2000,"US official"))</f>
        <v>9</v>
      </c>
      <c r="I5" s="7">
        <f>IF(places!$A3="","",COUNTIFS(attestations!$B$2:$B$2000,places!$A3,attestations!$S$2:$S$2000,"Panamanian")+COUNTIFS(attestations!$B$2:$B$2000,places!$A3,attestations!$S$2:$S$2000,"Caribbean community"))</f>
        <v>2</v>
      </c>
      <c r="J5" s="7">
        <f>IF(places!$A3="","",COUNTIFS(attestations!$B$2:$B$2000,places!$A3,attestations!$D$2:$D$2000,"Implied / inferred"))</f>
        <v>0</v>
      </c>
      <c r="K5" s="7">
        <f>IF(places!$A3="","",COUNTIF(attestations!$B$2:$B$2000,places!$A3))</f>
        <v>19</v>
      </c>
    </row>
    <row r="6" spans="1:11" ht="15" customHeight="1" x14ac:dyDescent="0.2">
      <c r="A6" s="12" t="str">
        <f>IF(places!$A4="","",places!$A4)</f>
        <v>CZ-003</v>
      </c>
      <c r="B6" s="9" t="str">
        <f>IF(places!$A4="","",places!$B4)</f>
        <v>Cruces</v>
      </c>
      <c r="C6" s="12" t="str">
        <f>IF(places!$A4="","",places!$L4)</f>
        <v>Low</v>
      </c>
      <c r="D6" s="12" t="str">
        <f>IF(places!$A4="","",places!$K4)</f>
        <v>Approximate</v>
      </c>
      <c r="E6" s="7">
        <f>IF(places!$A4="","",COUNTIFS(attestations!$B$2:$B$2000,places!$A4,attestations!$D$2:$D$2000,"Type"))</f>
        <v>0</v>
      </c>
      <c r="F6" s="7">
        <f>IF(places!$A4="","",COUNTIFS(attestations!$B$2:$B$2000,places!$A4,attestations!$D$2:$D$2000,"Name"))</f>
        <v>3</v>
      </c>
      <c r="G6" s="15" t="str">
        <f>IF(places!$A4="","",IF($K6=0,"Unattested",IF(AND($H6&gt;0,$I6&gt;0),"Cross-attested",IF($H6&gt;0,"Administratively visible",IF($I6&gt;0,"Locally remembered / archivally thin","Secondary / implied only")))))</f>
        <v>Cross-attested</v>
      </c>
      <c r="H6" s="7">
        <f>IF(places!$A4="","",COUNTIFS(attestations!$B$2:$B$2000,places!$A4,attestations!$S$2:$S$2000,"US official"))</f>
        <v>12</v>
      </c>
      <c r="I6" s="7">
        <f>IF(places!$A4="","",COUNTIFS(attestations!$B$2:$B$2000,places!$A4,attestations!$S$2:$S$2000,"Panamanian")+COUNTIFS(attestations!$B$2:$B$2000,places!$A4,attestations!$S$2:$S$2000,"Caribbean community"))</f>
        <v>3</v>
      </c>
      <c r="J6" s="7">
        <f>IF(places!$A4="","",COUNTIFS(attestations!$B$2:$B$2000,places!$A4,attestations!$D$2:$D$2000,"Implied / inferred"))</f>
        <v>0</v>
      </c>
      <c r="K6" s="7">
        <f>IF(places!$A4="","",COUNTIF(attestations!$B$2:$B$2000,places!$A4))</f>
        <v>27</v>
      </c>
    </row>
    <row r="7" spans="1:11" ht="15" customHeight="1" x14ac:dyDescent="0.2">
      <c r="A7" s="12" t="str">
        <f>IF(places!$A5="","",places!$A5)</f>
        <v>CZ-004</v>
      </c>
      <c r="B7" s="9" t="str">
        <f>IF(places!$A5="","",places!$B5)</f>
        <v>Ahorca Lagarto</v>
      </c>
      <c r="C7" s="12" t="str">
        <f>IF(places!$A5="","",places!$L5)</f>
        <v>Medium</v>
      </c>
      <c r="D7" s="12" t="str">
        <f>IF(places!$A5="","",places!$K5)</f>
        <v>Unknown</v>
      </c>
      <c r="E7" s="7">
        <f>IF(places!$A5="","",COUNTIFS(attestations!$B$2:$B$2000,places!$A5,attestations!$D$2:$D$2000,"Type"))</f>
        <v>0</v>
      </c>
      <c r="F7" s="7">
        <f>IF(places!$A5="","",COUNTIFS(attestations!$B$2:$B$2000,places!$A5,attestations!$D$2:$D$2000,"Name"))</f>
        <v>2</v>
      </c>
      <c r="G7" s="15" t="str">
        <f>IF(places!$A5="","",IF($K7=0,"Unattested",IF(AND($H7&gt;0,$I7&gt;0),"Cross-attested",IF($H7&gt;0,"Administratively visible",IF($I7&gt;0,"Locally remembered / archivally thin","Secondary / implied only")))))</f>
        <v>Cross-attested</v>
      </c>
      <c r="H7" s="7">
        <f>IF(places!$A5="","",COUNTIFS(attestations!$B$2:$B$2000,places!$A5,attestations!$S$2:$S$2000,"US official"))</f>
        <v>7</v>
      </c>
      <c r="I7" s="7">
        <f>IF(places!$A5="","",COUNTIFS(attestations!$B$2:$B$2000,places!$A5,attestations!$S$2:$S$2000,"Panamanian")+COUNTIFS(attestations!$B$2:$B$2000,places!$A5,attestations!$S$2:$S$2000,"Caribbean community"))</f>
        <v>3</v>
      </c>
      <c r="J7" s="7">
        <f>IF(places!$A5="","",COUNTIFS(attestations!$B$2:$B$2000,places!$A5,attestations!$D$2:$D$2000,"Implied / inferred"))</f>
        <v>0</v>
      </c>
      <c r="K7" s="7">
        <f>IF(places!$A5="","",COUNTIF(attestations!$B$2:$B$2000,places!$A5))</f>
        <v>17</v>
      </c>
    </row>
    <row r="8" spans="1:11" ht="15" customHeight="1" x14ac:dyDescent="0.2">
      <c r="A8" s="12" t="str">
        <f>IF(places!$A6="","",places!$A6)</f>
        <v>CZ-005</v>
      </c>
      <c r="B8" s="9" t="str">
        <f>IF(places!$A6="","",places!$B6)</f>
        <v>Caimito</v>
      </c>
      <c r="C8" s="12" t="str">
        <f>IF(places!$A6="","",places!$L6)</f>
        <v>Low</v>
      </c>
      <c r="D8" s="12" t="str">
        <f>IF(places!$A6="","",places!$K6)</f>
        <v>Unknown</v>
      </c>
      <c r="E8" s="7">
        <f>IF(places!$A6="","",COUNTIFS(attestations!$B$2:$B$2000,places!$A6,attestations!$D$2:$D$2000,"Type"))</f>
        <v>0</v>
      </c>
      <c r="F8" s="7">
        <f>IF(places!$A6="","",COUNTIFS(attestations!$B$2:$B$2000,places!$A6,attestations!$D$2:$D$2000,"Name"))</f>
        <v>2</v>
      </c>
      <c r="G8" s="15" t="str">
        <f>IF(places!$A6="","",IF($K8=0,"Unattested",IF(AND($H8&gt;0,$I8&gt;0),"Cross-attested",IF($H8&gt;0,"Administratively visible",IF($I8&gt;0,"Locally remembered / archivally thin","Secondary / implied only")))))</f>
        <v>Cross-attested</v>
      </c>
      <c r="H8" s="7">
        <f>IF(places!$A6="","",COUNTIFS(attestations!$B$2:$B$2000,places!$A6,attestations!$S$2:$S$2000,"US official"))</f>
        <v>9</v>
      </c>
      <c r="I8" s="7">
        <f>IF(places!$A6="","",COUNTIFS(attestations!$B$2:$B$2000,places!$A6,attestations!$S$2:$S$2000,"Panamanian")+COUNTIFS(attestations!$B$2:$B$2000,places!$A6,attestations!$S$2:$S$2000,"Caribbean community"))</f>
        <v>2</v>
      </c>
      <c r="J8" s="7">
        <f>IF(places!$A6="","",COUNTIFS(attestations!$B$2:$B$2000,places!$A6,attestations!$D$2:$D$2000,"Implied / inferred"))</f>
        <v>0</v>
      </c>
      <c r="K8" s="7">
        <f>IF(places!$A6="","",COUNTIF(attestations!$B$2:$B$2000,places!$A6))</f>
        <v>16</v>
      </c>
    </row>
    <row r="9" spans="1:11" ht="15" customHeight="1" x14ac:dyDescent="0.2">
      <c r="A9" s="12" t="str">
        <f>IF(places!$A7="","",places!$A7)</f>
        <v>CZ-006</v>
      </c>
      <c r="B9" s="9" t="str">
        <f>IF(places!$A7="","",places!$B7)</f>
        <v>Santa Cruz</v>
      </c>
      <c r="C9" s="12" t="str">
        <f>IF(places!$A7="","",places!$L7)</f>
        <v>Low</v>
      </c>
      <c r="D9" s="12" t="str">
        <f>IF(places!$A7="","",places!$K7)</f>
        <v>Unknown</v>
      </c>
      <c r="E9" s="7">
        <f>IF(places!$A7="","",COUNTIFS(attestations!$B$2:$B$2000,places!$A7,attestations!$D$2:$D$2000,"Type"))</f>
        <v>0</v>
      </c>
      <c r="F9" s="7">
        <f>IF(places!$A7="","",COUNTIFS(attestations!$B$2:$B$2000,places!$A7,attestations!$D$2:$D$2000,"Name"))</f>
        <v>2</v>
      </c>
      <c r="G9" s="15" t="str">
        <f>IF(places!$A7="","",IF($K9=0,"Unattested",IF(AND($H9&gt;0,$I9&gt;0),"Cross-attested",IF($H9&gt;0,"Administratively visible",IF($I9&gt;0,"Locally remembered / archivally thin","Secondary / implied only")))))</f>
        <v>Cross-attested</v>
      </c>
      <c r="H9" s="7">
        <f>IF(places!$A7="","",COUNTIFS(attestations!$B$2:$B$2000,places!$A7,attestations!$S$2:$S$2000,"US official"))</f>
        <v>10</v>
      </c>
      <c r="I9" s="7">
        <f>IF(places!$A7="","",COUNTIFS(attestations!$B$2:$B$2000,places!$A7,attestations!$S$2:$S$2000,"Panamanian")+COUNTIFS(attestations!$B$2:$B$2000,places!$A7,attestations!$S$2:$S$2000,"Caribbean community"))</f>
        <v>3</v>
      </c>
      <c r="J9" s="7">
        <f>IF(places!$A7="","",COUNTIFS(attestations!$B$2:$B$2000,places!$A7,attestations!$D$2:$D$2000,"Implied / inferred"))</f>
        <v>0</v>
      </c>
      <c r="K9" s="7">
        <f>IF(places!$A7="","",COUNTIF(attestations!$B$2:$B$2000,places!$A7))</f>
        <v>18</v>
      </c>
    </row>
    <row r="10" spans="1:11" ht="15" customHeight="1" x14ac:dyDescent="0.2">
      <c r="A10" s="12" t="str">
        <f>IF(places!$A8="","",places!$A8)</f>
        <v>CZ-007</v>
      </c>
      <c r="B10" s="9" t="str">
        <f>IF(places!$A8="","",places!$B8)</f>
        <v>Bailamonos</v>
      </c>
      <c r="C10" s="12" t="str">
        <f>IF(places!$A8="","",places!$L8)</f>
        <v>Low</v>
      </c>
      <c r="D10" s="12" t="str">
        <f>IF(places!$A8="","",places!$K8)</f>
        <v>Unknown</v>
      </c>
      <c r="E10" s="7">
        <f>IF(places!$A8="","",COUNTIFS(attestations!$B$2:$B$2000,places!$A8,attestations!$D$2:$D$2000,"Type"))</f>
        <v>0</v>
      </c>
      <c r="F10" s="7">
        <f>IF(places!$A8="","",COUNTIFS(attestations!$B$2:$B$2000,places!$A8,attestations!$D$2:$D$2000,"Name"))</f>
        <v>3</v>
      </c>
      <c r="G10" s="15" t="str">
        <f>IF(places!$A8="","",IF($K10=0,"Unattested",IF(AND($H10&gt;0,$I10&gt;0),"Cross-attested",IF($H10&gt;0,"Administratively visible",IF($I10&gt;0,"Locally remembered / archivally thin","Secondary / implied only")))))</f>
        <v>Cross-attested</v>
      </c>
      <c r="H10" s="7">
        <f>IF(places!$A8="","",COUNTIFS(attestations!$B$2:$B$2000,places!$A8,attestations!$S$2:$S$2000,"US official"))</f>
        <v>8</v>
      </c>
      <c r="I10" s="7">
        <f>IF(places!$A8="","",COUNTIFS(attestations!$B$2:$B$2000,places!$A8,attestations!$S$2:$S$2000,"Panamanian")+COUNTIFS(attestations!$B$2:$B$2000,places!$A8,attestations!$S$2:$S$2000,"Caribbean community"))</f>
        <v>3</v>
      </c>
      <c r="J10" s="7">
        <f>IF(places!$A8="","",COUNTIFS(attestations!$B$2:$B$2000,places!$A8,attestations!$D$2:$D$2000,"Implied / inferred"))</f>
        <v>0</v>
      </c>
      <c r="K10" s="7">
        <f>IF(places!$A8="","",COUNTIF(attestations!$B$2:$B$2000,places!$A8))</f>
        <v>20</v>
      </c>
    </row>
    <row r="11" spans="1:11" ht="23.25" customHeight="1" x14ac:dyDescent="0.2">
      <c r="A11" s="12" t="str">
        <f>IF(places!$A9="","",places!$A9)</f>
        <v>CZ-008</v>
      </c>
      <c r="B11" s="9" t="str">
        <f>IF(places!$A9="","",places!$B9)</f>
        <v>Cruz de Juan Gallego</v>
      </c>
      <c r="C11" s="12" t="str">
        <f>IF(places!$A9="","",places!$L9)</f>
        <v>Low</v>
      </c>
      <c r="D11" s="12" t="str">
        <f>IF(places!$A9="","",places!$K9)</f>
        <v>Unknown</v>
      </c>
      <c r="E11" s="7">
        <f>IF(places!$A9="","",COUNTIFS(attestations!$B$2:$B$2000,places!$A9,attestations!$D$2:$D$2000,"Type"))</f>
        <v>0</v>
      </c>
      <c r="F11" s="7">
        <f>IF(places!$A9="","",COUNTIFS(attestations!$B$2:$B$2000,places!$A9,attestations!$D$2:$D$2000,"Name"))</f>
        <v>3</v>
      </c>
      <c r="G11" s="15" t="str">
        <f>IF(places!$A9="","",IF($K11=0,"Unattested",IF(AND($H11&gt;0,$I11&gt;0),"Cross-attested",IF($H11&gt;0,"Administratively visible",IF($I11&gt;0,"Locally remembered / archivally thin","Secondary / implied only")))))</f>
        <v>Cross-attested</v>
      </c>
      <c r="H11" s="7">
        <f>IF(places!$A9="","",COUNTIFS(attestations!$B$2:$B$2000,places!$A9,attestations!$S$2:$S$2000,"US official"))</f>
        <v>8</v>
      </c>
      <c r="I11" s="7">
        <f>IF(places!$A9="","",COUNTIFS(attestations!$B$2:$B$2000,places!$A9,attestations!$S$2:$S$2000,"Panamanian")+COUNTIFS(attestations!$B$2:$B$2000,places!$A9,attestations!$S$2:$S$2000,"Caribbean community"))</f>
        <v>3</v>
      </c>
      <c r="J11" s="7">
        <f>IF(places!$A9="","",COUNTIFS(attestations!$B$2:$B$2000,places!$A9,attestations!$D$2:$D$2000,"Implied / inferred"))</f>
        <v>0</v>
      </c>
      <c r="K11" s="7">
        <f>IF(places!$A9="","",COUNTIF(attestations!$B$2:$B$2000,places!$A9))</f>
        <v>15</v>
      </c>
    </row>
    <row r="12" spans="1:11" ht="15" customHeight="1" x14ac:dyDescent="0.2">
      <c r="A12" s="12" t="str">
        <f>IF(places!$A10="","",places!$A10)</f>
        <v>CZ-009</v>
      </c>
      <c r="B12" s="9" t="str">
        <f>IF(places!$A10="","",places!$B10)</f>
        <v>Old Gatun</v>
      </c>
      <c r="C12" s="12" t="str">
        <f>IF(places!$A10="","",places!$L10)</f>
        <v>Low</v>
      </c>
      <c r="D12" s="12" t="str">
        <f>IF(places!$A10="","",places!$K10)</f>
        <v>Approximate</v>
      </c>
      <c r="E12" s="7">
        <f>IF(places!$A10="","",COUNTIFS(attestations!$B$2:$B$2000,places!$A10,attestations!$D$2:$D$2000,"Type"))</f>
        <v>0</v>
      </c>
      <c r="F12" s="7">
        <f>IF(places!$A10="","",COUNTIFS(attestations!$B$2:$B$2000,places!$A10,attestations!$D$2:$D$2000,"Name"))</f>
        <v>0</v>
      </c>
      <c r="G12" s="15" t="str">
        <f>IF(places!$A10="","",IF($K12=0,"Unattested",IF(AND($H12&gt;0,$I12&gt;0),"Cross-attested",IF($H12&gt;0,"Administratively visible",IF($I12&gt;0,"Locally remembered / archivally thin","Secondary / implied only")))))</f>
        <v>Cross-attested</v>
      </c>
      <c r="H12" s="7">
        <f>IF(places!$A10="","",COUNTIFS(attestations!$B$2:$B$2000,places!$A10,attestations!$S$2:$S$2000,"US official"))</f>
        <v>12</v>
      </c>
      <c r="I12" s="7">
        <f>IF(places!$A10="","",COUNTIFS(attestations!$B$2:$B$2000,places!$A10,attestations!$S$2:$S$2000,"Panamanian")+COUNTIFS(attestations!$B$2:$B$2000,places!$A10,attestations!$S$2:$S$2000,"Caribbean community"))</f>
        <v>1</v>
      </c>
      <c r="J12" s="7">
        <f>IF(places!$A10="","",COUNTIFS(attestations!$B$2:$B$2000,places!$A10,attestations!$D$2:$D$2000,"Implied / inferred"))</f>
        <v>0</v>
      </c>
      <c r="K12" s="7">
        <f>IF(places!$A10="","",COUNTIF(attestations!$B$2:$B$2000,places!$A10))</f>
        <v>28</v>
      </c>
    </row>
    <row r="13" spans="1:11" ht="15" customHeight="1" x14ac:dyDescent="0.2">
      <c r="A13" s="12" t="str">
        <f>IF(places!$A11="","",places!$A11)</f>
        <v>CZ-010</v>
      </c>
      <c r="B13" s="9" t="str">
        <f>IF(places!$A11="","",places!$B11)</f>
        <v>New Gatun</v>
      </c>
      <c r="C13" s="12" t="str">
        <f>IF(places!$A11="","",places!$L11)</f>
        <v>Medium</v>
      </c>
      <c r="D13" s="12" t="str">
        <f>IF(places!$A11="","",places!$K11)</f>
        <v>Approximate</v>
      </c>
      <c r="E13" s="7">
        <f>IF(places!$A11="","",COUNTIFS(attestations!$B$2:$B$2000,places!$A11,attestations!$D$2:$D$2000,"Type"))</f>
        <v>0</v>
      </c>
      <c r="F13" s="7">
        <f>IF(places!$A11="","",COUNTIFS(attestations!$B$2:$B$2000,places!$A11,attestations!$D$2:$D$2000,"Name"))</f>
        <v>0</v>
      </c>
      <c r="G13" s="15" t="str">
        <f>IF(places!$A11="","",IF($K13=0,"Unattested",IF(AND($H13&gt;0,$I13&gt;0),"Cross-attested",IF($H13&gt;0,"Administratively visible",IF($I13&gt;0,"Locally remembered / archivally thin","Secondary / implied only")))))</f>
        <v>Cross-attested</v>
      </c>
      <c r="H13" s="7">
        <f>IF(places!$A11="","",COUNTIFS(attestations!$B$2:$B$2000,places!$A11,attestations!$S$2:$S$2000,"US official"))</f>
        <v>12</v>
      </c>
      <c r="I13" s="7">
        <f>IF(places!$A11="","",COUNTIFS(attestations!$B$2:$B$2000,places!$A11,attestations!$S$2:$S$2000,"Panamanian")+COUNTIFS(attestations!$B$2:$B$2000,places!$A11,attestations!$S$2:$S$2000,"Caribbean community"))</f>
        <v>3</v>
      </c>
      <c r="J13" s="7">
        <f>IF(places!$A11="","",COUNTIFS(attestations!$B$2:$B$2000,places!$A11,attestations!$D$2:$D$2000,"Implied / inferred"))</f>
        <v>0</v>
      </c>
      <c r="K13" s="7">
        <f>IF(places!$A11="","",COUNTIF(attestations!$B$2:$B$2000,places!$A11))</f>
        <v>17</v>
      </c>
    </row>
    <row r="14" spans="1:11" ht="15" customHeight="1" x14ac:dyDescent="0.2">
      <c r="A14" s="12" t="str">
        <f>IF(places!$A12="","",places!$A12)</f>
        <v>CZ-011</v>
      </c>
      <c r="B14" s="9" t="str">
        <f>IF(places!$A12="","",places!$B12)</f>
        <v>Empire</v>
      </c>
      <c r="C14" s="12" t="str">
        <f>IF(places!$A12="","",places!$L12)</f>
        <v>Medium</v>
      </c>
      <c r="D14" s="12" t="str">
        <f>IF(places!$A12="","",places!$K12)</f>
        <v>Approximate</v>
      </c>
      <c r="E14" s="7">
        <f>IF(places!$A12="","",COUNTIFS(attestations!$B$2:$B$2000,places!$A12,attestations!$D$2:$D$2000,"Type"))</f>
        <v>0</v>
      </c>
      <c r="F14" s="7">
        <f>IF(places!$A12="","",COUNTIFS(attestations!$B$2:$B$2000,places!$A12,attestations!$D$2:$D$2000,"Name"))</f>
        <v>3</v>
      </c>
      <c r="G14" s="15" t="str">
        <f>IF(places!$A12="","",IF($K14=0,"Unattested",IF(AND($H14&gt;0,$I14&gt;0),"Cross-attested",IF($H14&gt;0,"Administratively visible",IF($I14&gt;0,"Locally remembered / archivally thin","Secondary / implied only")))))</f>
        <v>Cross-attested</v>
      </c>
      <c r="H14" s="7">
        <f>IF(places!$A12="","",COUNTIFS(attestations!$B$2:$B$2000,places!$A12,attestations!$S$2:$S$2000,"US official"))</f>
        <v>16</v>
      </c>
      <c r="I14" s="7">
        <f>IF(places!$A12="","",COUNTIFS(attestations!$B$2:$B$2000,places!$A12,attestations!$S$2:$S$2000,"Panamanian")+COUNTIFS(attestations!$B$2:$B$2000,places!$A12,attestations!$S$2:$S$2000,"Caribbean community"))</f>
        <v>6</v>
      </c>
      <c r="J14" s="7">
        <f>IF(places!$A12="","",COUNTIFS(attestations!$B$2:$B$2000,places!$A12,attestations!$D$2:$D$2000,"Implied / inferred"))</f>
        <v>0</v>
      </c>
      <c r="K14" s="7">
        <f>IF(places!$A12="","",COUNTIF(attestations!$B$2:$B$2000,places!$A12))</f>
        <v>35</v>
      </c>
    </row>
    <row r="15" spans="1:11" ht="15" customHeight="1" x14ac:dyDescent="0.2">
      <c r="A15" s="12" t="str">
        <f>IF(places!$A13="","",places!$A13)</f>
        <v>CZ-012</v>
      </c>
      <c r="B15" s="9" t="str">
        <f>IF(places!$A13="","",places!$B13)</f>
        <v>Gorgona</v>
      </c>
      <c r="C15" s="12" t="str">
        <f>IF(places!$A13="","",places!$L13)</f>
        <v>Medium</v>
      </c>
      <c r="D15" s="12" t="str">
        <f>IF(places!$A13="","",places!$K13)</f>
        <v>Approximate</v>
      </c>
      <c r="E15" s="7">
        <f>IF(places!$A13="","",COUNTIFS(attestations!$B$2:$B$2000,places!$A13,attestations!$D$2:$D$2000,"Type"))</f>
        <v>2</v>
      </c>
      <c r="F15" s="7">
        <f>IF(places!$A13="","",COUNTIFS(attestations!$B$2:$B$2000,places!$A13,attestations!$D$2:$D$2000,"Name"))</f>
        <v>2</v>
      </c>
      <c r="G15" s="15" t="str">
        <f>IF(places!$A13="","",IF($K15=0,"Unattested",IF(AND($H15&gt;0,$I15&gt;0),"Cross-attested",IF($H15&gt;0,"Administratively visible",IF($I15&gt;0,"Locally remembered / archivally thin","Secondary / implied only")))))</f>
        <v>Cross-attested</v>
      </c>
      <c r="H15" s="7">
        <f>IF(places!$A13="","",COUNTIFS(attestations!$B$2:$B$2000,places!$A13,attestations!$S$2:$S$2000,"US official"))</f>
        <v>14</v>
      </c>
      <c r="I15" s="7">
        <f>IF(places!$A13="","",COUNTIFS(attestations!$B$2:$B$2000,places!$A13,attestations!$S$2:$S$2000,"Panamanian")+COUNTIFS(attestations!$B$2:$B$2000,places!$A13,attestations!$S$2:$S$2000,"Caribbean community"))</f>
        <v>4</v>
      </c>
      <c r="J15" s="7">
        <f>IF(places!$A13="","",COUNTIFS(attestations!$B$2:$B$2000,places!$A13,attestations!$D$2:$D$2000,"Implied / inferred"))</f>
        <v>0</v>
      </c>
      <c r="K15" s="7">
        <f>IF(places!$A13="","",COUNTIF(attestations!$B$2:$B$2000,places!$A13))</f>
        <v>34</v>
      </c>
    </row>
    <row r="16" spans="1:11" ht="15" customHeight="1" x14ac:dyDescent="0.2">
      <c r="A16" s="12" t="str">
        <f>IF(places!$A14="","",places!$A14)</f>
        <v>CZ-013</v>
      </c>
      <c r="B16" s="9" t="str">
        <f>IF(places!$A14="","",places!$B14)</f>
        <v>Culebra</v>
      </c>
      <c r="C16" s="12" t="str">
        <f>IF(places!$A14="","",places!$L14)</f>
        <v>Medium</v>
      </c>
      <c r="D16" s="12" t="str">
        <f>IF(places!$A14="","",places!$K14)</f>
        <v>Approximate</v>
      </c>
      <c r="E16" s="7">
        <f>IF(places!$A14="","",COUNTIFS(attestations!$B$2:$B$2000,places!$A14,attestations!$D$2:$D$2000,"Type"))</f>
        <v>0</v>
      </c>
      <c r="F16" s="7">
        <f>IF(places!$A14="","",COUNTIFS(attestations!$B$2:$B$2000,places!$A14,attestations!$D$2:$D$2000,"Name"))</f>
        <v>5</v>
      </c>
      <c r="G16" s="15" t="str">
        <f>IF(places!$A14="","",IF($K16=0,"Unattested",IF(AND($H16&gt;0,$I16&gt;0),"Cross-attested",IF($H16&gt;0,"Administratively visible",IF($I16&gt;0,"Locally remembered / archivally thin","Secondary / implied only")))))</f>
        <v>Cross-attested</v>
      </c>
      <c r="H16" s="7">
        <f>IF(places!$A14="","",COUNTIFS(attestations!$B$2:$B$2000,places!$A14,attestations!$S$2:$S$2000,"US official"))</f>
        <v>17</v>
      </c>
      <c r="I16" s="7">
        <f>IF(places!$A14="","",COUNTIFS(attestations!$B$2:$B$2000,places!$A14,attestations!$S$2:$S$2000,"Panamanian")+COUNTIFS(attestations!$B$2:$B$2000,places!$A14,attestations!$S$2:$S$2000,"Caribbean community"))</f>
        <v>3</v>
      </c>
      <c r="J16" s="7">
        <f>IF(places!$A14="","",COUNTIFS(attestations!$B$2:$B$2000,places!$A14,attestations!$D$2:$D$2000,"Implied / inferred"))</f>
        <v>0</v>
      </c>
      <c r="K16" s="7">
        <f>IF(places!$A14="","",COUNTIF(attestations!$B$2:$B$2000,places!$A14))</f>
        <v>29</v>
      </c>
    </row>
    <row r="17" spans="1:11" ht="15" customHeight="1" x14ac:dyDescent="0.2">
      <c r="A17" s="12" t="str">
        <f>IF(places!$A15="","",places!$A15)</f>
        <v>CZ-014</v>
      </c>
      <c r="B17" s="9" t="str">
        <f>IF(places!$A15="","",places!$B15)</f>
        <v>Bas Obispo</v>
      </c>
      <c r="C17" s="12" t="str">
        <f>IF(places!$A15="","",places!$L15)</f>
        <v>Low</v>
      </c>
      <c r="D17" s="12" t="str">
        <f>IF(places!$A15="","",places!$K15)</f>
        <v>Inferred</v>
      </c>
      <c r="E17" s="7">
        <f>IF(places!$A15="","",COUNTIFS(attestations!$B$2:$B$2000,places!$A15,attestations!$D$2:$D$2000,"Type"))</f>
        <v>0</v>
      </c>
      <c r="F17" s="7">
        <f>IF(places!$A15="","",COUNTIFS(attestations!$B$2:$B$2000,places!$A15,attestations!$D$2:$D$2000,"Name"))</f>
        <v>0</v>
      </c>
      <c r="G17" s="15" t="str">
        <f>IF(places!$A15="","",IF($K17=0,"Unattested",IF(AND($H17&gt;0,$I17&gt;0),"Cross-attested",IF($H17&gt;0,"Administratively visible",IF($I17&gt;0,"Locally remembered / archivally thin","Secondary / implied only")))))</f>
        <v>Cross-attested</v>
      </c>
      <c r="H17" s="7">
        <f>IF(places!$A15="","",COUNTIFS(attestations!$B$2:$B$2000,places!$A15,attestations!$S$2:$S$2000,"US official"))</f>
        <v>14</v>
      </c>
      <c r="I17" s="7">
        <f>IF(places!$A15="","",COUNTIFS(attestations!$B$2:$B$2000,places!$A15,attestations!$S$2:$S$2000,"Panamanian")+COUNTIFS(attestations!$B$2:$B$2000,places!$A15,attestations!$S$2:$S$2000,"Caribbean community"))</f>
        <v>3</v>
      </c>
      <c r="J17" s="7">
        <f>IF(places!$A15="","",COUNTIFS(attestations!$B$2:$B$2000,places!$A15,attestations!$D$2:$D$2000,"Implied / inferred"))</f>
        <v>1</v>
      </c>
      <c r="K17" s="7">
        <f>IF(places!$A15="","",COUNTIF(attestations!$B$2:$B$2000,places!$A15))</f>
        <v>29</v>
      </c>
    </row>
    <row r="18" spans="1:11" ht="15" customHeight="1" x14ac:dyDescent="0.2">
      <c r="A18" s="12" t="str">
        <f>IF(places!$A16="","",places!$A16)</f>
        <v>CZ-015</v>
      </c>
      <c r="B18" s="9" t="str">
        <f>IF(places!$A16="","",places!$B16)</f>
        <v>Las Cascadas</v>
      </c>
      <c r="C18" s="12" t="str">
        <f>IF(places!$A16="","",places!$L16)</f>
        <v>Low</v>
      </c>
      <c r="D18" s="12" t="str">
        <f>IF(places!$A16="","",places!$K16)</f>
        <v>Inferred</v>
      </c>
      <c r="E18" s="7">
        <f>IF(places!$A16="","",COUNTIFS(attestations!$B$2:$B$2000,places!$A16,attestations!$D$2:$D$2000,"Type"))</f>
        <v>0</v>
      </c>
      <c r="F18" s="7">
        <f>IF(places!$A16="","",COUNTIFS(attestations!$B$2:$B$2000,places!$A16,attestations!$D$2:$D$2000,"Name"))</f>
        <v>2</v>
      </c>
      <c r="G18" s="15" t="str">
        <f>IF(places!$A16="","",IF($K18=0,"Unattested",IF(AND($H18&gt;0,$I18&gt;0),"Cross-attested",IF($H18&gt;0,"Administratively visible",IF($I18&gt;0,"Locally remembered / archivally thin","Secondary / implied only")))))</f>
        <v>Cross-attested</v>
      </c>
      <c r="H18" s="7">
        <f>IF(places!$A16="","",COUNTIFS(attestations!$B$2:$B$2000,places!$A16,attestations!$S$2:$S$2000,"US official"))</f>
        <v>13</v>
      </c>
      <c r="I18" s="7">
        <f>IF(places!$A16="","",COUNTIFS(attestations!$B$2:$B$2000,places!$A16,attestations!$S$2:$S$2000,"Panamanian")+COUNTIFS(attestations!$B$2:$B$2000,places!$A16,attestations!$S$2:$S$2000,"Caribbean community"))</f>
        <v>3</v>
      </c>
      <c r="J18" s="7">
        <f>IF(places!$A16="","",COUNTIFS(attestations!$B$2:$B$2000,places!$A16,attestations!$D$2:$D$2000,"Implied / inferred"))</f>
        <v>0</v>
      </c>
      <c r="K18" s="7">
        <f>IF(places!$A16="","",COUNTIF(attestations!$B$2:$B$2000,places!$A16))</f>
        <v>21</v>
      </c>
    </row>
    <row r="19" spans="1:11" ht="15" customHeight="1" x14ac:dyDescent="0.2">
      <c r="A19" s="12" t="str">
        <f>IF(places!$A17="","",places!$A17)</f>
        <v>CZ-016</v>
      </c>
      <c r="B19" s="9" t="str">
        <f>IF(places!$A17="","",places!$B17)</f>
        <v>Bohio</v>
      </c>
      <c r="C19" s="12" t="str">
        <f>IF(places!$A17="","",places!$L17)</f>
        <v>Low</v>
      </c>
      <c r="D19" s="12" t="str">
        <f>IF(places!$A17="","",places!$K17)</f>
        <v>Inferred</v>
      </c>
      <c r="E19" s="7">
        <f>IF(places!$A17="","",COUNTIFS(attestations!$B$2:$B$2000,places!$A17,attestations!$D$2:$D$2000,"Type"))</f>
        <v>0</v>
      </c>
      <c r="F19" s="7">
        <f>IF(places!$A17="","",COUNTIFS(attestations!$B$2:$B$2000,places!$A17,attestations!$D$2:$D$2000,"Name"))</f>
        <v>3</v>
      </c>
      <c r="G19" s="15" t="str">
        <f>IF(places!$A17="","",IF($K19=0,"Unattested",IF(AND($H19&gt;0,$I19&gt;0),"Cross-attested",IF($H19&gt;0,"Administratively visible",IF($I19&gt;0,"Locally remembered / archivally thin","Secondary / implied only")))))</f>
        <v>Cross-attested</v>
      </c>
      <c r="H19" s="7">
        <f>IF(places!$A17="","",COUNTIFS(attestations!$B$2:$B$2000,places!$A17,attestations!$S$2:$S$2000,"US official"))</f>
        <v>11</v>
      </c>
      <c r="I19" s="7">
        <f>IF(places!$A17="","",COUNTIFS(attestations!$B$2:$B$2000,places!$A17,attestations!$S$2:$S$2000,"Panamanian")+COUNTIFS(attestations!$B$2:$B$2000,places!$A17,attestations!$S$2:$S$2000,"Caribbean community"))</f>
        <v>3</v>
      </c>
      <c r="J19" s="7">
        <f>IF(places!$A17="","",COUNTIFS(attestations!$B$2:$B$2000,places!$A17,attestations!$D$2:$D$2000,"Implied / inferred"))</f>
        <v>0</v>
      </c>
      <c r="K19" s="7">
        <f>IF(places!$A17="","",COUNTIF(attestations!$B$2:$B$2000,places!$A17))</f>
        <v>27</v>
      </c>
    </row>
    <row r="21" spans="1:11" ht="15" customHeight="1" x14ac:dyDescent="0.2">
      <c r="A21" s="44" t="s">
        <v>8682</v>
      </c>
      <c r="B21" s="32"/>
      <c r="C21" s="32"/>
      <c r="D21" s="32"/>
      <c r="E21" s="32"/>
      <c r="F21" s="32"/>
      <c r="G21" s="32"/>
      <c r="H21" s="32"/>
      <c r="I21" s="32"/>
      <c r="J21" s="32"/>
      <c r="K21" s="33"/>
    </row>
    <row r="22" spans="1:11" ht="15" customHeight="1" x14ac:dyDescent="0.2">
      <c r="A22" s="34"/>
      <c r="B22" s="35"/>
      <c r="C22" s="35"/>
      <c r="D22" s="35"/>
      <c r="E22" s="35"/>
      <c r="F22" s="35"/>
      <c r="G22" s="35"/>
      <c r="H22" s="35"/>
      <c r="I22" s="35"/>
      <c r="J22" s="35"/>
      <c r="K22" s="36"/>
    </row>
    <row r="23" spans="1:11" ht="15" customHeight="1" x14ac:dyDescent="0.2">
      <c r="A23" s="37"/>
      <c r="B23" s="38"/>
      <c r="C23" s="38"/>
      <c r="D23" s="38"/>
      <c r="E23" s="38"/>
      <c r="F23" s="38"/>
      <c r="G23" s="38"/>
      <c r="H23" s="38"/>
      <c r="I23" s="38"/>
      <c r="J23" s="38"/>
      <c r="K23" s="39"/>
    </row>
  </sheetData>
  <mergeCells count="2">
    <mergeCell ref="A1:K1"/>
    <mergeCell ref="A21:K2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zoomScaleNormal="100" workbookViewId="0">
      <selection sqref="A1:D1"/>
    </sheetView>
  </sheetViews>
  <sheetFormatPr baseColWidth="10" defaultColWidth="8.6640625" defaultRowHeight="15" x14ac:dyDescent="0.2"/>
  <cols>
    <col min="1" max="1" width="18" customWidth="1"/>
    <col min="2" max="2" width="34" customWidth="1"/>
    <col min="3" max="3" width="30" customWidth="1"/>
    <col min="4" max="4" width="26" customWidth="1"/>
  </cols>
  <sheetData>
    <row r="1" spans="1:4" ht="15" customHeight="1" x14ac:dyDescent="0.2">
      <c r="A1" s="43" t="s">
        <v>8683</v>
      </c>
      <c r="B1" s="41"/>
      <c r="C1" s="41"/>
      <c r="D1" s="42"/>
    </row>
    <row r="3" spans="1:4" ht="15" customHeight="1" x14ac:dyDescent="0.2">
      <c r="A3" s="40" t="s">
        <v>8684</v>
      </c>
      <c r="B3" s="41"/>
      <c r="C3" s="41"/>
      <c r="D3" s="42"/>
    </row>
    <row r="4" spans="1:4" ht="15" customHeight="1" x14ac:dyDescent="0.2">
      <c r="A4" s="6" t="s">
        <v>8685</v>
      </c>
      <c r="B4" s="6" t="s">
        <v>8686</v>
      </c>
      <c r="C4" s="6" t="s">
        <v>8687</v>
      </c>
      <c r="D4" s="6" t="s">
        <v>8688</v>
      </c>
    </row>
    <row r="5" spans="1:4" ht="23.25" customHeight="1" x14ac:dyDescent="0.2">
      <c r="A5" s="9" t="s">
        <v>8689</v>
      </c>
      <c r="B5" s="9" t="s">
        <v>8690</v>
      </c>
      <c r="C5" s="9" t="s">
        <v>8691</v>
      </c>
      <c r="D5" s="9" t="s">
        <v>8692</v>
      </c>
    </row>
    <row r="6" spans="1:4" ht="23.25" customHeight="1" x14ac:dyDescent="0.2">
      <c r="A6" s="9" t="s">
        <v>8693</v>
      </c>
      <c r="B6" s="9" t="s">
        <v>8694</v>
      </c>
      <c r="C6" s="9" t="s">
        <v>8695</v>
      </c>
      <c r="D6" s="9" t="s">
        <v>8696</v>
      </c>
    </row>
    <row r="7" spans="1:4" ht="23.25" customHeight="1" x14ac:dyDescent="0.2">
      <c r="A7" s="9" t="s">
        <v>8697</v>
      </c>
      <c r="B7" s="9" t="s">
        <v>8698</v>
      </c>
      <c r="C7" s="9" t="s">
        <v>8699</v>
      </c>
      <c r="D7" s="9" t="s">
        <v>8700</v>
      </c>
    </row>
    <row r="8" spans="1:4" ht="23.25" customHeight="1" x14ac:dyDescent="0.2">
      <c r="A8" s="9" t="s">
        <v>8701</v>
      </c>
      <c r="B8" s="9" t="s">
        <v>8702</v>
      </c>
      <c r="C8" s="9" t="s">
        <v>8703</v>
      </c>
      <c r="D8" s="9" t="s">
        <v>8704</v>
      </c>
    </row>
    <row r="9" spans="1:4" ht="23.25" customHeight="1" x14ac:dyDescent="0.2">
      <c r="A9" s="9" t="s">
        <v>1585</v>
      </c>
      <c r="B9" s="9" t="s">
        <v>8705</v>
      </c>
      <c r="C9" s="9" t="s">
        <v>8706</v>
      </c>
      <c r="D9" s="9" t="s">
        <v>8707</v>
      </c>
    </row>
    <row r="11" spans="1:4" ht="15" customHeight="1" x14ac:dyDescent="0.2">
      <c r="A11" s="40" t="s">
        <v>8708</v>
      </c>
      <c r="B11" s="41"/>
      <c r="C11" s="41"/>
      <c r="D11" s="42"/>
    </row>
    <row r="12" spans="1:4" ht="15" customHeight="1" x14ac:dyDescent="0.2">
      <c r="A12" s="6" t="s">
        <v>8709</v>
      </c>
      <c r="B12" s="6" t="s">
        <v>8710</v>
      </c>
      <c r="C12" s="6" t="s">
        <v>8711</v>
      </c>
    </row>
    <row r="13" spans="1:4" ht="23.25" customHeight="1" x14ac:dyDescent="0.2">
      <c r="A13" s="9" t="s">
        <v>8712</v>
      </c>
      <c r="B13" s="9" t="s">
        <v>8713</v>
      </c>
      <c r="C13" s="9" t="s">
        <v>8714</v>
      </c>
    </row>
    <row r="14" spans="1:4" ht="23.25" customHeight="1" x14ac:dyDescent="0.2">
      <c r="A14" s="9" t="s">
        <v>8715</v>
      </c>
      <c r="B14" s="9" t="s">
        <v>8716</v>
      </c>
      <c r="C14" s="9" t="s">
        <v>8717</v>
      </c>
    </row>
    <row r="15" spans="1:4" ht="23.25" customHeight="1" x14ac:dyDescent="0.2">
      <c r="A15" s="9" t="s">
        <v>8718</v>
      </c>
      <c r="B15" s="9" t="s">
        <v>8719</v>
      </c>
      <c r="C15" s="9" t="s">
        <v>8720</v>
      </c>
    </row>
    <row r="16" spans="1:4" ht="23.25" customHeight="1" x14ac:dyDescent="0.2">
      <c r="A16" s="9" t="s">
        <v>8721</v>
      </c>
      <c r="B16" s="9" t="s">
        <v>8722</v>
      </c>
      <c r="C16" s="9" t="s">
        <v>8723</v>
      </c>
    </row>
    <row r="17" spans="1:4" ht="23.25" customHeight="1" x14ac:dyDescent="0.2">
      <c r="A17" s="9" t="s">
        <v>8724</v>
      </c>
      <c r="B17" s="9" t="s">
        <v>8725</v>
      </c>
      <c r="C17" s="9" t="s">
        <v>8726</v>
      </c>
    </row>
    <row r="18" spans="1:4" ht="34.5" customHeight="1" x14ac:dyDescent="0.2">
      <c r="A18" s="9" t="s">
        <v>8727</v>
      </c>
      <c r="B18" s="9" t="s">
        <v>8728</v>
      </c>
      <c r="C18" s="9" t="s">
        <v>8729</v>
      </c>
    </row>
    <row r="20" spans="1:4" ht="15" customHeight="1" x14ac:dyDescent="0.2">
      <c r="A20" s="31" t="s">
        <v>8730</v>
      </c>
      <c r="B20" s="32"/>
      <c r="C20" s="32"/>
      <c r="D20" s="33"/>
    </row>
    <row r="21" spans="1:4" ht="15" customHeight="1" x14ac:dyDescent="0.2">
      <c r="A21" s="34"/>
      <c r="B21" s="35"/>
      <c r="C21" s="35"/>
      <c r="D21" s="36"/>
    </row>
    <row r="22" spans="1:4" ht="15" customHeight="1" x14ac:dyDescent="0.2">
      <c r="A22" s="37"/>
      <c r="B22" s="38"/>
      <c r="C22" s="38"/>
      <c r="D22" s="39"/>
    </row>
  </sheetData>
  <mergeCells count="4">
    <mergeCell ref="A1:D1"/>
    <mergeCell ref="A20:D22"/>
    <mergeCell ref="A3:D3"/>
    <mergeCell ref="A11:D1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D7D31"/>
  </sheetPr>
  <dimension ref="A1:L23"/>
  <sheetViews>
    <sheetView zoomScaleNormal="100" workbookViewId="0">
      <pane xSplit="1" ySplit="3" topLeftCell="B4" activePane="bottomRight" state="frozen"/>
      <selection pane="topRight" activeCell="B1" sqref="B1"/>
      <selection pane="bottomLeft" activeCell="A4" sqref="A4"/>
      <selection pane="bottomRight" sqref="A1:I1"/>
    </sheetView>
  </sheetViews>
  <sheetFormatPr baseColWidth="10" defaultColWidth="8.6640625" defaultRowHeight="15" x14ac:dyDescent="0.2"/>
  <cols>
    <col min="1" max="1" width="11" customWidth="1"/>
    <col min="2" max="2" width="30" customWidth="1"/>
    <col min="3" max="3" width="24" customWidth="1"/>
    <col min="4" max="4" width="16" customWidth="1"/>
    <col min="5" max="5" width="15" customWidth="1"/>
    <col min="6" max="6" width="20" customWidth="1"/>
    <col min="7" max="7" width="16" customWidth="1"/>
    <col min="8" max="8" width="14" customWidth="1"/>
    <col min="9" max="9" width="30" customWidth="1"/>
  </cols>
  <sheetData>
    <row r="1" spans="1:12" ht="15" customHeight="1" x14ac:dyDescent="0.2">
      <c r="A1" s="40" t="s">
        <v>8731</v>
      </c>
      <c r="B1" s="41"/>
      <c r="C1" s="41"/>
      <c r="D1" s="41"/>
      <c r="E1" s="41"/>
      <c r="F1" s="41"/>
      <c r="G1" s="41"/>
      <c r="H1" s="41"/>
      <c r="I1" s="42"/>
    </row>
    <row r="3" spans="1:12" ht="15" customHeight="1" x14ac:dyDescent="0.2">
      <c r="A3" s="6" t="s">
        <v>1146</v>
      </c>
      <c r="B3" s="6" t="s">
        <v>19</v>
      </c>
      <c r="C3" s="6" t="s">
        <v>1138</v>
      </c>
      <c r="D3" s="6" t="s">
        <v>8732</v>
      </c>
      <c r="E3" s="6" t="s">
        <v>8733</v>
      </c>
      <c r="F3" s="6" t="s">
        <v>8734</v>
      </c>
      <c r="G3" s="6" t="s">
        <v>8735</v>
      </c>
      <c r="H3" s="6" t="s">
        <v>8736</v>
      </c>
      <c r="I3" s="6" t="s">
        <v>195</v>
      </c>
      <c r="J3" t="s">
        <v>8737</v>
      </c>
      <c r="K3" t="s">
        <v>8738</v>
      </c>
      <c r="L3" t="s">
        <v>8739</v>
      </c>
    </row>
    <row r="4" spans="1:12" ht="23.25" customHeight="1" x14ac:dyDescent="0.2">
      <c r="A4" s="9" t="s">
        <v>1186</v>
      </c>
      <c r="B4" s="9" t="s">
        <v>1179</v>
      </c>
      <c r="C4" s="9" t="s">
        <v>8740</v>
      </c>
      <c r="D4" s="9" t="s">
        <v>8741</v>
      </c>
      <c r="E4" s="9" t="s">
        <v>1181</v>
      </c>
      <c r="F4" s="9" t="s">
        <v>8742</v>
      </c>
      <c r="G4" s="9" t="s">
        <v>8743</v>
      </c>
      <c r="H4" s="9" t="s">
        <v>8744</v>
      </c>
      <c r="I4" s="9" t="s">
        <v>8745</v>
      </c>
      <c r="J4" t="s">
        <v>8746</v>
      </c>
      <c r="K4" t="s">
        <v>8747</v>
      </c>
      <c r="L4" t="s">
        <v>8748</v>
      </c>
    </row>
    <row r="5" spans="1:12" ht="23.25" customHeight="1" x14ac:dyDescent="0.2">
      <c r="A5" s="9" t="s">
        <v>1197</v>
      </c>
      <c r="B5" s="9" t="s">
        <v>8749</v>
      </c>
      <c r="C5" s="9" t="s">
        <v>8750</v>
      </c>
      <c r="D5" s="9" t="s">
        <v>8741</v>
      </c>
      <c r="E5" s="9" t="s">
        <v>8751</v>
      </c>
      <c r="F5" s="9" t="s">
        <v>8752</v>
      </c>
      <c r="G5" s="9" t="s">
        <v>8753</v>
      </c>
      <c r="H5" s="9" t="s">
        <v>8744</v>
      </c>
      <c r="I5" s="9" t="s">
        <v>8754</v>
      </c>
      <c r="J5" t="s">
        <v>8746</v>
      </c>
      <c r="K5" t="s">
        <v>8755</v>
      </c>
      <c r="L5" t="s">
        <v>1227</v>
      </c>
    </row>
    <row r="6" spans="1:12" ht="23.25" customHeight="1" x14ac:dyDescent="0.2">
      <c r="A6" s="9" t="s">
        <v>1176</v>
      </c>
      <c r="B6" s="9" t="s">
        <v>8756</v>
      </c>
      <c r="C6" s="9" t="s">
        <v>8757</v>
      </c>
      <c r="D6" s="9" t="s">
        <v>8741</v>
      </c>
      <c r="E6" s="9" t="s">
        <v>1171</v>
      </c>
      <c r="F6" s="9" t="s">
        <v>8758</v>
      </c>
      <c r="G6" s="9" t="s">
        <v>8759</v>
      </c>
      <c r="H6" s="9" t="s">
        <v>8760</v>
      </c>
      <c r="I6" s="9" t="s">
        <v>8761</v>
      </c>
      <c r="J6" t="s">
        <v>8762</v>
      </c>
      <c r="K6" t="s">
        <v>8763</v>
      </c>
      <c r="L6" t="s">
        <v>8764</v>
      </c>
    </row>
    <row r="7" spans="1:12" ht="23.25" customHeight="1" x14ac:dyDescent="0.2">
      <c r="A7" s="9" t="s">
        <v>1212</v>
      </c>
      <c r="B7" s="9" t="s">
        <v>8765</v>
      </c>
      <c r="C7" s="9" t="s">
        <v>8766</v>
      </c>
      <c r="D7" s="9" t="s">
        <v>8767</v>
      </c>
      <c r="E7" s="9" t="s">
        <v>1206</v>
      </c>
      <c r="F7" s="9" t="s">
        <v>8768</v>
      </c>
      <c r="G7" s="9" t="s">
        <v>8769</v>
      </c>
      <c r="H7" s="9" t="s">
        <v>8770</v>
      </c>
      <c r="I7" s="9" t="s">
        <v>8771</v>
      </c>
      <c r="J7" t="s">
        <v>1210</v>
      </c>
      <c r="K7" t="s">
        <v>8772</v>
      </c>
      <c r="L7" t="s">
        <v>1205</v>
      </c>
    </row>
    <row r="8" spans="1:12" ht="23.25" customHeight="1" x14ac:dyDescent="0.2">
      <c r="A8" s="9" t="s">
        <v>1221</v>
      </c>
      <c r="B8" s="9" t="s">
        <v>8773</v>
      </c>
      <c r="C8" s="9" t="s">
        <v>8774</v>
      </c>
      <c r="D8" s="9" t="s">
        <v>8767</v>
      </c>
      <c r="E8" s="9" t="s">
        <v>1216</v>
      </c>
      <c r="F8" s="9" t="s">
        <v>8775</v>
      </c>
      <c r="G8" s="9" t="s">
        <v>8776</v>
      </c>
      <c r="H8" s="9" t="s">
        <v>8777</v>
      </c>
      <c r="I8" s="9" t="s">
        <v>8778</v>
      </c>
      <c r="J8" t="s">
        <v>8779</v>
      </c>
      <c r="K8" t="s">
        <v>8780</v>
      </c>
      <c r="L8" t="s">
        <v>8781</v>
      </c>
    </row>
    <row r="9" spans="1:12" ht="23.25" customHeight="1" x14ac:dyDescent="0.2">
      <c r="A9" s="9" t="s">
        <v>1157</v>
      </c>
      <c r="B9" s="9" t="s">
        <v>8782</v>
      </c>
      <c r="C9" s="9" t="s">
        <v>1152</v>
      </c>
      <c r="D9" s="9" t="s">
        <v>8783</v>
      </c>
      <c r="E9" s="9" t="s">
        <v>1151</v>
      </c>
      <c r="F9" s="9" t="s">
        <v>1148</v>
      </c>
      <c r="G9" s="9" t="s">
        <v>8784</v>
      </c>
      <c r="H9" s="9" t="s">
        <v>8760</v>
      </c>
      <c r="I9" s="9" t="s">
        <v>8785</v>
      </c>
      <c r="J9" t="s">
        <v>8786</v>
      </c>
      <c r="K9" t="s">
        <v>8787</v>
      </c>
      <c r="L9" t="s">
        <v>8788</v>
      </c>
    </row>
    <row r="10" spans="1:12" ht="23.25" customHeight="1" x14ac:dyDescent="0.2">
      <c r="A10" s="9" t="s">
        <v>8789</v>
      </c>
      <c r="B10" s="9" t="s">
        <v>8790</v>
      </c>
      <c r="C10" s="9" t="s">
        <v>8791</v>
      </c>
      <c r="D10" s="9" t="s">
        <v>8792</v>
      </c>
      <c r="E10" s="9" t="s">
        <v>8793</v>
      </c>
      <c r="F10" s="9" t="s">
        <v>8794</v>
      </c>
      <c r="G10" s="9" t="s">
        <v>8795</v>
      </c>
      <c r="H10" s="9" t="s">
        <v>8796</v>
      </c>
      <c r="I10" s="9" t="s">
        <v>8797</v>
      </c>
      <c r="J10" t="s">
        <v>8798</v>
      </c>
      <c r="K10" t="s">
        <v>8799</v>
      </c>
      <c r="L10" t="s">
        <v>8800</v>
      </c>
    </row>
    <row r="11" spans="1:12" x14ac:dyDescent="0.2">
      <c r="A11" t="s">
        <v>1285</v>
      </c>
      <c r="B11" t="s">
        <v>8801</v>
      </c>
      <c r="C11" t="s">
        <v>8802</v>
      </c>
      <c r="D11" t="s">
        <v>8803</v>
      </c>
      <c r="E11" t="s">
        <v>1280</v>
      </c>
      <c r="F11" t="s">
        <v>8804</v>
      </c>
      <c r="G11" t="s">
        <v>8805</v>
      </c>
      <c r="H11" t="s">
        <v>8744</v>
      </c>
      <c r="I11" t="s">
        <v>8806</v>
      </c>
      <c r="J11" t="s">
        <v>8807</v>
      </c>
      <c r="K11" t="s">
        <v>8808</v>
      </c>
      <c r="L11" t="s">
        <v>1281</v>
      </c>
    </row>
    <row r="12" spans="1:12" x14ac:dyDescent="0.2">
      <c r="A12" t="s">
        <v>1411</v>
      </c>
      <c r="B12" t="s">
        <v>8809</v>
      </c>
      <c r="C12" t="s">
        <v>8810</v>
      </c>
      <c r="D12" t="s">
        <v>8767</v>
      </c>
      <c r="E12" t="s">
        <v>1406</v>
      </c>
      <c r="F12" t="s">
        <v>8811</v>
      </c>
      <c r="G12" t="s">
        <v>8812</v>
      </c>
      <c r="H12" t="s">
        <v>8813</v>
      </c>
      <c r="I12" t="s">
        <v>8814</v>
      </c>
      <c r="J12" t="s">
        <v>8815</v>
      </c>
      <c r="K12" t="s">
        <v>8816</v>
      </c>
      <c r="L12" t="s">
        <v>8764</v>
      </c>
    </row>
    <row r="13" spans="1:12" x14ac:dyDescent="0.2">
      <c r="A13" t="s">
        <v>1231</v>
      </c>
      <c r="B13" t="s">
        <v>8817</v>
      </c>
      <c r="C13" t="s">
        <v>8818</v>
      </c>
      <c r="D13" t="s">
        <v>8803</v>
      </c>
      <c r="E13" t="s">
        <v>8819</v>
      </c>
      <c r="F13" t="s">
        <v>8820</v>
      </c>
      <c r="G13" t="s">
        <v>8821</v>
      </c>
      <c r="H13" t="s">
        <v>8813</v>
      </c>
      <c r="I13" t="s">
        <v>8822</v>
      </c>
      <c r="J13" t="s">
        <v>8823</v>
      </c>
      <c r="K13" t="s">
        <v>8824</v>
      </c>
      <c r="L13" t="s">
        <v>1227</v>
      </c>
    </row>
    <row r="14" spans="1:12" x14ac:dyDescent="0.2">
      <c r="A14" t="s">
        <v>1322</v>
      </c>
      <c r="B14" t="s">
        <v>8825</v>
      </c>
      <c r="C14" t="s">
        <v>8826</v>
      </c>
      <c r="D14" t="s">
        <v>8803</v>
      </c>
      <c r="E14" t="s">
        <v>8827</v>
      </c>
      <c r="F14" t="s">
        <v>8828</v>
      </c>
      <c r="G14" t="s">
        <v>8829</v>
      </c>
      <c r="H14" t="s">
        <v>8760</v>
      </c>
      <c r="I14" t="s">
        <v>8830</v>
      </c>
      <c r="J14" t="s">
        <v>8831</v>
      </c>
      <c r="K14" t="s">
        <v>8832</v>
      </c>
      <c r="L14" t="s">
        <v>1318</v>
      </c>
    </row>
    <row r="15" spans="1:12" x14ac:dyDescent="0.2">
      <c r="A15" t="s">
        <v>1310</v>
      </c>
      <c r="B15" t="s">
        <v>8833</v>
      </c>
      <c r="C15" t="s">
        <v>8834</v>
      </c>
      <c r="D15" t="s">
        <v>8803</v>
      </c>
      <c r="E15" t="s">
        <v>8835</v>
      </c>
      <c r="F15" t="s">
        <v>8836</v>
      </c>
      <c r="G15" t="s">
        <v>8829</v>
      </c>
      <c r="H15" t="s">
        <v>8760</v>
      </c>
      <c r="I15" t="s">
        <v>8837</v>
      </c>
      <c r="J15" t="s">
        <v>8838</v>
      </c>
      <c r="K15" t="s">
        <v>8839</v>
      </c>
      <c r="L15" t="s">
        <v>8840</v>
      </c>
    </row>
    <row r="16" spans="1:12" x14ac:dyDescent="0.2">
      <c r="A16" t="s">
        <v>1302</v>
      </c>
      <c r="B16" t="s">
        <v>8841</v>
      </c>
      <c r="C16" t="s">
        <v>8842</v>
      </c>
      <c r="D16" t="s">
        <v>8803</v>
      </c>
      <c r="E16" t="s">
        <v>8843</v>
      </c>
      <c r="F16" t="s">
        <v>8752</v>
      </c>
      <c r="G16" t="s">
        <v>8759</v>
      </c>
      <c r="H16" t="s">
        <v>8760</v>
      </c>
      <c r="I16" t="s">
        <v>8844</v>
      </c>
      <c r="J16" t="s">
        <v>8845</v>
      </c>
      <c r="K16" t="s">
        <v>8846</v>
      </c>
      <c r="L16" t="s">
        <v>8842</v>
      </c>
    </row>
    <row r="17" spans="1:12" x14ac:dyDescent="0.2">
      <c r="A17" t="s">
        <v>1397</v>
      </c>
      <c r="B17" t="s">
        <v>8847</v>
      </c>
      <c r="C17" t="s">
        <v>8740</v>
      </c>
      <c r="D17" t="s">
        <v>8741</v>
      </c>
      <c r="E17" t="s">
        <v>8848</v>
      </c>
      <c r="F17" t="s">
        <v>8752</v>
      </c>
      <c r="G17" t="s">
        <v>8849</v>
      </c>
      <c r="H17" t="s">
        <v>8760</v>
      </c>
      <c r="I17" t="s">
        <v>8850</v>
      </c>
      <c r="J17" t="s">
        <v>8746</v>
      </c>
      <c r="K17" t="s">
        <v>8851</v>
      </c>
      <c r="L17" t="s">
        <v>8748</v>
      </c>
    </row>
    <row r="18" spans="1:12" x14ac:dyDescent="0.2">
      <c r="A18" t="s">
        <v>8852</v>
      </c>
      <c r="B18" t="s">
        <v>8853</v>
      </c>
      <c r="C18" t="s">
        <v>8854</v>
      </c>
      <c r="D18" t="s">
        <v>8803</v>
      </c>
      <c r="E18" t="s">
        <v>8855</v>
      </c>
      <c r="F18" t="s">
        <v>8752</v>
      </c>
      <c r="G18" t="s">
        <v>8829</v>
      </c>
      <c r="H18" t="s">
        <v>8760</v>
      </c>
      <c r="I18" t="s">
        <v>8856</v>
      </c>
      <c r="J18" t="s">
        <v>8857</v>
      </c>
      <c r="K18" t="s">
        <v>8858</v>
      </c>
      <c r="L18" t="s">
        <v>8859</v>
      </c>
    </row>
    <row r="19" spans="1:12" x14ac:dyDescent="0.2">
      <c r="A19" t="s">
        <v>1508</v>
      </c>
      <c r="B19" t="s">
        <v>8860</v>
      </c>
      <c r="C19" t="s">
        <v>8861</v>
      </c>
      <c r="D19" t="s">
        <v>8803</v>
      </c>
      <c r="E19" t="s">
        <v>8862</v>
      </c>
      <c r="F19" t="s">
        <v>8752</v>
      </c>
      <c r="G19" t="s">
        <v>8829</v>
      </c>
      <c r="H19" t="s">
        <v>8760</v>
      </c>
      <c r="I19" t="s">
        <v>8863</v>
      </c>
      <c r="J19" t="s">
        <v>8864</v>
      </c>
      <c r="K19" t="s">
        <v>8865</v>
      </c>
      <c r="L19" t="s">
        <v>8866</v>
      </c>
    </row>
    <row r="20" spans="1:12" x14ac:dyDescent="0.2">
      <c r="A20" t="s">
        <v>1440</v>
      </c>
      <c r="B20" t="s">
        <v>8867</v>
      </c>
      <c r="C20" t="s">
        <v>8868</v>
      </c>
      <c r="D20" t="s">
        <v>8869</v>
      </c>
      <c r="E20" t="s">
        <v>8870</v>
      </c>
      <c r="F20" t="s">
        <v>8871</v>
      </c>
      <c r="G20" t="s">
        <v>8872</v>
      </c>
      <c r="H20" t="s">
        <v>8813</v>
      </c>
      <c r="I20" t="s">
        <v>8873</v>
      </c>
      <c r="J20" t="s">
        <v>8874</v>
      </c>
      <c r="K20" t="s">
        <v>8875</v>
      </c>
      <c r="L20" t="s">
        <v>8876</v>
      </c>
    </row>
    <row r="21" spans="1:12" x14ac:dyDescent="0.2">
      <c r="A21" t="s">
        <v>1472</v>
      </c>
      <c r="B21" t="s">
        <v>8877</v>
      </c>
      <c r="C21" t="s">
        <v>8818</v>
      </c>
      <c r="D21" t="s">
        <v>8767</v>
      </c>
      <c r="E21" t="s">
        <v>8878</v>
      </c>
      <c r="F21" t="s">
        <v>8879</v>
      </c>
      <c r="G21" t="s">
        <v>8880</v>
      </c>
      <c r="H21" t="s">
        <v>8881</v>
      </c>
      <c r="I21" t="s">
        <v>8882</v>
      </c>
      <c r="J21" t="s">
        <v>8883</v>
      </c>
      <c r="K21" t="s">
        <v>8884</v>
      </c>
      <c r="L21" t="s">
        <v>1227</v>
      </c>
    </row>
    <row r="22" spans="1:12" x14ac:dyDescent="0.2">
      <c r="A22" t="s">
        <v>1479</v>
      </c>
      <c r="B22" t="s">
        <v>8885</v>
      </c>
      <c r="C22" t="s">
        <v>8886</v>
      </c>
      <c r="D22" t="s">
        <v>8803</v>
      </c>
      <c r="E22" t="s">
        <v>8887</v>
      </c>
      <c r="F22" t="s">
        <v>8752</v>
      </c>
      <c r="G22" t="s">
        <v>8829</v>
      </c>
      <c r="H22" t="s">
        <v>8760</v>
      </c>
      <c r="I22" t="s">
        <v>8888</v>
      </c>
      <c r="J22" t="s">
        <v>8889</v>
      </c>
      <c r="K22" t="s">
        <v>8890</v>
      </c>
      <c r="L22" t="s">
        <v>8764</v>
      </c>
    </row>
    <row r="23" spans="1:12" x14ac:dyDescent="0.2">
      <c r="A23" t="s">
        <v>1166</v>
      </c>
      <c r="B23" t="s">
        <v>8891</v>
      </c>
      <c r="C23" t="s">
        <v>8892</v>
      </c>
      <c r="D23" t="s">
        <v>8893</v>
      </c>
      <c r="E23" t="s">
        <v>8894</v>
      </c>
      <c r="F23" t="s">
        <v>8895</v>
      </c>
      <c r="G23" t="s">
        <v>8896</v>
      </c>
      <c r="H23" t="s">
        <v>8897</v>
      </c>
      <c r="I23" t="s">
        <v>8898</v>
      </c>
      <c r="J23" t="s">
        <v>8899</v>
      </c>
      <c r="K23" t="s">
        <v>8900</v>
      </c>
      <c r="L23" t="s">
        <v>8901</v>
      </c>
    </row>
  </sheetData>
  <mergeCells count="1">
    <mergeCell ref="A1:I1"/>
  </mergeCells>
  <dataValidations count="3">
    <dataValidation type="list" allowBlank="1" sqref="D2:D400" xr:uid="{00000000-0002-0000-0900-000000000000}">
      <formula1>"In scope - core,In scope - counter-archive,Reference only (not authority),OUT of scope - period,OUT of scope - other"</formula1>
      <formula2>0</formula2>
    </dataValidation>
    <dataValidation type="list" allowBlank="1" sqref="G2:G400" xr:uid="{00000000-0002-0000-0900-000001000000}">
      <formula1>"Onsite + partial online,Onsite,Digitized (selected),Fully digitized,Restricted,Unknown"</formula1>
      <formula2>0</formula2>
    </dataValidation>
    <dataValidation type="list" allowBlank="1" sqref="H2:H400" xr:uid="{00000000-0002-0000-0900-000002000000}">
      <formula1>"Full,Partial,Minimal,Unknown"</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D7D31"/>
  </sheetPr>
  <dimension ref="A1:G27"/>
  <sheetViews>
    <sheetView zoomScaleNormal="100" workbookViewId="0">
      <pane xSplit="1" ySplit="3" topLeftCell="B4" activePane="bottomRight" state="frozen"/>
      <selection pane="topRight" activeCell="B1" sqref="B1"/>
      <selection pane="bottomLeft" activeCell="A4" sqref="A4"/>
      <selection pane="bottomRight" sqref="A1:G1"/>
    </sheetView>
  </sheetViews>
  <sheetFormatPr baseColWidth="10" defaultColWidth="8.6640625" defaultRowHeight="15" x14ac:dyDescent="0.2"/>
  <cols>
    <col min="1" max="1" width="30" customWidth="1"/>
    <col min="2" max="2" width="12" customWidth="1"/>
    <col min="3" max="3" width="13" customWidth="1"/>
    <col min="4" max="4" width="11" customWidth="1"/>
    <col min="5" max="5" width="14" customWidth="1"/>
    <col min="6" max="6" width="15" customWidth="1"/>
    <col min="7" max="7" width="34" customWidth="1"/>
  </cols>
  <sheetData>
    <row r="1" spans="1:7" ht="30" customHeight="1" x14ac:dyDescent="0.2">
      <c r="A1" s="40" t="s">
        <v>8902</v>
      </c>
      <c r="B1" s="41"/>
      <c r="C1" s="41"/>
      <c r="D1" s="41"/>
      <c r="E1" s="41"/>
      <c r="F1" s="41"/>
      <c r="G1" s="42"/>
    </row>
    <row r="3" spans="1:7" ht="23.25" customHeight="1" x14ac:dyDescent="0.2">
      <c r="A3" s="6" t="s">
        <v>8903</v>
      </c>
      <c r="B3" s="6" t="s">
        <v>1146</v>
      </c>
      <c r="C3" s="6" t="s">
        <v>8904</v>
      </c>
      <c r="D3" s="6" t="s">
        <v>8905</v>
      </c>
      <c r="E3" s="6" t="s">
        <v>8906</v>
      </c>
      <c r="F3" s="6" t="s">
        <v>8907</v>
      </c>
      <c r="G3" s="6" t="s">
        <v>195</v>
      </c>
    </row>
    <row r="4" spans="1:7" ht="23.25" customHeight="1" x14ac:dyDescent="0.2">
      <c r="A4" s="9" t="s">
        <v>8908</v>
      </c>
      <c r="B4" s="9" t="s">
        <v>1197</v>
      </c>
      <c r="C4" s="9" t="s">
        <v>1426</v>
      </c>
      <c r="D4" s="9" t="s">
        <v>1426</v>
      </c>
      <c r="E4" s="9" t="s">
        <v>8909</v>
      </c>
      <c r="F4" s="9" t="s">
        <v>8751</v>
      </c>
      <c r="G4" s="9" t="s">
        <v>8910</v>
      </c>
    </row>
    <row r="5" spans="1:7" ht="23.25" customHeight="1" x14ac:dyDescent="0.2">
      <c r="A5" s="9" t="s">
        <v>8908</v>
      </c>
      <c r="B5" s="9" t="s">
        <v>1186</v>
      </c>
      <c r="C5" s="9" t="s">
        <v>1426</v>
      </c>
      <c r="D5" s="9" t="s">
        <v>8744</v>
      </c>
      <c r="E5" s="9" t="s">
        <v>8744</v>
      </c>
      <c r="F5" s="9" t="s">
        <v>8911</v>
      </c>
      <c r="G5" s="9" t="s">
        <v>8912</v>
      </c>
    </row>
    <row r="6" spans="1:7" ht="15" customHeight="1" x14ac:dyDescent="0.2">
      <c r="A6" s="9" t="s">
        <v>8908</v>
      </c>
      <c r="B6" s="9" t="s">
        <v>1221</v>
      </c>
      <c r="C6" s="9" t="s">
        <v>1426</v>
      </c>
      <c r="D6" s="9" t="s">
        <v>8744</v>
      </c>
      <c r="E6" s="9" t="s">
        <v>8744</v>
      </c>
      <c r="F6" s="9" t="s">
        <v>1216</v>
      </c>
      <c r="G6" s="9" t="s">
        <v>8913</v>
      </c>
    </row>
    <row r="7" spans="1:7" ht="23.25" customHeight="1" x14ac:dyDescent="0.2">
      <c r="A7" s="9" t="s">
        <v>8914</v>
      </c>
      <c r="B7" s="9" t="s">
        <v>1197</v>
      </c>
      <c r="C7" s="9" t="s">
        <v>1426</v>
      </c>
      <c r="D7" s="9" t="s">
        <v>1426</v>
      </c>
      <c r="E7" s="9" t="s">
        <v>8744</v>
      </c>
      <c r="F7" s="9" t="s">
        <v>8915</v>
      </c>
      <c r="G7" s="9" t="s">
        <v>8916</v>
      </c>
    </row>
    <row r="8" spans="1:7" ht="23.25" customHeight="1" x14ac:dyDescent="0.2">
      <c r="A8" s="9" t="s">
        <v>8914</v>
      </c>
      <c r="B8" s="9" t="s">
        <v>1212</v>
      </c>
      <c r="C8" s="9" t="s">
        <v>1426</v>
      </c>
      <c r="D8" s="9" t="s">
        <v>1487</v>
      </c>
      <c r="E8" s="9" t="s">
        <v>8917</v>
      </c>
      <c r="F8" s="9" t="s">
        <v>1153</v>
      </c>
      <c r="G8" s="9" t="s">
        <v>8918</v>
      </c>
    </row>
    <row r="9" spans="1:7" ht="23.25" customHeight="1" x14ac:dyDescent="0.2">
      <c r="A9" s="9" t="s">
        <v>6157</v>
      </c>
      <c r="B9" s="9" t="s">
        <v>1197</v>
      </c>
      <c r="C9" s="9" t="s">
        <v>8919</v>
      </c>
      <c r="D9" s="9" t="s">
        <v>1426</v>
      </c>
      <c r="E9" s="9" t="s">
        <v>8909</v>
      </c>
      <c r="F9" s="9" t="s">
        <v>8751</v>
      </c>
      <c r="G9" s="9" t="s">
        <v>8920</v>
      </c>
    </row>
    <row r="10" spans="1:7" ht="23.25" customHeight="1" x14ac:dyDescent="0.2">
      <c r="A10" s="9" t="s">
        <v>8921</v>
      </c>
      <c r="B10" s="9" t="s">
        <v>1197</v>
      </c>
      <c r="C10" s="9" t="s">
        <v>1426</v>
      </c>
      <c r="D10" s="9" t="s">
        <v>1426</v>
      </c>
      <c r="E10" s="9" t="s">
        <v>8922</v>
      </c>
      <c r="F10" s="9" t="s">
        <v>8751</v>
      </c>
      <c r="G10" s="9" t="s">
        <v>8923</v>
      </c>
    </row>
    <row r="11" spans="1:7" ht="15" customHeight="1" x14ac:dyDescent="0.2">
      <c r="A11" s="9" t="s">
        <v>8924</v>
      </c>
      <c r="B11" s="9" t="s">
        <v>1197</v>
      </c>
      <c r="C11" s="9" t="s">
        <v>1426</v>
      </c>
      <c r="D11" s="9" t="s">
        <v>1426</v>
      </c>
      <c r="E11" s="9" t="s">
        <v>8922</v>
      </c>
      <c r="F11" s="9" t="s">
        <v>8751</v>
      </c>
      <c r="G11" s="9" t="s">
        <v>8925</v>
      </c>
    </row>
    <row r="12" spans="1:7" ht="15" customHeight="1" x14ac:dyDescent="0.2">
      <c r="A12" s="9" t="s">
        <v>8926</v>
      </c>
      <c r="B12" s="9" t="s">
        <v>1176</v>
      </c>
      <c r="C12" s="9" t="s">
        <v>1426</v>
      </c>
      <c r="D12" s="9" t="s">
        <v>1426</v>
      </c>
      <c r="E12" s="9" t="s">
        <v>8922</v>
      </c>
      <c r="F12" s="9" t="s">
        <v>8927</v>
      </c>
      <c r="G12" s="9" t="s">
        <v>8928</v>
      </c>
    </row>
    <row r="13" spans="1:7" ht="15" customHeight="1" x14ac:dyDescent="0.2">
      <c r="A13" s="9" t="s">
        <v>8929</v>
      </c>
      <c r="B13" s="9" t="s">
        <v>1197</v>
      </c>
      <c r="C13" s="9" t="s">
        <v>1426</v>
      </c>
      <c r="D13" s="9" t="s">
        <v>1426</v>
      </c>
      <c r="E13" s="9" t="s">
        <v>8922</v>
      </c>
      <c r="F13" s="9" t="s">
        <v>8751</v>
      </c>
      <c r="G13" s="9" t="s">
        <v>8930</v>
      </c>
    </row>
    <row r="14" spans="1:7" ht="15" customHeight="1" x14ac:dyDescent="0.2">
      <c r="A14" s="9" t="s">
        <v>8931</v>
      </c>
      <c r="B14" s="9" t="s">
        <v>1197</v>
      </c>
      <c r="C14" s="9" t="s">
        <v>1426</v>
      </c>
      <c r="D14" s="9" t="s">
        <v>1426</v>
      </c>
      <c r="E14" s="9" t="s">
        <v>8909</v>
      </c>
      <c r="F14" s="9" t="s">
        <v>8751</v>
      </c>
      <c r="G14" s="9" t="s">
        <v>8932</v>
      </c>
    </row>
    <row r="15" spans="1:7" ht="15" customHeight="1" x14ac:dyDescent="0.2">
      <c r="A15" s="9" t="s">
        <v>8931</v>
      </c>
      <c r="B15" s="9" t="s">
        <v>1221</v>
      </c>
      <c r="C15" s="9" t="s">
        <v>1426</v>
      </c>
      <c r="D15" s="9" t="s">
        <v>8744</v>
      </c>
      <c r="E15" s="9" t="s">
        <v>8744</v>
      </c>
      <c r="F15" s="9" t="s">
        <v>8911</v>
      </c>
      <c r="G15" s="9" t="s">
        <v>8933</v>
      </c>
    </row>
    <row r="16" spans="1:7" ht="15" customHeight="1" x14ac:dyDescent="0.2">
      <c r="A16" s="9" t="s">
        <v>8934</v>
      </c>
      <c r="B16" s="9" t="s">
        <v>1197</v>
      </c>
      <c r="C16" s="9" t="s">
        <v>8919</v>
      </c>
      <c r="D16" s="9" t="s">
        <v>1426</v>
      </c>
      <c r="E16" s="9" t="s">
        <v>8909</v>
      </c>
      <c r="F16" s="9" t="s">
        <v>8751</v>
      </c>
      <c r="G16" s="9" t="s">
        <v>8935</v>
      </c>
    </row>
    <row r="17" spans="1:7" ht="15" customHeight="1" x14ac:dyDescent="0.2">
      <c r="A17" s="9" t="s">
        <v>8936</v>
      </c>
      <c r="B17" s="9" t="s">
        <v>1221</v>
      </c>
      <c r="C17" s="9" t="s">
        <v>1426</v>
      </c>
      <c r="D17" s="9" t="s">
        <v>8744</v>
      </c>
      <c r="E17" s="9" t="s">
        <v>8744</v>
      </c>
      <c r="F17" s="9" t="s">
        <v>8911</v>
      </c>
      <c r="G17" s="9" t="s">
        <v>8937</v>
      </c>
    </row>
    <row r="19" spans="1:7" ht="15" customHeight="1" x14ac:dyDescent="0.2">
      <c r="A19" s="31" t="s">
        <v>8938</v>
      </c>
      <c r="B19" s="32"/>
      <c r="C19" s="32"/>
      <c r="D19" s="32"/>
      <c r="E19" s="32"/>
      <c r="F19" s="32"/>
      <c r="G19" s="33"/>
    </row>
    <row r="20" spans="1:7" ht="15" customHeight="1" x14ac:dyDescent="0.2">
      <c r="A20" s="34"/>
      <c r="B20" s="35"/>
      <c r="C20" s="35"/>
      <c r="D20" s="35"/>
      <c r="E20" s="35"/>
      <c r="F20" s="35"/>
      <c r="G20" s="36"/>
    </row>
    <row r="21" spans="1:7" ht="15" customHeight="1" x14ac:dyDescent="0.2">
      <c r="A21" s="37"/>
      <c r="B21" s="38"/>
      <c r="C21" s="38"/>
      <c r="D21" s="38"/>
      <c r="E21" s="38"/>
      <c r="F21" s="38"/>
      <c r="G21" s="39"/>
    </row>
    <row r="22" spans="1:7" x14ac:dyDescent="0.2">
      <c r="A22" t="s">
        <v>8939</v>
      </c>
      <c r="B22" t="s">
        <v>1197</v>
      </c>
      <c r="C22" t="s">
        <v>1426</v>
      </c>
      <c r="D22" t="s">
        <v>1426</v>
      </c>
      <c r="E22" t="s">
        <v>8744</v>
      </c>
      <c r="F22" t="s">
        <v>8751</v>
      </c>
      <c r="G22" t="s">
        <v>8940</v>
      </c>
    </row>
    <row r="23" spans="1:7" x14ac:dyDescent="0.2">
      <c r="A23" t="s">
        <v>8941</v>
      </c>
      <c r="B23" t="s">
        <v>1176</v>
      </c>
      <c r="C23" t="s">
        <v>1426</v>
      </c>
      <c r="D23" t="s">
        <v>1426</v>
      </c>
      <c r="E23" t="s">
        <v>8744</v>
      </c>
      <c r="F23" t="s">
        <v>1171</v>
      </c>
      <c r="G23" t="s">
        <v>8942</v>
      </c>
    </row>
    <row r="24" spans="1:7" x14ac:dyDescent="0.2">
      <c r="A24" t="s">
        <v>8943</v>
      </c>
      <c r="B24" t="s">
        <v>1176</v>
      </c>
      <c r="C24" t="s">
        <v>8919</v>
      </c>
      <c r="D24" t="s">
        <v>1426</v>
      </c>
      <c r="E24" t="s">
        <v>8744</v>
      </c>
      <c r="F24" t="s">
        <v>1171</v>
      </c>
      <c r="G24" t="s">
        <v>8944</v>
      </c>
    </row>
    <row r="25" spans="1:7" x14ac:dyDescent="0.2">
      <c r="A25" s="25" t="s">
        <v>8945</v>
      </c>
      <c r="B25" s="26" t="s">
        <v>1186</v>
      </c>
      <c r="C25" s="26" t="s">
        <v>1426</v>
      </c>
      <c r="D25" s="26" t="s">
        <v>1426</v>
      </c>
      <c r="E25" s="26" t="s">
        <v>8744</v>
      </c>
      <c r="F25" s="26" t="s">
        <v>8946</v>
      </c>
      <c r="G25" s="27" t="s">
        <v>8947</v>
      </c>
    </row>
    <row r="26" spans="1:7" x14ac:dyDescent="0.2">
      <c r="A26" t="s">
        <v>8945</v>
      </c>
      <c r="B26" t="s">
        <v>1285</v>
      </c>
      <c r="C26" t="s">
        <v>1426</v>
      </c>
      <c r="D26" t="s">
        <v>1426</v>
      </c>
      <c r="E26" t="s">
        <v>8744</v>
      </c>
      <c r="F26" t="s">
        <v>1280</v>
      </c>
      <c r="G26" t="s">
        <v>8948</v>
      </c>
    </row>
    <row r="27" spans="1:7" x14ac:dyDescent="0.2">
      <c r="A27" t="s">
        <v>8945</v>
      </c>
      <c r="B27" t="s">
        <v>1231</v>
      </c>
      <c r="C27" t="s">
        <v>1426</v>
      </c>
      <c r="D27" t="s">
        <v>1426</v>
      </c>
      <c r="E27" t="s">
        <v>8744</v>
      </c>
      <c r="F27" t="s">
        <v>1226</v>
      </c>
      <c r="G27" t="s">
        <v>8949</v>
      </c>
    </row>
  </sheetData>
  <mergeCells count="2">
    <mergeCell ref="A19:G21"/>
    <mergeCell ref="A1:G1"/>
  </mergeCells>
  <dataValidations count="3">
    <dataValidation type="list" allowBlank="1" sqref="C4:C200" xr:uid="{00000000-0002-0000-0A00-000000000000}">
      <formula1>"Yes,Maybe,No"</formula1>
      <formula2>0</formula2>
    </dataValidation>
    <dataValidation type="list" allowBlank="1" sqref="D4:D200" xr:uid="{00000000-0002-0000-0A00-000001000000}">
      <formula1>"Yes,Partial,No"</formula1>
      <formula2>0</formula2>
    </dataValidation>
    <dataValidation type="list" allowBlank="1" sqref="E4:E200" xr:uid="{00000000-0002-0000-0A00-000002000000}">
      <formula1>"Found,Partial,Absent,Not searched"</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D7D31"/>
  </sheetPr>
  <dimension ref="A1:G22"/>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x14ac:dyDescent="0.2"/>
  <cols>
    <col min="1" max="2" width="12" customWidth="1"/>
    <col min="3" max="3" width="15" customWidth="1"/>
    <col min="4" max="4" width="13" customWidth="1"/>
    <col min="5" max="6" width="11" customWidth="1"/>
    <col min="7" max="7" width="34" customWidth="1"/>
  </cols>
  <sheetData>
    <row r="1" spans="1:7" ht="23.25" customHeight="1" x14ac:dyDescent="0.2">
      <c r="A1" s="6" t="s">
        <v>8950</v>
      </c>
      <c r="B1" s="6" t="s">
        <v>1566</v>
      </c>
      <c r="C1" s="6" t="s">
        <v>8951</v>
      </c>
      <c r="D1" s="6" t="s">
        <v>8952</v>
      </c>
      <c r="E1" s="6" t="s">
        <v>1575</v>
      </c>
      <c r="F1" s="6" t="s">
        <v>1576</v>
      </c>
      <c r="G1" s="6" t="s">
        <v>8953</v>
      </c>
    </row>
    <row r="2" spans="1:7" ht="15" customHeight="1" x14ac:dyDescent="0.2">
      <c r="A2" s="9" t="s">
        <v>8954</v>
      </c>
      <c r="B2" s="9" t="s">
        <v>288</v>
      </c>
      <c r="C2" s="9" t="s">
        <v>8955</v>
      </c>
      <c r="D2" s="9" t="s">
        <v>252</v>
      </c>
      <c r="E2" s="9" t="s">
        <v>291</v>
      </c>
      <c r="F2" s="9" t="s">
        <v>292</v>
      </c>
      <c r="G2" s="9" t="s">
        <v>8956</v>
      </c>
    </row>
    <row r="3" spans="1:7" ht="15" customHeight="1" x14ac:dyDescent="0.2">
      <c r="A3" s="9" t="s">
        <v>8957</v>
      </c>
      <c r="B3" s="9" t="s">
        <v>295</v>
      </c>
      <c r="C3" s="9" t="s">
        <v>8955</v>
      </c>
      <c r="D3" s="9" t="s">
        <v>252</v>
      </c>
      <c r="E3" s="9" t="s">
        <v>291</v>
      </c>
      <c r="F3" s="9" t="s">
        <v>292</v>
      </c>
      <c r="G3" s="9" t="s">
        <v>8958</v>
      </c>
    </row>
    <row r="4" spans="1:7" ht="15" customHeight="1" x14ac:dyDescent="0.2">
      <c r="A4" s="9" t="s">
        <v>8959</v>
      </c>
      <c r="B4" s="9" t="s">
        <v>696</v>
      </c>
      <c r="C4" s="9" t="s">
        <v>8955</v>
      </c>
      <c r="D4" s="9" t="s">
        <v>252</v>
      </c>
      <c r="E4" s="9" t="s">
        <v>302</v>
      </c>
      <c r="F4" s="9" t="s">
        <v>292</v>
      </c>
      <c r="G4" s="9" t="s">
        <v>8960</v>
      </c>
    </row>
    <row r="5" spans="1:7" ht="15" customHeight="1" x14ac:dyDescent="0.2">
      <c r="A5" s="9" t="s">
        <v>8961</v>
      </c>
      <c r="B5" s="9" t="s">
        <v>306</v>
      </c>
      <c r="C5" s="9" t="s">
        <v>8955</v>
      </c>
      <c r="D5" s="9" t="s">
        <v>252</v>
      </c>
      <c r="E5" s="9" t="s">
        <v>310</v>
      </c>
      <c r="F5" s="9" t="s">
        <v>292</v>
      </c>
      <c r="G5" s="9" t="s">
        <v>8962</v>
      </c>
    </row>
    <row r="6" spans="1:7" ht="15" customHeight="1" x14ac:dyDescent="0.2">
      <c r="A6" s="9" t="s">
        <v>8963</v>
      </c>
      <c r="B6" s="9" t="s">
        <v>313</v>
      </c>
      <c r="C6" s="9" t="s">
        <v>8955</v>
      </c>
      <c r="D6" s="9" t="s">
        <v>252</v>
      </c>
      <c r="E6" s="9" t="s">
        <v>310</v>
      </c>
      <c r="F6" s="9" t="s">
        <v>292</v>
      </c>
      <c r="G6" s="9" t="s">
        <v>8964</v>
      </c>
    </row>
    <row r="7" spans="1:7" ht="15" customHeight="1" x14ac:dyDescent="0.2">
      <c r="A7" s="9" t="s">
        <v>8965</v>
      </c>
      <c r="B7" s="9" t="s">
        <v>316</v>
      </c>
      <c r="C7" s="9" t="s">
        <v>8955</v>
      </c>
      <c r="D7" s="9" t="s">
        <v>252</v>
      </c>
      <c r="E7" s="9" t="s">
        <v>320</v>
      </c>
      <c r="F7" s="9" t="s">
        <v>292</v>
      </c>
      <c r="G7" s="9" t="s">
        <v>8966</v>
      </c>
    </row>
    <row r="8" spans="1:7" ht="23.25" customHeight="1" x14ac:dyDescent="0.2">
      <c r="A8" s="9"/>
      <c r="B8" s="9" t="s">
        <v>252</v>
      </c>
      <c r="C8" s="9" t="s">
        <v>8967</v>
      </c>
      <c r="D8" s="9" t="s">
        <v>322</v>
      </c>
      <c r="E8" s="9" t="s">
        <v>292</v>
      </c>
      <c r="F8" s="9" t="s">
        <v>8968</v>
      </c>
      <c r="G8" s="9" t="s">
        <v>8969</v>
      </c>
    </row>
    <row r="9" spans="1:7" ht="23.25" customHeight="1" x14ac:dyDescent="0.2">
      <c r="A9" s="9"/>
      <c r="B9" s="9" t="s">
        <v>295</v>
      </c>
      <c r="C9" s="9" t="s">
        <v>8967</v>
      </c>
      <c r="D9" s="9" t="s">
        <v>330</v>
      </c>
      <c r="E9" s="9" t="s">
        <v>292</v>
      </c>
      <c r="F9" s="9" t="s">
        <v>334</v>
      </c>
      <c r="G9" s="9" t="s">
        <v>8970</v>
      </c>
    </row>
    <row r="10" spans="1:7" ht="15" customHeight="1" x14ac:dyDescent="0.2">
      <c r="A10" s="9"/>
      <c r="B10" s="9" t="s">
        <v>322</v>
      </c>
      <c r="C10" s="9" t="s">
        <v>8971</v>
      </c>
      <c r="D10" s="9" t="s">
        <v>330</v>
      </c>
      <c r="E10" s="9" t="s">
        <v>8972</v>
      </c>
      <c r="F10" s="9" t="s">
        <v>8972</v>
      </c>
      <c r="G10" s="9" t="s">
        <v>8973</v>
      </c>
    </row>
    <row r="11" spans="1:7" x14ac:dyDescent="0.2">
      <c r="A11" t="s">
        <v>8974</v>
      </c>
      <c r="B11" t="s">
        <v>367</v>
      </c>
      <c r="C11" t="s">
        <v>8967</v>
      </c>
      <c r="D11" t="s">
        <v>430</v>
      </c>
      <c r="E11" t="s">
        <v>1873</v>
      </c>
      <c r="G11" t="s">
        <v>8975</v>
      </c>
    </row>
    <row r="12" spans="1:7" x14ac:dyDescent="0.2">
      <c r="A12" t="s">
        <v>8976</v>
      </c>
      <c r="B12" t="s">
        <v>373</v>
      </c>
      <c r="C12" t="s">
        <v>8967</v>
      </c>
      <c r="D12" t="s">
        <v>866</v>
      </c>
      <c r="E12" t="s">
        <v>1873</v>
      </c>
      <c r="F12" t="s">
        <v>2027</v>
      </c>
      <c r="G12" t="s">
        <v>8977</v>
      </c>
    </row>
    <row r="13" spans="1:7" x14ac:dyDescent="0.2">
      <c r="A13" t="s">
        <v>8978</v>
      </c>
      <c r="B13" t="s">
        <v>871</v>
      </c>
      <c r="C13" t="s">
        <v>8955</v>
      </c>
      <c r="D13" t="s">
        <v>261</v>
      </c>
      <c r="E13">
        <v>1908</v>
      </c>
      <c r="F13">
        <v>1913</v>
      </c>
      <c r="G13" t="s">
        <v>8979</v>
      </c>
    </row>
    <row r="14" spans="1:7" x14ac:dyDescent="0.2">
      <c r="A14" t="s">
        <v>8980</v>
      </c>
      <c r="B14" t="s">
        <v>875</v>
      </c>
      <c r="C14" t="s">
        <v>8955</v>
      </c>
      <c r="D14" t="s">
        <v>252</v>
      </c>
      <c r="E14">
        <v>1907</v>
      </c>
      <c r="F14">
        <v>1913</v>
      </c>
      <c r="G14" t="s">
        <v>8981</v>
      </c>
    </row>
    <row r="15" spans="1:7" x14ac:dyDescent="0.2">
      <c r="A15" t="s">
        <v>8982</v>
      </c>
      <c r="B15" t="s">
        <v>879</v>
      </c>
      <c r="C15" t="s">
        <v>8955</v>
      </c>
      <c r="D15" t="s">
        <v>354</v>
      </c>
      <c r="E15">
        <v>1906</v>
      </c>
      <c r="F15">
        <v>1913</v>
      </c>
      <c r="G15" t="s">
        <v>8983</v>
      </c>
    </row>
    <row r="16" spans="1:7" x14ac:dyDescent="0.2">
      <c r="A16" t="s">
        <v>8984</v>
      </c>
      <c r="B16" t="s">
        <v>884</v>
      </c>
      <c r="C16" t="s">
        <v>8955</v>
      </c>
      <c r="D16" t="s">
        <v>198</v>
      </c>
      <c r="E16">
        <v>1911</v>
      </c>
      <c r="F16">
        <v>1913</v>
      </c>
      <c r="G16" t="s">
        <v>8985</v>
      </c>
    </row>
    <row r="17" spans="1:7" x14ac:dyDescent="0.2">
      <c r="A17" t="s">
        <v>8986</v>
      </c>
      <c r="B17" t="s">
        <v>888</v>
      </c>
      <c r="C17" t="s">
        <v>8955</v>
      </c>
      <c r="D17" t="s">
        <v>266</v>
      </c>
      <c r="E17">
        <v>1906</v>
      </c>
      <c r="F17">
        <v>1913</v>
      </c>
      <c r="G17" t="s">
        <v>8987</v>
      </c>
    </row>
    <row r="18" spans="1:7" x14ac:dyDescent="0.2">
      <c r="A18" t="s">
        <v>8988</v>
      </c>
      <c r="B18" t="s">
        <v>494</v>
      </c>
      <c r="C18" t="s">
        <v>8967</v>
      </c>
      <c r="D18" t="s">
        <v>902</v>
      </c>
      <c r="E18" t="s">
        <v>1059</v>
      </c>
      <c r="F18" t="s">
        <v>1928</v>
      </c>
      <c r="G18" t="s">
        <v>8989</v>
      </c>
    </row>
    <row r="19" spans="1:7" x14ac:dyDescent="0.2">
      <c r="A19" t="s">
        <v>8990</v>
      </c>
      <c r="B19" t="s">
        <v>907</v>
      </c>
      <c r="C19" t="s">
        <v>8967</v>
      </c>
      <c r="D19" t="s">
        <v>571</v>
      </c>
      <c r="E19" t="s">
        <v>1191</v>
      </c>
      <c r="F19" t="s">
        <v>2027</v>
      </c>
      <c r="G19" t="s">
        <v>8991</v>
      </c>
    </row>
    <row r="20" spans="1:7" x14ac:dyDescent="0.2">
      <c r="A20" t="s">
        <v>8992</v>
      </c>
      <c r="B20" t="s">
        <v>827</v>
      </c>
      <c r="C20" t="s">
        <v>8955</v>
      </c>
      <c r="D20" t="s">
        <v>966</v>
      </c>
      <c r="E20" t="s">
        <v>1430</v>
      </c>
      <c r="G20" t="s">
        <v>8993</v>
      </c>
    </row>
    <row r="21" spans="1:7" x14ac:dyDescent="0.2">
      <c r="A21" t="s">
        <v>8994</v>
      </c>
      <c r="B21" t="s">
        <v>998</v>
      </c>
      <c r="C21" t="s">
        <v>8967</v>
      </c>
      <c r="D21" t="s">
        <v>430</v>
      </c>
      <c r="E21" t="s">
        <v>361</v>
      </c>
      <c r="G21" t="s">
        <v>8995</v>
      </c>
    </row>
    <row r="22" spans="1:7" x14ac:dyDescent="0.2">
      <c r="A22" t="s">
        <v>8996</v>
      </c>
      <c r="B22" t="s">
        <v>1027</v>
      </c>
      <c r="C22" t="s">
        <v>8955</v>
      </c>
      <c r="D22" t="s">
        <v>245</v>
      </c>
      <c r="E22">
        <v>1906</v>
      </c>
      <c r="F22">
        <v>1913</v>
      </c>
      <c r="G22" t="s">
        <v>8997</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D7D31"/>
  </sheetPr>
  <dimension ref="A1:C28"/>
  <sheetViews>
    <sheetView zoomScaleNormal="100" workbookViewId="0"/>
  </sheetViews>
  <sheetFormatPr baseColWidth="10" defaultColWidth="8.6640625" defaultRowHeight="15" x14ac:dyDescent="0.2"/>
  <cols>
    <col min="1" max="1" width="24" customWidth="1"/>
    <col min="2" max="2" width="18" customWidth="1"/>
    <col min="3" max="3" width="16" customWidth="1"/>
  </cols>
  <sheetData>
    <row r="1" spans="1:3" ht="15" customHeight="1" x14ac:dyDescent="0.2">
      <c r="A1" s="6" t="s">
        <v>175</v>
      </c>
      <c r="B1" s="6" t="s">
        <v>20</v>
      </c>
      <c r="C1" s="6" t="s">
        <v>8951</v>
      </c>
    </row>
    <row r="2" spans="1:3" ht="15" customHeight="1" x14ac:dyDescent="0.2">
      <c r="A2" s="9" t="s">
        <v>8998</v>
      </c>
      <c r="B2" s="9" t="s">
        <v>8999</v>
      </c>
      <c r="C2" s="9" t="s">
        <v>8955</v>
      </c>
    </row>
    <row r="3" spans="1:3" ht="15" customHeight="1" x14ac:dyDescent="0.2">
      <c r="A3" s="9" t="s">
        <v>212</v>
      </c>
      <c r="B3" s="9" t="s">
        <v>212</v>
      </c>
      <c r="C3" s="9" t="s">
        <v>9000</v>
      </c>
    </row>
    <row r="4" spans="1:3" ht="15" customHeight="1" x14ac:dyDescent="0.2">
      <c r="A4" s="9" t="s">
        <v>215</v>
      </c>
      <c r="B4" s="9" t="s">
        <v>312</v>
      </c>
      <c r="C4" s="9" t="s">
        <v>8967</v>
      </c>
    </row>
    <row r="5" spans="1:3" ht="15" customHeight="1" x14ac:dyDescent="0.2">
      <c r="A5" s="9" t="s">
        <v>226</v>
      </c>
      <c r="B5" s="9" t="s">
        <v>294</v>
      </c>
      <c r="C5" s="9" t="s">
        <v>9001</v>
      </c>
    </row>
    <row r="6" spans="1:3" ht="15" customHeight="1" x14ac:dyDescent="0.2">
      <c r="A6" s="9" t="s">
        <v>275</v>
      </c>
      <c r="B6" s="9" t="s">
        <v>305</v>
      </c>
      <c r="C6" s="9" t="s">
        <v>9002</v>
      </c>
    </row>
    <row r="7" spans="1:3" ht="15" customHeight="1" x14ac:dyDescent="0.2">
      <c r="A7" s="9" t="s">
        <v>640</v>
      </c>
      <c r="B7" s="9" t="s">
        <v>333</v>
      </c>
      <c r="C7" s="9" t="s">
        <v>8971</v>
      </c>
    </row>
    <row r="8" spans="1:3" ht="15" customHeight="1" x14ac:dyDescent="0.2">
      <c r="A8" s="9" t="s">
        <v>201</v>
      </c>
      <c r="C8" s="9" t="s">
        <v>9003</v>
      </c>
    </row>
    <row r="9" spans="1:3" ht="15" customHeight="1" x14ac:dyDescent="0.2">
      <c r="A9" s="9" t="s">
        <v>9004</v>
      </c>
    </row>
    <row r="10" spans="1:3" ht="15" customHeight="1" x14ac:dyDescent="0.2">
      <c r="A10" s="9" t="s">
        <v>343</v>
      </c>
    </row>
    <row r="11" spans="1:3" ht="15" customHeight="1" x14ac:dyDescent="0.2">
      <c r="A11" s="9" t="s">
        <v>347</v>
      </c>
    </row>
    <row r="12" spans="1:3" ht="15" customHeight="1" x14ac:dyDescent="0.2">
      <c r="A12" s="9" t="s">
        <v>290</v>
      </c>
    </row>
    <row r="13" spans="1:3" ht="15" customHeight="1" x14ac:dyDescent="0.2">
      <c r="A13" s="9" t="s">
        <v>338</v>
      </c>
    </row>
    <row r="14" spans="1:3" ht="15" customHeight="1" x14ac:dyDescent="0.2">
      <c r="A14" s="9" t="s">
        <v>318</v>
      </c>
    </row>
    <row r="15" spans="1:3" ht="15" customHeight="1" x14ac:dyDescent="0.2">
      <c r="A15" s="9" t="s">
        <v>714</v>
      </c>
    </row>
    <row r="16" spans="1:3" ht="15" customHeight="1" x14ac:dyDescent="0.2">
      <c r="A16" s="9" t="s">
        <v>301</v>
      </c>
    </row>
    <row r="17" spans="1:1" ht="15" customHeight="1" x14ac:dyDescent="0.2">
      <c r="A17" s="9" t="s">
        <v>297</v>
      </c>
    </row>
    <row r="18" spans="1:1" ht="15" customHeight="1" x14ac:dyDescent="0.2">
      <c r="A18" s="9" t="s">
        <v>419</v>
      </c>
    </row>
    <row r="19" spans="1:1" ht="15" customHeight="1" x14ac:dyDescent="0.2">
      <c r="A19" s="9" t="s">
        <v>673</v>
      </c>
    </row>
    <row r="20" spans="1:1" ht="15" customHeight="1" x14ac:dyDescent="0.2">
      <c r="A20" s="9" t="s">
        <v>308</v>
      </c>
    </row>
    <row r="21" spans="1:1" ht="15" customHeight="1" x14ac:dyDescent="0.2">
      <c r="A21" s="9" t="s">
        <v>312</v>
      </c>
    </row>
    <row r="22" spans="1:1" ht="15" customHeight="1" x14ac:dyDescent="0.2">
      <c r="A22" s="9" t="s">
        <v>677</v>
      </c>
    </row>
    <row r="23" spans="1:1" ht="15" customHeight="1" x14ac:dyDescent="0.2">
      <c r="A23" s="9" t="s">
        <v>9005</v>
      </c>
    </row>
    <row r="24" spans="1:1" ht="15" customHeight="1" x14ac:dyDescent="0.2">
      <c r="A24" s="9" t="s">
        <v>9006</v>
      </c>
    </row>
    <row r="25" spans="1:1" ht="15" customHeight="1" x14ac:dyDescent="0.2">
      <c r="A25" s="9" t="s">
        <v>325</v>
      </c>
    </row>
    <row r="26" spans="1:1" ht="15" customHeight="1" x14ac:dyDescent="0.2">
      <c r="A26" s="9" t="s">
        <v>332</v>
      </c>
    </row>
    <row r="27" spans="1:1" ht="15" customHeight="1" x14ac:dyDescent="0.2">
      <c r="A27" s="9" t="s">
        <v>9007</v>
      </c>
    </row>
    <row r="28" spans="1:1" ht="15" customHeight="1" x14ac:dyDescent="0.2">
      <c r="A28" s="9" t="s">
        <v>728</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D7D31"/>
  </sheetPr>
  <dimension ref="A1:E20"/>
  <sheetViews>
    <sheetView tabSelected="1" zoomScaleNormal="100" workbookViewId="0">
      <pane ySplit="4" topLeftCell="A5" activePane="bottomLeft" state="frozen"/>
      <selection pane="bottomLeft" sqref="A1:E1"/>
    </sheetView>
  </sheetViews>
  <sheetFormatPr baseColWidth="10" defaultColWidth="8.6640625" defaultRowHeight="15" x14ac:dyDescent="0.2"/>
  <cols>
    <col min="1" max="1" width="26" customWidth="1"/>
    <col min="2" max="2" width="16" customWidth="1"/>
    <col min="3" max="3" width="30" customWidth="1"/>
    <col min="4" max="4" width="16" customWidth="1"/>
    <col min="5" max="5" width="38" customWidth="1"/>
  </cols>
  <sheetData>
    <row r="1" spans="1:5" ht="15" customHeight="1" x14ac:dyDescent="0.2">
      <c r="A1" s="40" t="s">
        <v>9008</v>
      </c>
      <c r="B1" s="41"/>
      <c r="C1" s="41"/>
      <c r="D1" s="41"/>
      <c r="E1" s="42"/>
    </row>
    <row r="2" spans="1:5" ht="43.5" customHeight="1" x14ac:dyDescent="0.2">
      <c r="A2" s="44" t="s">
        <v>9009</v>
      </c>
      <c r="B2" s="41"/>
      <c r="C2" s="41"/>
      <c r="D2" s="41"/>
      <c r="E2" s="42"/>
    </row>
    <row r="4" spans="1:5" ht="15" customHeight="1" x14ac:dyDescent="0.2">
      <c r="A4" s="6" t="s">
        <v>9010</v>
      </c>
      <c r="B4" s="6" t="s">
        <v>9011</v>
      </c>
      <c r="C4" s="6" t="s">
        <v>9012</v>
      </c>
      <c r="D4" s="6" t="s">
        <v>9013</v>
      </c>
      <c r="E4" s="6" t="s">
        <v>9014</v>
      </c>
    </row>
    <row r="5" spans="1:5" ht="23.25" customHeight="1" x14ac:dyDescent="0.2">
      <c r="A5" s="9" t="s">
        <v>9015</v>
      </c>
      <c r="B5" s="9" t="s">
        <v>294</v>
      </c>
      <c r="C5" s="9" t="s">
        <v>9016</v>
      </c>
      <c r="D5" s="9" t="s">
        <v>209</v>
      </c>
      <c r="E5" s="9" t="s">
        <v>9017</v>
      </c>
    </row>
    <row r="6" spans="1:5" ht="23.25" customHeight="1" x14ac:dyDescent="0.2">
      <c r="A6" s="9" t="s">
        <v>9018</v>
      </c>
      <c r="B6" s="9" t="s">
        <v>294</v>
      </c>
      <c r="C6" s="9" t="s">
        <v>9019</v>
      </c>
      <c r="D6" s="9" t="s">
        <v>209</v>
      </c>
      <c r="E6" s="9" t="s">
        <v>9020</v>
      </c>
    </row>
    <row r="7" spans="1:5" ht="15" customHeight="1" x14ac:dyDescent="0.2">
      <c r="A7" s="9" t="s">
        <v>9021</v>
      </c>
      <c r="B7" s="9" t="s">
        <v>305</v>
      </c>
      <c r="C7" s="9" t="s">
        <v>9022</v>
      </c>
      <c r="D7" s="9" t="s">
        <v>209</v>
      </c>
      <c r="E7" s="9" t="s">
        <v>9023</v>
      </c>
    </row>
    <row r="8" spans="1:5" ht="15" customHeight="1" x14ac:dyDescent="0.2">
      <c r="A8" s="9" t="s">
        <v>9024</v>
      </c>
      <c r="B8" s="9" t="s">
        <v>312</v>
      </c>
      <c r="C8" s="9" t="s">
        <v>9025</v>
      </c>
      <c r="D8" s="9" t="s">
        <v>209</v>
      </c>
      <c r="E8" s="9" t="s">
        <v>9026</v>
      </c>
    </row>
    <row r="9" spans="1:5" ht="23.25" customHeight="1" x14ac:dyDescent="0.2">
      <c r="A9" s="9" t="s">
        <v>9027</v>
      </c>
      <c r="B9" s="9" t="s">
        <v>312</v>
      </c>
      <c r="C9" s="9" t="s">
        <v>9028</v>
      </c>
      <c r="D9" s="16" t="s">
        <v>9029</v>
      </c>
      <c r="E9" s="9" t="s">
        <v>9030</v>
      </c>
    </row>
    <row r="10" spans="1:5" ht="15" customHeight="1" x14ac:dyDescent="0.2">
      <c r="A10" s="9" t="s">
        <v>9031</v>
      </c>
      <c r="B10" s="9" t="s">
        <v>294</v>
      </c>
      <c r="C10" s="9" t="s">
        <v>9032</v>
      </c>
      <c r="D10" s="9" t="s">
        <v>228</v>
      </c>
      <c r="E10" s="9" t="s">
        <v>9033</v>
      </c>
    </row>
    <row r="11" spans="1:5" ht="23.25" customHeight="1" x14ac:dyDescent="0.2">
      <c r="A11" s="9" t="s">
        <v>9034</v>
      </c>
      <c r="B11" s="9" t="s">
        <v>294</v>
      </c>
      <c r="C11" s="9" t="s">
        <v>9035</v>
      </c>
      <c r="D11" s="9" t="s">
        <v>228</v>
      </c>
      <c r="E11" s="9" t="s">
        <v>9036</v>
      </c>
    </row>
    <row r="12" spans="1:5" ht="23.25" customHeight="1" x14ac:dyDescent="0.2">
      <c r="A12" s="9" t="s">
        <v>343</v>
      </c>
      <c r="B12" s="9" t="s">
        <v>294</v>
      </c>
      <c r="C12" s="9" t="s">
        <v>9037</v>
      </c>
      <c r="D12" s="16" t="s">
        <v>9029</v>
      </c>
      <c r="E12" s="9" t="s">
        <v>9038</v>
      </c>
    </row>
    <row r="13" spans="1:5" ht="23.25" customHeight="1" x14ac:dyDescent="0.2">
      <c r="A13" s="9" t="s">
        <v>347</v>
      </c>
      <c r="B13" s="9" t="s">
        <v>294</v>
      </c>
      <c r="C13" s="9" t="s">
        <v>9039</v>
      </c>
      <c r="D13" s="9" t="s">
        <v>209</v>
      </c>
      <c r="E13" s="9" t="s">
        <v>9040</v>
      </c>
    </row>
    <row r="14" spans="1:5" ht="23.25" customHeight="1" x14ac:dyDescent="0.2">
      <c r="A14" s="9" t="s">
        <v>9041</v>
      </c>
      <c r="B14" s="9" t="s">
        <v>305</v>
      </c>
      <c r="C14" s="9" t="s">
        <v>9039</v>
      </c>
      <c r="D14" s="9" t="s">
        <v>228</v>
      </c>
      <c r="E14" s="9" t="s">
        <v>9042</v>
      </c>
    </row>
    <row r="15" spans="1:5" ht="23.25" customHeight="1" x14ac:dyDescent="0.2">
      <c r="A15" s="9" t="s">
        <v>9043</v>
      </c>
      <c r="B15" s="9" t="s">
        <v>305</v>
      </c>
      <c r="C15" s="9" t="s">
        <v>9044</v>
      </c>
      <c r="D15" s="9" t="s">
        <v>209</v>
      </c>
      <c r="E15" s="9" t="s">
        <v>9045</v>
      </c>
    </row>
    <row r="16" spans="1:5" ht="23.25" customHeight="1" x14ac:dyDescent="0.2">
      <c r="A16" s="9" t="s">
        <v>9046</v>
      </c>
      <c r="B16" s="9" t="s">
        <v>294</v>
      </c>
      <c r="C16" s="9" t="s">
        <v>9047</v>
      </c>
      <c r="D16" s="9" t="s">
        <v>209</v>
      </c>
      <c r="E16" s="9" t="s">
        <v>9048</v>
      </c>
    </row>
    <row r="17" spans="1:5" ht="15" customHeight="1" x14ac:dyDescent="0.2">
      <c r="A17" s="9" t="s">
        <v>9049</v>
      </c>
      <c r="B17" s="9" t="s">
        <v>294</v>
      </c>
      <c r="C17" s="9" t="s">
        <v>9050</v>
      </c>
      <c r="D17" s="9" t="s">
        <v>209</v>
      </c>
      <c r="E17" s="9" t="s">
        <v>9051</v>
      </c>
    </row>
    <row r="18" spans="1:5" ht="23.25" customHeight="1" x14ac:dyDescent="0.2">
      <c r="A18" s="9" t="s">
        <v>714</v>
      </c>
      <c r="B18" s="9" t="s">
        <v>294</v>
      </c>
      <c r="C18" s="9" t="s">
        <v>9052</v>
      </c>
      <c r="D18" s="9" t="s">
        <v>228</v>
      </c>
      <c r="E18" s="9" t="s">
        <v>9053</v>
      </c>
    </row>
    <row r="19" spans="1:5" ht="23.25" customHeight="1" x14ac:dyDescent="0.2">
      <c r="A19" s="9" t="s">
        <v>9054</v>
      </c>
      <c r="B19" s="9" t="s">
        <v>333</v>
      </c>
      <c r="C19" s="9" t="s">
        <v>9055</v>
      </c>
      <c r="D19" s="9" t="s">
        <v>209</v>
      </c>
      <c r="E19" s="9" t="s">
        <v>9056</v>
      </c>
    </row>
    <row r="20" spans="1:5" ht="15" customHeight="1" x14ac:dyDescent="0.2">
      <c r="A20" s="9" t="s">
        <v>9057</v>
      </c>
      <c r="B20" s="9" t="s">
        <v>333</v>
      </c>
      <c r="C20" s="9" t="s">
        <v>9025</v>
      </c>
      <c r="D20" s="9" t="s">
        <v>209</v>
      </c>
      <c r="E20" s="9" t="s">
        <v>8930</v>
      </c>
    </row>
  </sheetData>
  <mergeCells count="2">
    <mergeCell ref="A2:E2"/>
    <mergeCell ref="A1:E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4"/>
  <sheetViews>
    <sheetView zoomScaleNormal="100" workbookViewId="0">
      <pane xSplit="2" ySplit="3" topLeftCell="C4" activePane="bottomRight" state="frozen"/>
      <selection pane="topRight" activeCell="C1" sqref="C1"/>
      <selection pane="bottomLeft" activeCell="A4" sqref="A4"/>
      <selection pane="bottomRight"/>
    </sheetView>
  </sheetViews>
  <sheetFormatPr baseColWidth="10" defaultColWidth="8.6640625" defaultRowHeight="15" x14ac:dyDescent="0.2"/>
  <cols>
    <col min="1" max="1" width="12" customWidth="1"/>
    <col min="2" max="2" width="20" customWidth="1"/>
    <col min="3" max="3" width="13" customWidth="1"/>
    <col min="4" max="4" width="16" customWidth="1"/>
    <col min="5" max="5" width="28" customWidth="1"/>
    <col min="6" max="6" width="16" customWidth="1"/>
  </cols>
  <sheetData>
    <row r="1" spans="1:6" ht="26.25" customHeight="1" x14ac:dyDescent="0.2">
      <c r="A1" s="40" t="s">
        <v>9058</v>
      </c>
      <c r="B1" s="41"/>
      <c r="C1" s="41"/>
      <c r="D1" s="41"/>
      <c r="E1" s="41"/>
      <c r="F1" s="42"/>
    </row>
    <row r="3" spans="1:6" ht="23.25" customHeight="1" x14ac:dyDescent="0.2">
      <c r="A3" s="6" t="s">
        <v>18</v>
      </c>
      <c r="B3" s="6" t="s">
        <v>173</v>
      </c>
      <c r="C3" s="6" t="s">
        <v>9059</v>
      </c>
      <c r="D3" s="6" t="s">
        <v>9060</v>
      </c>
      <c r="E3" s="6" t="s">
        <v>9061</v>
      </c>
      <c r="F3" s="6" t="s">
        <v>20</v>
      </c>
    </row>
    <row r="4" spans="1:6" ht="15" customHeight="1" x14ac:dyDescent="0.2">
      <c r="A4" s="12" t="str">
        <f>IF(places!$A2="","",places!$A2)</f>
        <v>CZ-001</v>
      </c>
      <c r="B4" s="9" t="str">
        <f>IF(places!$A2="","",places!$B2)</f>
        <v>Matachin</v>
      </c>
      <c r="C4" s="7">
        <f>IF(places!$A2="","",COUNTIF(attestations!$B$2:$B$2000,places!$A2)-$D4)</f>
        <v>29</v>
      </c>
      <c r="D4" s="7">
        <f>IF(places!$A2="","",COUNTIFS(attestations!$B$2:$B$2000,places!$A2,attestations!$D$2:$D$2000,"Negative (searched-absent)"))</f>
        <v>1</v>
      </c>
      <c r="E4" s="15" t="str">
        <f>IF(places!$A2="","",IF(LEFT(places!$E2,8)="Persists","Extant (present-day)",IF(AND($C4&gt;0,$D4&gt;0),"Partially traced / contested",IF($C4&gt;0,"Attested",IF($D4&gt;0,"Meaningful silence (searched-absent)","Unsearched / no evidence")))))</f>
        <v>Partially traced / contested</v>
      </c>
      <c r="F4" s="12" t="str">
        <f>IF(places!$A2="","",places!$Y2)</f>
        <v>Town</v>
      </c>
    </row>
    <row r="5" spans="1:6" ht="15" customHeight="1" x14ac:dyDescent="0.2">
      <c r="A5" s="12" t="str">
        <f>IF(places!$A3="","",places!$A3)</f>
        <v>CZ-002</v>
      </c>
      <c r="B5" s="9" t="str">
        <f>IF(places!$A3="","",places!$B3)</f>
        <v>Barbacoas</v>
      </c>
      <c r="C5" s="7">
        <f>IF(places!$A3="","",COUNTIF(attestations!$B$2:$B$2000,places!$A3)-$D5)</f>
        <v>17</v>
      </c>
      <c r="D5" s="7">
        <f>IF(places!$A3="","",COUNTIFS(attestations!$B$2:$B$2000,places!$A3,attestations!$D$2:$D$2000,"Negative (searched-absent)"))</f>
        <v>2</v>
      </c>
      <c r="E5" s="15" t="str">
        <f>IF(places!$A3="","",IF(LEFT(places!$E3,8)="Persists","Extant (present-day)",IF(AND($C5&gt;0,$D5&gt;0),"Partially traced / contested",IF($C5&gt;0,"Attested",IF($D5&gt;0,"Meaningful silence (searched-absent)","Unsearched / no evidence")))))</f>
        <v>Partially traced / contested</v>
      </c>
      <c r="F5" s="12" t="str">
        <f>IF(places!$A3="","",places!$Y3)</f>
        <v>Town</v>
      </c>
    </row>
    <row r="6" spans="1:6" ht="15" customHeight="1" x14ac:dyDescent="0.2">
      <c r="A6" s="12" t="str">
        <f>IF(places!$A4="","",places!$A4)</f>
        <v>CZ-003</v>
      </c>
      <c r="B6" s="9" t="str">
        <f>IF(places!$A4="","",places!$B4)</f>
        <v>Cruces</v>
      </c>
      <c r="C6" s="7">
        <f>IF(places!$A4="","",COUNTIF(attestations!$B$2:$B$2000,places!$A4)-$D6)</f>
        <v>25</v>
      </c>
      <c r="D6" s="7">
        <f>IF(places!$A4="","",COUNTIFS(attestations!$B$2:$B$2000,places!$A4,attestations!$D$2:$D$2000,"Negative (searched-absent)"))</f>
        <v>2</v>
      </c>
      <c r="E6" s="15" t="str">
        <f>IF(places!$A4="","",IF(LEFT(places!$E4,8)="Persists","Extant (present-day)",IF(AND($C6&gt;0,$D6&gt;0),"Partially traced / contested",IF($C6&gt;0,"Attested",IF($D6&gt;0,"Meaningful silence (searched-absent)","Unsearched / no evidence")))))</f>
        <v>Partially traced / contested</v>
      </c>
      <c r="F6" s="12" t="str">
        <f>IF(places!$A4="","",places!$Y4)</f>
        <v>Town</v>
      </c>
    </row>
    <row r="7" spans="1:6" ht="15" customHeight="1" x14ac:dyDescent="0.2">
      <c r="A7" s="12" t="str">
        <f>IF(places!$A5="","",places!$A5)</f>
        <v>CZ-004</v>
      </c>
      <c r="B7" s="9" t="str">
        <f>IF(places!$A5="","",places!$B5)</f>
        <v>Ahorca Lagarto</v>
      </c>
      <c r="C7" s="7">
        <f>IF(places!$A5="","",COUNTIF(attestations!$B$2:$B$2000,places!$A5)-$D7)</f>
        <v>14</v>
      </c>
      <c r="D7" s="7">
        <f>IF(places!$A5="","",COUNTIFS(attestations!$B$2:$B$2000,places!$A5,attestations!$D$2:$D$2000,"Negative (searched-absent)"))</f>
        <v>3</v>
      </c>
      <c r="E7" s="15" t="str">
        <f>IF(places!$A5="","",IF(LEFT(places!$E5,8)="Persists","Extant (present-day)",IF(AND($C7&gt;0,$D7&gt;0),"Partially traced / contested",IF($C7&gt;0,"Attested",IF($D7&gt;0,"Meaningful silence (searched-absent)","Unsearched / no evidence")))))</f>
        <v>Partially traced / contested</v>
      </c>
      <c r="F7" s="12" t="str">
        <f>IF(places!$A5="","",places!$Y5)</f>
        <v>Town</v>
      </c>
    </row>
    <row r="8" spans="1:6" ht="15" customHeight="1" x14ac:dyDescent="0.2">
      <c r="A8" s="12" t="str">
        <f>IF(places!$A6="","",places!$A6)</f>
        <v>CZ-005</v>
      </c>
      <c r="B8" s="9" t="str">
        <f>IF(places!$A6="","",places!$B6)</f>
        <v>Caimito</v>
      </c>
      <c r="C8" s="7">
        <f>IF(places!$A6="","",COUNTIF(attestations!$B$2:$B$2000,places!$A6)-$D8)</f>
        <v>10</v>
      </c>
      <c r="D8" s="7">
        <f>IF(places!$A6="","",COUNTIFS(attestations!$B$2:$B$2000,places!$A6,attestations!$D$2:$D$2000,"Negative (searched-absent)"))</f>
        <v>6</v>
      </c>
      <c r="E8" s="15" t="str">
        <f>IF(places!$A6="","",IF(LEFT(places!$E6,8)="Persists","Extant (present-day)",IF(AND($C8&gt;0,$D8&gt;0),"Partially traced / contested",IF($C8&gt;0,"Attested",IF($D8&gt;0,"Meaningful silence (searched-absent)","Unsearched / no evidence")))))</f>
        <v>Partially traced / contested</v>
      </c>
      <c r="F8" s="12" t="str">
        <f>IF(places!$A6="","",places!$Y6)</f>
        <v>Town</v>
      </c>
    </row>
    <row r="9" spans="1:6" ht="15" customHeight="1" x14ac:dyDescent="0.2">
      <c r="A9" s="12" t="str">
        <f>IF(places!$A7="","",places!$A7)</f>
        <v>CZ-006</v>
      </c>
      <c r="B9" s="9" t="str">
        <f>IF(places!$A7="","",places!$B7)</f>
        <v>Santa Cruz</v>
      </c>
      <c r="C9" s="7">
        <f>IF(places!$A7="","",COUNTIF(attestations!$B$2:$B$2000,places!$A7)-$D9)</f>
        <v>13</v>
      </c>
      <c r="D9" s="7">
        <f>IF(places!$A7="","",COUNTIFS(attestations!$B$2:$B$2000,places!$A7,attestations!$D$2:$D$2000,"Negative (searched-absent)"))</f>
        <v>5</v>
      </c>
      <c r="E9" s="15" t="str">
        <f>IF(places!$A7="","",IF(LEFT(places!$E7,8)="Persists","Extant (present-day)",IF(AND($C9&gt;0,$D9&gt;0),"Partially traced / contested",IF($C9&gt;0,"Attested",IF($D9&gt;0,"Meaningful silence (searched-absent)","Unsearched / no evidence")))))</f>
        <v>Partially traced / contested</v>
      </c>
      <c r="F9" s="12" t="str">
        <f>IF(places!$A7="","",places!$Y7)</f>
        <v>Town</v>
      </c>
    </row>
    <row r="10" spans="1:6" ht="21.75" customHeight="1" x14ac:dyDescent="0.2">
      <c r="A10" s="12" t="str">
        <f>IF(places!$A8="","",places!$A8)</f>
        <v>CZ-007</v>
      </c>
      <c r="B10" s="9" t="str">
        <f>IF(places!$A8="","",places!$B8)</f>
        <v>Bailamonos</v>
      </c>
      <c r="C10" s="7">
        <f>IF(places!$A8="","",COUNTIF(attestations!$B$2:$B$2000,places!$A8)-$D10)</f>
        <v>16</v>
      </c>
      <c r="D10" s="7">
        <f>IF(places!$A8="","",COUNTIFS(attestations!$B$2:$B$2000,places!$A8,attestations!$D$2:$D$2000,"Negative (searched-absent)"))</f>
        <v>4</v>
      </c>
      <c r="E10" s="15" t="str">
        <f>IF(places!$A8="","",IF(LEFT(places!$E8,8)="Persists","Extant (present-day)",IF(AND($C10&gt;0,$D10&gt;0),"Partially traced / contested",IF($C10&gt;0,"Attested",IF($D10&gt;0,"Meaningful silence (searched-absent)","Unsearched / no evidence")))))</f>
        <v>Partially traced / contested</v>
      </c>
      <c r="F10" s="12" t="str">
        <f>IF(places!$A8="","",places!$Y8)</f>
        <v>Town</v>
      </c>
    </row>
    <row r="11" spans="1:6" ht="15" customHeight="1" x14ac:dyDescent="0.2">
      <c r="A11" s="12" t="str">
        <f>IF(places!$A9="","",places!$A9)</f>
        <v>CZ-008</v>
      </c>
      <c r="B11" s="9" t="str">
        <f>IF(places!$A9="","",places!$B9)</f>
        <v>Cruz de Juan Gallego</v>
      </c>
      <c r="C11" s="7">
        <f>IF(places!$A9="","",COUNTIF(attestations!$B$2:$B$2000,places!$A9)-$D11)</f>
        <v>5</v>
      </c>
      <c r="D11" s="7">
        <f>IF(places!$A9="","",COUNTIFS(attestations!$B$2:$B$2000,places!$A9,attestations!$D$2:$D$2000,"Negative (searched-absent)"))</f>
        <v>10</v>
      </c>
      <c r="E11" s="15" t="str">
        <f>IF(places!$A9="","",IF(LEFT(places!$E9,8)="Persists","Extant (present-day)",IF(AND($C11&gt;0,$D11&gt;0),"Partially traced / contested",IF($C11&gt;0,"Attested",IF($D11&gt;0,"Meaningful silence (searched-absent)","Unsearched / no evidence")))))</f>
        <v>Partially traced / contested</v>
      </c>
      <c r="F11" s="12" t="str">
        <f>IF(places!$A9="","",places!$Y9)</f>
        <v>Town</v>
      </c>
    </row>
    <row r="12" spans="1:6" ht="15" customHeight="1" x14ac:dyDescent="0.2">
      <c r="A12" s="12" t="str">
        <f>IF(places!$A10="","",places!$A10)</f>
        <v>CZ-009</v>
      </c>
      <c r="B12" s="9" t="str">
        <f>IF(places!$A10="","",places!$B10)</f>
        <v>Old Gatun</v>
      </c>
      <c r="C12" s="7">
        <f>IF(places!$A10="","",COUNTIF(attestations!$B$2:$B$2000,places!$A10)-$D12)</f>
        <v>25</v>
      </c>
      <c r="D12" s="7">
        <f>IF(places!$A10="","",COUNTIFS(attestations!$B$2:$B$2000,places!$A10,attestations!$D$2:$D$2000,"Negative (searched-absent)"))</f>
        <v>3</v>
      </c>
      <c r="E12" s="15" t="str">
        <f>IF(places!$A10="","",IF(LEFT(places!$E10,8)="Persists","Extant (present-day)",IF(AND($C12&gt;0,$D12&gt;0),"Partially traced / contested",IF($C12&gt;0,"Attested",IF($D12&gt;0,"Meaningful silence (searched-absent)","Unsearched / no evidence")))))</f>
        <v>Partially traced / contested</v>
      </c>
      <c r="F12" s="12" t="str">
        <f>IF(places!$A10="","",places!$Y10)</f>
        <v>Town</v>
      </c>
    </row>
    <row r="13" spans="1:6" ht="15" customHeight="1" x14ac:dyDescent="0.2">
      <c r="A13" s="12" t="str">
        <f>IF(places!$A11="","",places!$A11)</f>
        <v>CZ-010</v>
      </c>
      <c r="B13" s="9" t="str">
        <f>IF(places!$A11="","",places!$B11)</f>
        <v>New Gatun</v>
      </c>
      <c r="C13" s="7">
        <f>IF(places!$A11="","",COUNTIF(attestations!$B$2:$B$2000,places!$A11)-$D13)</f>
        <v>14</v>
      </c>
      <c r="D13" s="7">
        <f>IF(places!$A11="","",COUNTIFS(attestations!$B$2:$B$2000,places!$A11,attestations!$D$2:$D$2000,"Negative (searched-absent)"))</f>
        <v>3</v>
      </c>
      <c r="E13" s="15" t="str">
        <f>IF(places!$A11="","",IF(LEFT(places!$E11,8)="Persists","Extant (present-day)",IF(AND($C13&gt;0,$D13&gt;0),"Partially traced / contested",IF($C13&gt;0,"Attested",IF($D13&gt;0,"Meaningful silence (searched-absent)","Unsearched / no evidence")))))</f>
        <v>Partially traced / contested</v>
      </c>
      <c r="F13" s="12" t="str">
        <f>IF(places!$A11="","",places!$Y11)</f>
        <v>Town</v>
      </c>
    </row>
    <row r="14" spans="1:6" ht="15" customHeight="1" x14ac:dyDescent="0.2">
      <c r="A14" s="12" t="str">
        <f>IF(places!$A12="","",places!$A12)</f>
        <v>CZ-011</v>
      </c>
      <c r="B14" s="9" t="str">
        <f>IF(places!$A12="","",places!$B12)</f>
        <v>Empire</v>
      </c>
      <c r="C14" s="7">
        <f>IF(places!$A12="","",COUNTIF(attestations!$B$2:$B$2000,places!$A12)-$D14)</f>
        <v>35</v>
      </c>
      <c r="D14" s="7">
        <f>IF(places!$A12="","",COUNTIFS(attestations!$B$2:$B$2000,places!$A12,attestations!$D$2:$D$2000,"Negative (searched-absent)"))</f>
        <v>0</v>
      </c>
      <c r="E14" s="15" t="str">
        <f>IF(places!$A12="","",IF(LEFT(places!$E12,8)="Persists","Extant (present-day)",IF(AND($C14&gt;0,$D14&gt;0),"Partially traced / contested",IF($C14&gt;0,"Attested",IF($D14&gt;0,"Meaningful silence (searched-absent)","Unsearched / no evidence")))))</f>
        <v>Attested</v>
      </c>
      <c r="F14" s="12" t="str">
        <f>IF(places!$A12="","",places!$Y12)</f>
        <v>Town</v>
      </c>
    </row>
    <row r="15" spans="1:6" ht="15" customHeight="1" x14ac:dyDescent="0.2">
      <c r="A15" s="12" t="str">
        <f>IF(places!$A13="","",places!$A13)</f>
        <v>CZ-012</v>
      </c>
      <c r="B15" s="9" t="str">
        <f>IF(places!$A13="","",places!$B13)</f>
        <v>Gorgona</v>
      </c>
      <c r="C15" s="7">
        <f>IF(places!$A13="","",COUNTIF(attestations!$B$2:$B$2000,places!$A13)-$D15)</f>
        <v>33</v>
      </c>
      <c r="D15" s="7">
        <f>IF(places!$A13="","",COUNTIFS(attestations!$B$2:$B$2000,places!$A13,attestations!$D$2:$D$2000,"Negative (searched-absent)"))</f>
        <v>1</v>
      </c>
      <c r="E15" s="15" t="str">
        <f>IF(places!$A13="","",IF(LEFT(places!$E13,8)="Persists","Extant (present-day)",IF(AND($C15&gt;0,$D15&gt;0),"Partially traced / contested",IF($C15&gt;0,"Attested",IF($D15&gt;0,"Meaningful silence (searched-absent)","Unsearched / no evidence")))))</f>
        <v>Partially traced / contested</v>
      </c>
      <c r="F15" s="12" t="str">
        <f>IF(places!$A13="","",places!$Y13)</f>
        <v>Town</v>
      </c>
    </row>
    <row r="16" spans="1:6" ht="15" customHeight="1" x14ac:dyDescent="0.2">
      <c r="A16" s="12" t="str">
        <f>IF(places!$A14="","",places!$A14)</f>
        <v>CZ-013</v>
      </c>
      <c r="B16" s="9" t="str">
        <f>IF(places!$A14="","",places!$B14)</f>
        <v>Culebra</v>
      </c>
      <c r="C16" s="7">
        <f>IF(places!$A14="","",COUNTIF(attestations!$B$2:$B$2000,places!$A14)-$D16)</f>
        <v>29</v>
      </c>
      <c r="D16" s="7">
        <f>IF(places!$A14="","",COUNTIFS(attestations!$B$2:$B$2000,places!$A14,attestations!$D$2:$D$2000,"Negative (searched-absent)"))</f>
        <v>0</v>
      </c>
      <c r="E16" s="15" t="str">
        <f>IF(places!$A14="","",IF(LEFT(places!$E14,8)="Persists","Extant (present-day)",IF(AND($C16&gt;0,$D16&gt;0),"Partially traced / contested",IF($C16&gt;0,"Attested",IF($D16&gt;0,"Meaningful silence (searched-absent)","Unsearched / no evidence")))))</f>
        <v>Attested</v>
      </c>
      <c r="F16" s="12" t="str">
        <f>IF(places!$A14="","",places!$Y14)</f>
        <v>Town</v>
      </c>
    </row>
    <row r="17" spans="1:6" ht="15" customHeight="1" x14ac:dyDescent="0.2">
      <c r="A17" s="12" t="str">
        <f>IF(places!$A15="","",places!$A15)</f>
        <v>CZ-014</v>
      </c>
      <c r="B17" s="9" t="str">
        <f>IF(places!$A15="","",places!$B15)</f>
        <v>Bas Obispo</v>
      </c>
      <c r="C17" s="7">
        <f>IF(places!$A15="","",COUNTIF(attestations!$B$2:$B$2000,places!$A15)-$D17)</f>
        <v>27</v>
      </c>
      <c r="D17" s="7">
        <f>IF(places!$A15="","",COUNTIFS(attestations!$B$2:$B$2000,places!$A15,attestations!$D$2:$D$2000,"Negative (searched-absent)"))</f>
        <v>2</v>
      </c>
      <c r="E17" s="15" t="str">
        <f>IF(places!$A15="","",IF(LEFT(places!$E15,8)="Persists","Extant (present-day)",IF(AND($C17&gt;0,$D17&gt;0),"Partially traced / contested",IF($C17&gt;0,"Attested",IF($D17&gt;0,"Meaningful silence (searched-absent)","Unsearched / no evidence")))))</f>
        <v>Partially traced / contested</v>
      </c>
      <c r="F17" s="12" t="str">
        <f>IF(places!$A15="","",places!$Y15)</f>
        <v>Town</v>
      </c>
    </row>
    <row r="18" spans="1:6" ht="15" customHeight="1" x14ac:dyDescent="0.2">
      <c r="A18" s="12" t="str">
        <f>IF(places!$A16="","",places!$A16)</f>
        <v>CZ-015</v>
      </c>
      <c r="B18" s="9" t="str">
        <f>IF(places!$A16="","",places!$B16)</f>
        <v>Las Cascadas</v>
      </c>
      <c r="C18" s="7">
        <f>IF(places!$A16="","",COUNTIF(attestations!$B$2:$B$2000,places!$A16)-$D18)</f>
        <v>20</v>
      </c>
      <c r="D18" s="7">
        <f>IF(places!$A16="","",COUNTIFS(attestations!$B$2:$B$2000,places!$A16,attestations!$D$2:$D$2000,"Negative (searched-absent)"))</f>
        <v>1</v>
      </c>
      <c r="E18" s="15" t="str">
        <f>IF(places!$A16="","",IF(LEFT(places!$E16,8)="Persists","Extant (present-day)",IF(AND($C18&gt;0,$D18&gt;0),"Partially traced / contested",IF($C18&gt;0,"Attested",IF($D18&gt;0,"Meaningful silence (searched-absent)","Unsearched / no evidence")))))</f>
        <v>Partially traced / contested</v>
      </c>
      <c r="F18" s="12" t="str">
        <f>IF(places!$A16="","",places!$Y16)</f>
        <v>Town</v>
      </c>
    </row>
    <row r="19" spans="1:6" ht="15" customHeight="1" x14ac:dyDescent="0.2">
      <c r="A19" s="12" t="str">
        <f>IF(places!$A17="","",places!$A17)</f>
        <v>CZ-016</v>
      </c>
      <c r="B19" s="9" t="str">
        <f>IF(places!$A17="","",places!$B17)</f>
        <v>Bohio</v>
      </c>
      <c r="C19" s="7">
        <f>IF(places!$A17="","",COUNTIF(attestations!$B$2:$B$2000,places!$A17)-$D19)</f>
        <v>24</v>
      </c>
      <c r="D19" s="7">
        <f>IF(places!$A17="","",COUNTIFS(attestations!$B$2:$B$2000,places!$A17,attestations!$D$2:$D$2000,"Negative (searched-absent)"))</f>
        <v>3</v>
      </c>
      <c r="E19" s="15" t="str">
        <f>IF(places!$A17="","",IF(LEFT(places!$E17,8)="Persists","Extant (present-day)",IF(AND($C19&gt;0,$D19&gt;0),"Partially traced / contested",IF($C19&gt;0,"Attested",IF($D19&gt;0,"Meaningful silence (searched-absent)","Unsearched / no evidence")))))</f>
        <v>Partially traced / contested</v>
      </c>
      <c r="F19" s="12" t="str">
        <f>IF(places!$A17="","",places!$Y17)</f>
        <v>Town</v>
      </c>
    </row>
    <row r="20" spans="1:6" ht="15" customHeight="1" x14ac:dyDescent="0.2">
      <c r="A20" s="12" t="str">
        <f>IF(places!$A18="","",places!$A18)</f>
        <v>CZ-101</v>
      </c>
      <c r="B20" s="9" t="str">
        <f>IF(places!$A18="","",places!$B18)</f>
        <v>Empire Hospital</v>
      </c>
      <c r="C20" s="7">
        <f>IF(places!$A18="","",COUNTIF(attestations!$B$2:$B$2000,places!$A18)-$D20)</f>
        <v>2</v>
      </c>
      <c r="D20" s="7">
        <f>IF(places!$A18="","",COUNTIFS(attestations!$B$2:$B$2000,places!$A18,attestations!$D$2:$D$2000,"Negative (searched-absent)"))</f>
        <v>3</v>
      </c>
      <c r="E20" s="15" t="str">
        <f>IF(places!$A18="","",IF(LEFT(places!$E18,8)="Persists","Extant (present-day)",IF(AND($C20&gt;0,$D20&gt;0),"Partially traced / contested",IF($C20&gt;0,"Attested",IF($D20&gt;0,"Meaningful silence (searched-absent)","Unsearched / no evidence")))))</f>
        <v>Partially traced / contested</v>
      </c>
      <c r="F20" s="12" t="str">
        <f>IF(places!$A18="","",places!$Y18)</f>
        <v>Site/Institution</v>
      </c>
    </row>
    <row r="21" spans="1:6" ht="15" customHeight="1" x14ac:dyDescent="0.2">
      <c r="A21" s="12" t="str">
        <f>IF(places!$A19="","",places!$A19)</f>
        <v>CZ-102</v>
      </c>
      <c r="B21" s="9" t="str">
        <f>IF(places!$A19="","",places!$B19)</f>
        <v>Empire Commissary</v>
      </c>
      <c r="C21" s="7">
        <f>IF(places!$A19="","",COUNTIF(attestations!$B$2:$B$2000,places!$A19)-$D21)</f>
        <v>2</v>
      </c>
      <c r="D21" s="7">
        <f>IF(places!$A19="","",COUNTIFS(attestations!$B$2:$B$2000,places!$A19,attestations!$D$2:$D$2000,"Negative (searched-absent)"))</f>
        <v>3</v>
      </c>
      <c r="E21" s="15" t="str">
        <f>IF(places!$A19="","",IF(LEFT(places!$E19,8)="Persists","Extant (present-day)",IF(AND($C21&gt;0,$D21&gt;0),"Partially traced / contested",IF($C21&gt;0,"Attested",IF($D21&gt;0,"Meaningful silence (searched-absent)","Unsearched / no evidence")))))</f>
        <v>Partially traced / contested</v>
      </c>
      <c r="F21" s="12" t="str">
        <f>IF(places!$A19="","",places!$Y19)</f>
        <v>Site/Institution</v>
      </c>
    </row>
    <row r="22" spans="1:6" ht="23.25" customHeight="1" x14ac:dyDescent="0.2">
      <c r="A22" s="12" t="str">
        <f>IF(places!$A20="","",places!$A20)</f>
        <v>CZ-103</v>
      </c>
      <c r="B22" s="9" t="str">
        <f>IF(places!$A20="","",places!$B20)</f>
        <v>Empire Clubhouse &amp; Cinema</v>
      </c>
      <c r="C22" s="7">
        <f>IF(places!$A20="","",COUNTIF(attestations!$B$2:$B$2000,places!$A20)-$D22)</f>
        <v>0</v>
      </c>
      <c r="D22" s="7">
        <f>IF(places!$A20="","",COUNTIFS(attestations!$B$2:$B$2000,places!$A20,attestations!$D$2:$D$2000,"Negative (searched-absent)"))</f>
        <v>1</v>
      </c>
      <c r="E22" s="15" t="str">
        <f>IF(places!$A20="","",IF(LEFT(places!$E20,8)="Persists","Extant (present-day)",IF(AND($C22&gt;0,$D22&gt;0),"Partially traced / contested",IF($C22&gt;0,"Attested",IF($D22&gt;0,"Meaningful silence (searched-absent)","Unsearched / no evidence")))))</f>
        <v>Meaningful silence (searched-absent)</v>
      </c>
      <c r="F22" s="12" t="str">
        <f>IF(places!$A20="","",places!$Y20)</f>
        <v>Building</v>
      </c>
    </row>
    <row r="23" spans="1:6" ht="15" customHeight="1" x14ac:dyDescent="0.2">
      <c r="A23" s="12" t="str">
        <f>IF(places!$A21="","",places!$A21)</f>
        <v>CZ-104</v>
      </c>
      <c r="B23" s="9" t="str">
        <f>IF(places!$A21="","",places!$B21)</f>
        <v>Empire Silver Quarters</v>
      </c>
      <c r="C23" s="7">
        <f>IF(places!$A21="","",COUNTIF(attestations!$B$2:$B$2000,places!$A21)-$D23)</f>
        <v>1</v>
      </c>
      <c r="D23" s="7">
        <f>IF(places!$A21="","",COUNTIFS(attestations!$B$2:$B$2000,places!$A21,attestations!$D$2:$D$2000,"Negative (searched-absent)"))</f>
        <v>8</v>
      </c>
      <c r="E23" s="15" t="str">
        <f>IF(places!$A21="","",IF(LEFT(places!$E21,8)="Persists","Extant (present-day)",IF(AND($C23&gt;0,$D23&gt;0),"Partially traced / contested",IF($C23&gt;0,"Attested",IF($D23&gt;0,"Meaningful silence (searched-absent)","Unsearched / no evidence")))))</f>
        <v>Partially traced / contested</v>
      </c>
      <c r="F23" s="12" t="str">
        <f>IF(places!$A21="","",places!$Y21)</f>
        <v>Neighborhood</v>
      </c>
    </row>
    <row r="24" spans="1:6" ht="15" customHeight="1" x14ac:dyDescent="0.2">
      <c r="A24" s="12" t="str">
        <f>IF(places!$A22="","",places!$A22)</f>
        <v>CZ-105</v>
      </c>
      <c r="B24" s="9" t="str">
        <f>IF(places!$A22="","",places!$B22)</f>
        <v>Empire Gold Quarters</v>
      </c>
      <c r="C24" s="7">
        <f>IF(places!$A22="","",COUNTIF(attestations!$B$2:$B$2000,places!$A22)-$D24)</f>
        <v>1</v>
      </c>
      <c r="D24" s="7">
        <f>IF(places!$A22="","",COUNTIFS(attestations!$B$2:$B$2000,places!$A22,attestations!$D$2:$D$2000,"Negative (searched-absent)"))</f>
        <v>7</v>
      </c>
      <c r="E24" s="15" t="str">
        <f>IF(places!$A22="","",IF(LEFT(places!$E22,8)="Persists","Extant (present-day)",IF(AND($C24&gt;0,$D24&gt;0),"Partially traced / contested",IF($C24&gt;0,"Attested",IF($D24&gt;0,"Meaningful silence (searched-absent)","Unsearched / no evidence")))))</f>
        <v>Partially traced / contested</v>
      </c>
      <c r="F24" s="12" t="str">
        <f>IF(places!$A22="","",places!$Y22)</f>
        <v>Neighborhood</v>
      </c>
    </row>
    <row r="25" spans="1:6" ht="15" customHeight="1" x14ac:dyDescent="0.2">
      <c r="A25" s="12" t="str">
        <f>IF(places!$A23="","",places!$A23)</f>
        <v>CZ-106</v>
      </c>
      <c r="B25" s="9" t="str">
        <f>IF(places!$A23="","",places!$B23)</f>
        <v>Empire Plaza</v>
      </c>
      <c r="C25" s="7">
        <f>IF(places!$A23="","",COUNTIF(attestations!$B$2:$B$2000,places!$A23)-$D25)</f>
        <v>0</v>
      </c>
      <c r="D25" s="7">
        <f>IF(places!$A23="","",COUNTIFS(attestations!$B$2:$B$2000,places!$A23,attestations!$D$2:$D$2000,"Negative (searched-absent)"))</f>
        <v>0</v>
      </c>
      <c r="E25" s="15" t="str">
        <f>IF(places!$A23="","",IF(LEFT(places!$E23,8)="Persists","Extant (present-day)",IF(AND($C25&gt;0,$D25&gt;0),"Partially traced / contested",IF($C25&gt;0,"Attested",IF($D25&gt;0,"Meaningful silence (searched-absent)","Unsearched / no evidence")))))</f>
        <v>Unsearched / no evidence</v>
      </c>
      <c r="F25" s="12" t="str">
        <f>IF(places!$A23="","",places!$Y23)</f>
        <v>Site/Institution</v>
      </c>
    </row>
    <row r="26" spans="1:6" ht="23.25" customHeight="1" x14ac:dyDescent="0.2">
      <c r="A26" s="12" t="str">
        <f>IF(places!$A24="","",places!$A24)</f>
        <v>CZ-201</v>
      </c>
      <c r="B26" s="9" t="str">
        <f>IF(places!$A24="","",places!$B24)</f>
        <v>Nuevo Emperador (present-day)</v>
      </c>
      <c r="C26" s="7">
        <f>IF(places!$A24="","",COUNTIF(attestations!$B$2:$B$2000,places!$A24)-$D26)</f>
        <v>1</v>
      </c>
      <c r="D26" s="7">
        <f>IF(places!$A24="","",COUNTIFS(attestations!$B$2:$B$2000,places!$A24,attestations!$D$2:$D$2000,"Negative (searched-absent)"))</f>
        <v>0</v>
      </c>
      <c r="E26" s="15" t="str">
        <f>IF(places!$A24="","",IF(LEFT(places!$E24,8)="Persists","Extant (present-day)",IF(AND($C26&gt;0,$D26&gt;0),"Partially traced / contested",IF($C26&gt;0,"Attested",IF($D26&gt;0,"Meaningful silence (searched-absent)","Unsearched / no evidence")))))</f>
        <v>Extant (present-day)</v>
      </c>
      <c r="F26" s="12" t="str">
        <f>IF(places!$A24="","",places!$Y24)</f>
        <v>Town</v>
      </c>
    </row>
    <row r="27" spans="1:6" ht="23.25" customHeight="1" x14ac:dyDescent="0.2">
      <c r="A27" s="12" t="str">
        <f>IF(places!$A25="","",places!$A25)</f>
        <v>CZ-202</v>
      </c>
      <c r="B27" s="9" t="str">
        <f>IF(places!$A25="","",places!$B25)</f>
        <v>Modern roadway segment</v>
      </c>
      <c r="C27" s="7">
        <f>IF(places!$A25="","",COUNTIF(attestations!$B$2:$B$2000,places!$A25)-$D27)</f>
        <v>0</v>
      </c>
      <c r="D27" s="7">
        <f>IF(places!$A25="","",COUNTIFS(attestations!$B$2:$B$2000,places!$A25,attestations!$D$2:$D$2000,"Negative (searched-absent)"))</f>
        <v>0</v>
      </c>
      <c r="E27" s="15" t="str">
        <f>IF(places!$A25="","",IF(LEFT(places!$E25,8)="Persists","Extant (present-day)",IF(AND($C27&gt;0,$D27&gt;0),"Partially traced / contested",IF($C27&gt;0,"Attested",IF($D27&gt;0,"Meaningful silence (searched-absent)","Unsearched / no evidence")))))</f>
        <v>Extant (present-day)</v>
      </c>
      <c r="F27" s="12" t="str">
        <f>IF(places!$A25="","",places!$Y25)</f>
        <v>Infrastructure</v>
      </c>
    </row>
    <row r="28" spans="1:6" ht="15" customHeight="1" x14ac:dyDescent="0.2">
      <c r="A28" s="12" t="str">
        <f>IF(places!$A26="","",places!$A26)</f>
        <v>CZ-107</v>
      </c>
      <c r="B28" s="9" t="str">
        <f>IF(places!$A26="","",places!$B26)</f>
        <v>Empire Church / Chapel</v>
      </c>
      <c r="C28" s="7">
        <f>IF(places!$A26="","",COUNTIF(attestations!$B$2:$B$2000,places!$A26)-$D28)</f>
        <v>4</v>
      </c>
      <c r="D28" s="7">
        <f>IF(places!$A26="","",COUNTIFS(attestations!$B$2:$B$2000,places!$A26,attestations!$D$2:$D$2000,"Negative (searched-absent)"))</f>
        <v>5</v>
      </c>
      <c r="E28" s="15" t="str">
        <f>IF(places!$A26="","",IF(LEFT(places!$E26,8)="Persists","Extant (present-day)",IF(AND($C28&gt;0,$D28&gt;0),"Partially traced / contested",IF($C28&gt;0,"Attested",IF($D28&gt;0,"Meaningful silence (searched-absent)","Unsearched / no evidence")))))</f>
        <v>Partially traced / contested</v>
      </c>
      <c r="F28" s="12" t="str">
        <f>IF(places!$A26="","",places!$Y26)</f>
        <v>Site/Institution</v>
      </c>
    </row>
    <row r="29" spans="1:6" ht="21.75" customHeight="1" x14ac:dyDescent="0.2">
      <c r="A29" s="12" t="str">
        <f>IF(places!$A27="","",places!$A27)</f>
        <v>CZ-108</v>
      </c>
      <c r="B29" s="9" t="str">
        <f>IF(places!$A27="","",places!$B27)</f>
        <v>Empire Cemetery</v>
      </c>
      <c r="C29" s="7">
        <f>IF(places!$A27="","",COUNTIF(attestations!$B$2:$B$2000,places!$A27)-$D29)</f>
        <v>2</v>
      </c>
      <c r="D29" s="7">
        <f>IF(places!$A27="","",COUNTIFS(attestations!$B$2:$B$2000,places!$A27,attestations!$D$2:$D$2000,"Negative (searched-absent)"))</f>
        <v>5</v>
      </c>
      <c r="E29" s="15" t="str">
        <f>IF(places!$A27="","",IF(LEFT(places!$E27,8)="Persists","Extant (present-day)",IF(AND($C29&gt;0,$D29&gt;0),"Partially traced / contested",IF($C29&gt;0,"Attested",IF($D29&gt;0,"Meaningful silence (searched-absent)","Unsearched / no evidence")))))</f>
        <v>Partially traced / contested</v>
      </c>
      <c r="F29" s="12" t="str">
        <f>IF(places!$A27="","",places!$Y27)</f>
        <v>Site/Institution</v>
      </c>
    </row>
    <row r="30" spans="1:6" ht="15" customHeight="1" x14ac:dyDescent="0.2">
      <c r="A30" s="12" t="str">
        <f>IF(places!$A28="","",places!$A28)</f>
        <v>CZ-109</v>
      </c>
      <c r="B30" s="9" t="str">
        <f>IF(places!$A28="","",places!$B28)</f>
        <v>Empire School</v>
      </c>
      <c r="C30" s="7">
        <f>IF(places!$A28="","",COUNTIF(attestations!$B$2:$B$2000,places!$A28)-$D30)</f>
        <v>2</v>
      </c>
      <c r="D30" s="7">
        <f>IF(places!$A28="","",COUNTIFS(attestations!$B$2:$B$2000,places!$A28,attestations!$D$2:$D$2000,"Negative (searched-absent)"))</f>
        <v>3</v>
      </c>
      <c r="E30" s="15" t="str">
        <f>IF(places!$A28="","",IF(LEFT(places!$E28,8)="Persists","Extant (present-day)",IF(AND($C30&gt;0,$D30&gt;0),"Partially traced / contested",IF($C30&gt;0,"Attested",IF($D30&gt;0,"Meaningful silence (searched-absent)","Unsearched / no evidence")))))</f>
        <v>Partially traced / contested</v>
      </c>
      <c r="F30" s="12" t="str">
        <f>IF(places!$A28="","",places!$Y28)</f>
        <v>Site/Institution</v>
      </c>
    </row>
    <row r="32" spans="1:6" ht="15" customHeight="1" x14ac:dyDescent="0.2">
      <c r="A32" s="44" t="s">
        <v>9062</v>
      </c>
      <c r="B32" s="32"/>
      <c r="C32" s="32"/>
      <c r="D32" s="32"/>
      <c r="E32" s="32"/>
      <c r="F32" s="33"/>
    </row>
    <row r="33" spans="1:6" ht="15" customHeight="1" x14ac:dyDescent="0.2">
      <c r="A33" s="34"/>
      <c r="B33" s="35"/>
      <c r="C33" s="35"/>
      <c r="D33" s="35"/>
      <c r="E33" s="35"/>
      <c r="F33" s="36"/>
    </row>
    <row r="34" spans="1:6" ht="15" customHeight="1" x14ac:dyDescent="0.2">
      <c r="A34" s="37"/>
      <c r="B34" s="38"/>
      <c r="C34" s="38"/>
      <c r="D34" s="38"/>
      <c r="E34" s="38"/>
      <c r="F34" s="39"/>
    </row>
  </sheetData>
  <mergeCells count="2">
    <mergeCell ref="A1:F1"/>
    <mergeCell ref="A32:F3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READ ME</vt:lpstr>
      <vt:lpstr>Coordinates</vt:lpstr>
      <vt:lpstr>places</vt:lpstr>
      <vt:lpstr>sources</vt:lpstr>
      <vt:lpstr>attestations</vt:lpstr>
      <vt:lpstr>Selection Matrix</vt:lpstr>
      <vt:lpstr>Map Modes + Rendering</vt:lpstr>
      <vt:lpstr>Uncertainty Profile</vt:lpstr>
      <vt:lpstr>Typology</vt:lpstr>
      <vt:lpstr>Corpus</vt:lpstr>
      <vt:lpstr>Coverage</vt:lpstr>
      <vt:lpstr>relations</vt:lpstr>
      <vt:lpstr>Lists</vt:lpstr>
      <vt:lpstr>Feature Checklist</vt:lpstr>
      <vt:lpstr>Absence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Alexandra Morgan</cp:lastModifiedBy>
  <cp:revision>0</cp:revision>
  <dcterms:created xsi:type="dcterms:W3CDTF">2026-06-05T14:24:31Z</dcterms:created>
  <dcterms:modified xsi:type="dcterms:W3CDTF">2026-09-16T12:16:41Z</dcterms:modified>
  <dc:language>en-US</dc:language>
</cp:coreProperties>
</file>